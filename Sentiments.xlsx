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codeName="ThisWorkbook" hidePivotFieldList="1" defaultThemeVersion="202300"/>
  <mc:AlternateContent xmlns:mc="http://schemas.openxmlformats.org/markup-compatibility/2006">
    <mc:Choice Requires="x15">
      <x15ac:absPath xmlns:x15ac="http://schemas.microsoft.com/office/spreadsheetml/2010/11/ac" url="/Users/Alejandra/Desktop/"/>
    </mc:Choice>
  </mc:AlternateContent>
  <xr:revisionPtr revIDLastSave="0" documentId="13_ncr:1_{1403AA7C-D50E-5347-B5E5-E7FB96D76D32}" xr6:coauthVersionLast="47" xr6:coauthVersionMax="47" xr10:uidLastSave="{00000000-0000-0000-0000-000000000000}"/>
  <bookViews>
    <workbookView xWindow="380" yWindow="500" windowWidth="28420" windowHeight="16400" activeTab="2" xr2:uid="{B0B759E5-2832-CD46-961D-5B77CABCEF2C}"/>
  </bookViews>
  <sheets>
    <sheet name="Transformations" sheetId="16" r:id="rId1"/>
    <sheet name="PivotTables" sheetId="17" r:id="rId2"/>
    <sheet name="Dashboard" sheetId="18" r:id="rId3"/>
  </sheets>
  <definedNames>
    <definedName name="_xlnm._FilterDatabase" localSheetId="0" hidden="1">Transformations!$B$1:$B$733</definedName>
    <definedName name="_xlchart.v1.0" hidden="1">PivotTables!$AD$76:$AD$136</definedName>
    <definedName name="_xlchart.v1.1" hidden="1">PivotTables!$AE$75</definedName>
    <definedName name="_xlchart.v1.10" hidden="1">PivotTables!$AF$75</definedName>
    <definedName name="_xlchart.v1.11" hidden="1">PivotTables!$AF$76:$AF$136</definedName>
    <definedName name="_xlchart.v1.12" hidden="1">PivotTables!$AG$75</definedName>
    <definedName name="_xlchart.v1.13" hidden="1">PivotTables!$AG$76:$AG$136</definedName>
    <definedName name="_xlchart.v1.14" hidden="1">PivotTables!$AD$76:$AD$136</definedName>
    <definedName name="_xlchart.v1.15" hidden="1">PivotTables!$AE$75</definedName>
    <definedName name="_xlchart.v1.16" hidden="1">PivotTables!$AE$76:$AE$136</definedName>
    <definedName name="_xlchart.v1.17" hidden="1">PivotTables!$AF$75</definedName>
    <definedName name="_xlchart.v1.18" hidden="1">PivotTables!$AF$76:$AF$136</definedName>
    <definedName name="_xlchart.v1.19" hidden="1">PivotTables!$AG$75</definedName>
    <definedName name="_xlchart.v1.2" hidden="1">PivotTables!$AE$76:$AE$136</definedName>
    <definedName name="_xlchart.v1.20" hidden="1">PivotTables!$AG$76:$AG$136</definedName>
    <definedName name="_xlchart.v1.21" hidden="1">PivotTables!$AD$76:$AD$136</definedName>
    <definedName name="_xlchart.v1.22" hidden="1">PivotTables!$AE$75</definedName>
    <definedName name="_xlchart.v1.23" hidden="1">PivotTables!$AE$76:$AE$136</definedName>
    <definedName name="_xlchart.v1.24" hidden="1">PivotTables!$AF$75</definedName>
    <definedName name="_xlchart.v1.25" hidden="1">PivotTables!$AF$76:$AF$136</definedName>
    <definedName name="_xlchart.v1.26" hidden="1">PivotTables!$AG$75</definedName>
    <definedName name="_xlchart.v1.27" hidden="1">PivotTables!$AG$76:$AG$136</definedName>
    <definedName name="_xlchart.v1.28" hidden="1">PivotTables!$AD$76:$AD$136</definedName>
    <definedName name="_xlchart.v1.29" hidden="1">PivotTables!$AE$75</definedName>
    <definedName name="_xlchart.v1.3" hidden="1">PivotTables!$AF$75</definedName>
    <definedName name="_xlchart.v1.30" hidden="1">PivotTables!$AE$76:$AE$136</definedName>
    <definedName name="_xlchart.v1.31" hidden="1">PivotTables!$AF$75</definedName>
    <definedName name="_xlchart.v1.32" hidden="1">PivotTables!$AF$76:$AF$136</definedName>
    <definedName name="_xlchart.v1.33" hidden="1">PivotTables!$AG$75</definedName>
    <definedName name="_xlchart.v1.34" hidden="1">PivotTables!$AG$76:$AG$136</definedName>
    <definedName name="_xlchart.v1.4" hidden="1">PivotTables!$AF$76:$AF$136</definedName>
    <definedName name="_xlchart.v1.5" hidden="1">PivotTables!$AG$75</definedName>
    <definedName name="_xlchart.v1.6" hidden="1">PivotTables!$AG$76:$AG$136</definedName>
    <definedName name="_xlchart.v1.7" hidden="1">PivotTables!$AD$76:$AD$136</definedName>
    <definedName name="_xlchart.v1.8" hidden="1">PivotTables!$AE$75</definedName>
    <definedName name="_xlchart.v1.9" hidden="1">PivotTables!$AE$76:$AE$136</definedName>
    <definedName name="sentimentdataset" localSheetId="0">Transformations!$A$1:$U$733</definedName>
    <definedName name="Slicer_Date">#N/A</definedName>
    <definedName name="Slicer_Hour">#N/A</definedName>
    <definedName name="Slicer_New_Country">#N/A</definedName>
    <definedName name="Slicer_NEW_Platform">#N/A</definedName>
    <definedName name="Slicer_NEW_Platform1">#N/A</definedName>
    <definedName name="Slicer_New_Sentiment1">#N/A</definedName>
  </definedNames>
  <calcPr calcId="191029"/>
  <pivotCaches>
    <pivotCache cacheId="113" r:id="rId4"/>
    <pivotCache cacheId="11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6" l="1"/>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K177" i="16"/>
  <c r="K178" i="16"/>
  <c r="K179" i="16"/>
  <c r="K180" i="16"/>
  <c r="K181" i="16"/>
  <c r="K182" i="16"/>
  <c r="K183" i="16"/>
  <c r="K184" i="16"/>
  <c r="K185" i="16"/>
  <c r="K186" i="16"/>
  <c r="K187" i="16"/>
  <c r="K188" i="16"/>
  <c r="K189" i="16"/>
  <c r="K190" i="16"/>
  <c r="K191" i="16"/>
  <c r="K192" i="16"/>
  <c r="K193" i="16"/>
  <c r="K194" i="16"/>
  <c r="K195" i="16"/>
  <c r="K196" i="16"/>
  <c r="K197" i="16"/>
  <c r="K198" i="16"/>
  <c r="K199" i="16"/>
  <c r="K200" i="16"/>
  <c r="K201" i="16"/>
  <c r="K202" i="16"/>
  <c r="K203" i="16"/>
  <c r="K204" i="16"/>
  <c r="K205" i="16"/>
  <c r="K206" i="16"/>
  <c r="K207" i="16"/>
  <c r="K208" i="16"/>
  <c r="K209" i="16"/>
  <c r="K210" i="16"/>
  <c r="K211" i="16"/>
  <c r="K212" i="16"/>
  <c r="K213" i="16"/>
  <c r="K214" i="16"/>
  <c r="K215" i="16"/>
  <c r="K216" i="16"/>
  <c r="K217" i="16"/>
  <c r="K218" i="16"/>
  <c r="K219" i="16"/>
  <c r="K220" i="16"/>
  <c r="K221" i="16"/>
  <c r="K222" i="16"/>
  <c r="K223" i="16"/>
  <c r="K224" i="16"/>
  <c r="K225" i="16"/>
  <c r="K226" i="16"/>
  <c r="K227" i="16"/>
  <c r="K228" i="16"/>
  <c r="K229" i="16"/>
  <c r="K230" i="16"/>
  <c r="K231" i="16"/>
  <c r="K232" i="16"/>
  <c r="K233" i="16"/>
  <c r="K234" i="16"/>
  <c r="K235" i="16"/>
  <c r="K236" i="16"/>
  <c r="K237" i="16"/>
  <c r="K238" i="16"/>
  <c r="K239" i="16"/>
  <c r="K240" i="16"/>
  <c r="K241" i="16"/>
  <c r="K242" i="16"/>
  <c r="K243" i="16"/>
  <c r="K244" i="16"/>
  <c r="K245" i="16"/>
  <c r="K246" i="16"/>
  <c r="K247" i="16"/>
  <c r="K248" i="16"/>
  <c r="K249" i="16"/>
  <c r="K250" i="16"/>
  <c r="K251" i="16"/>
  <c r="K252" i="16"/>
  <c r="K253" i="16"/>
  <c r="K254" i="16"/>
  <c r="K255" i="16"/>
  <c r="K256" i="16"/>
  <c r="K257" i="16"/>
  <c r="K258" i="16"/>
  <c r="K259" i="16"/>
  <c r="K260" i="16"/>
  <c r="K261" i="16"/>
  <c r="K262" i="16"/>
  <c r="K263" i="16"/>
  <c r="K264" i="16"/>
  <c r="K265" i="16"/>
  <c r="K266" i="16"/>
  <c r="K267" i="16"/>
  <c r="K268" i="16"/>
  <c r="K269" i="16"/>
  <c r="K270" i="16"/>
  <c r="K271" i="16"/>
  <c r="K272" i="16"/>
  <c r="K273" i="16"/>
  <c r="K274" i="16"/>
  <c r="K275" i="16"/>
  <c r="K276" i="16"/>
  <c r="K277" i="16"/>
  <c r="K278" i="16"/>
  <c r="K279" i="16"/>
  <c r="K280" i="16"/>
  <c r="K281" i="16"/>
  <c r="K282" i="16"/>
  <c r="K283" i="16"/>
  <c r="K284" i="16"/>
  <c r="K285" i="16"/>
  <c r="K286" i="16"/>
  <c r="K287" i="16"/>
  <c r="K288" i="16"/>
  <c r="K289" i="16"/>
  <c r="K290" i="16"/>
  <c r="K291" i="16"/>
  <c r="K292" i="16"/>
  <c r="K293" i="16"/>
  <c r="K294" i="16"/>
  <c r="K295" i="16"/>
  <c r="K296" i="16"/>
  <c r="K297" i="16"/>
  <c r="K298" i="16"/>
  <c r="K299" i="16"/>
  <c r="K300" i="16"/>
  <c r="K301" i="16"/>
  <c r="K302" i="16"/>
  <c r="K303" i="16"/>
  <c r="K304" i="16"/>
  <c r="K305" i="16"/>
  <c r="K306" i="16"/>
  <c r="K307" i="16"/>
  <c r="K308" i="16"/>
  <c r="K309" i="16"/>
  <c r="K310" i="16"/>
  <c r="K311" i="16"/>
  <c r="K312" i="16"/>
  <c r="K313" i="16"/>
  <c r="K314" i="16"/>
  <c r="K315" i="16"/>
  <c r="K316" i="16"/>
  <c r="K317" i="16"/>
  <c r="K318" i="16"/>
  <c r="K319" i="16"/>
  <c r="K320" i="16"/>
  <c r="K321" i="16"/>
  <c r="K322" i="16"/>
  <c r="K323" i="16"/>
  <c r="K324" i="16"/>
  <c r="K325" i="16"/>
  <c r="K326" i="16"/>
  <c r="K327" i="16"/>
  <c r="K328" i="16"/>
  <c r="K329" i="16"/>
  <c r="K330" i="16"/>
  <c r="K331" i="16"/>
  <c r="K332" i="16"/>
  <c r="K333" i="16"/>
  <c r="K334" i="16"/>
  <c r="K335" i="16"/>
  <c r="K336" i="16"/>
  <c r="K337" i="16"/>
  <c r="K338" i="16"/>
  <c r="K339" i="16"/>
  <c r="K340" i="16"/>
  <c r="K341" i="16"/>
  <c r="K342" i="16"/>
  <c r="K343" i="16"/>
  <c r="K344" i="16"/>
  <c r="K345" i="16"/>
  <c r="K346" i="16"/>
  <c r="K347" i="16"/>
  <c r="K348" i="16"/>
  <c r="K349" i="16"/>
  <c r="K350" i="16"/>
  <c r="K351" i="16"/>
  <c r="K352" i="16"/>
  <c r="K353" i="16"/>
  <c r="K354" i="16"/>
  <c r="K355" i="16"/>
  <c r="K356" i="16"/>
  <c r="K357" i="16"/>
  <c r="K358" i="16"/>
  <c r="K359" i="16"/>
  <c r="K360" i="16"/>
  <c r="K361" i="16"/>
  <c r="K362" i="16"/>
  <c r="K363" i="16"/>
  <c r="K364" i="16"/>
  <c r="K365" i="16"/>
  <c r="K366" i="16"/>
  <c r="K367" i="16"/>
  <c r="K368" i="16"/>
  <c r="K369" i="16"/>
  <c r="K370" i="16"/>
  <c r="K371" i="16"/>
  <c r="K372" i="16"/>
  <c r="K373" i="16"/>
  <c r="K374" i="16"/>
  <c r="K375" i="16"/>
  <c r="K376" i="16"/>
  <c r="K377" i="16"/>
  <c r="K378" i="16"/>
  <c r="K379" i="16"/>
  <c r="K380" i="16"/>
  <c r="K381" i="16"/>
  <c r="K382" i="16"/>
  <c r="K383" i="16"/>
  <c r="K384" i="16"/>
  <c r="K385" i="16"/>
  <c r="K386" i="16"/>
  <c r="K387" i="16"/>
  <c r="K388" i="16"/>
  <c r="K389" i="16"/>
  <c r="K390" i="16"/>
  <c r="K391" i="16"/>
  <c r="K392" i="16"/>
  <c r="K393" i="16"/>
  <c r="K394" i="16"/>
  <c r="K395" i="16"/>
  <c r="K396" i="16"/>
  <c r="K397" i="16"/>
  <c r="K398" i="16"/>
  <c r="K399" i="16"/>
  <c r="K400" i="16"/>
  <c r="K401" i="16"/>
  <c r="K402" i="16"/>
  <c r="K403" i="16"/>
  <c r="K404" i="16"/>
  <c r="K405" i="16"/>
  <c r="K406" i="16"/>
  <c r="K407" i="16"/>
  <c r="K408" i="16"/>
  <c r="K409" i="16"/>
  <c r="K410" i="16"/>
  <c r="K411" i="16"/>
  <c r="K412" i="16"/>
  <c r="K413" i="16"/>
  <c r="K414" i="16"/>
  <c r="K415" i="16"/>
  <c r="K416" i="16"/>
  <c r="K417" i="16"/>
  <c r="K418" i="16"/>
  <c r="K419" i="16"/>
  <c r="K420" i="16"/>
  <c r="K421" i="16"/>
  <c r="K422" i="16"/>
  <c r="K423" i="16"/>
  <c r="K424" i="16"/>
  <c r="K425" i="16"/>
  <c r="K426" i="16"/>
  <c r="K427" i="16"/>
  <c r="K428" i="16"/>
  <c r="K429" i="16"/>
  <c r="K430" i="16"/>
  <c r="K431" i="16"/>
  <c r="K432" i="16"/>
  <c r="K433" i="16"/>
  <c r="K434" i="16"/>
  <c r="K435" i="16"/>
  <c r="K436" i="16"/>
  <c r="K437" i="16"/>
  <c r="K438" i="16"/>
  <c r="K439" i="16"/>
  <c r="K440" i="16"/>
  <c r="K441" i="16"/>
  <c r="K442" i="16"/>
  <c r="K443" i="16"/>
  <c r="K444" i="16"/>
  <c r="K445" i="16"/>
  <c r="K446" i="16"/>
  <c r="K447" i="16"/>
  <c r="K448" i="16"/>
  <c r="K449" i="16"/>
  <c r="K450" i="16"/>
  <c r="K451" i="16"/>
  <c r="K452" i="16"/>
  <c r="K453" i="16"/>
  <c r="K454" i="16"/>
  <c r="K455" i="16"/>
  <c r="K456" i="16"/>
  <c r="K457" i="16"/>
  <c r="K458" i="16"/>
  <c r="K459" i="16"/>
  <c r="K460" i="16"/>
  <c r="K461" i="16"/>
  <c r="K462" i="16"/>
  <c r="K463" i="16"/>
  <c r="K464" i="16"/>
  <c r="K465" i="16"/>
  <c r="K466" i="16"/>
  <c r="K467" i="16"/>
  <c r="K468" i="16"/>
  <c r="K469" i="16"/>
  <c r="K470" i="16"/>
  <c r="K471" i="16"/>
  <c r="K472" i="16"/>
  <c r="K473" i="16"/>
  <c r="K474" i="16"/>
  <c r="K475" i="16"/>
  <c r="K476" i="16"/>
  <c r="K477" i="16"/>
  <c r="K478" i="16"/>
  <c r="K479" i="16"/>
  <c r="K480" i="16"/>
  <c r="K481" i="16"/>
  <c r="K482" i="16"/>
  <c r="K483" i="16"/>
  <c r="K484" i="16"/>
  <c r="K485" i="16"/>
  <c r="K486" i="16"/>
  <c r="K487" i="16"/>
  <c r="K488" i="16"/>
  <c r="K489" i="16"/>
  <c r="K490" i="16"/>
  <c r="K491" i="16"/>
  <c r="K492" i="16"/>
  <c r="K493" i="16"/>
  <c r="K494" i="16"/>
  <c r="K495" i="16"/>
  <c r="K496" i="16"/>
  <c r="K497" i="16"/>
  <c r="K498" i="16"/>
  <c r="K499" i="16"/>
  <c r="K500" i="16"/>
  <c r="K501" i="16"/>
  <c r="K502" i="16"/>
  <c r="K503" i="16"/>
  <c r="K504" i="16"/>
  <c r="K505" i="16"/>
  <c r="K506" i="16"/>
  <c r="K507" i="16"/>
  <c r="K508" i="16"/>
  <c r="K509" i="16"/>
  <c r="K510" i="16"/>
  <c r="K511" i="16"/>
  <c r="K512" i="16"/>
  <c r="K513" i="16"/>
  <c r="K514" i="16"/>
  <c r="K515" i="16"/>
  <c r="K516" i="16"/>
  <c r="K517" i="16"/>
  <c r="K518" i="16"/>
  <c r="K519" i="16"/>
  <c r="K520" i="16"/>
  <c r="K521" i="16"/>
  <c r="K522" i="16"/>
  <c r="K523" i="16"/>
  <c r="K524" i="16"/>
  <c r="K525" i="16"/>
  <c r="K526" i="16"/>
  <c r="K527" i="16"/>
  <c r="K528" i="16"/>
  <c r="K529" i="16"/>
  <c r="K530" i="16"/>
  <c r="K531" i="16"/>
  <c r="K532" i="16"/>
  <c r="K533" i="16"/>
  <c r="K534" i="16"/>
  <c r="K535" i="16"/>
  <c r="K536" i="16"/>
  <c r="K537" i="16"/>
  <c r="K538" i="16"/>
  <c r="K539" i="16"/>
  <c r="K540" i="16"/>
  <c r="K541" i="16"/>
  <c r="K542" i="16"/>
  <c r="K543" i="16"/>
  <c r="K544" i="16"/>
  <c r="K545" i="16"/>
  <c r="K546" i="16"/>
  <c r="K547" i="16"/>
  <c r="K548" i="16"/>
  <c r="K549" i="16"/>
  <c r="K550" i="16"/>
  <c r="K551" i="16"/>
  <c r="K552" i="16"/>
  <c r="K553" i="16"/>
  <c r="K554" i="16"/>
  <c r="K555" i="16"/>
  <c r="K556" i="16"/>
  <c r="K557" i="16"/>
  <c r="K558" i="16"/>
  <c r="K559" i="16"/>
  <c r="K560" i="16"/>
  <c r="K561" i="16"/>
  <c r="K562" i="16"/>
  <c r="K563" i="16"/>
  <c r="K564" i="16"/>
  <c r="K565" i="16"/>
  <c r="K566" i="16"/>
  <c r="K567" i="16"/>
  <c r="K568" i="16"/>
  <c r="K569" i="16"/>
  <c r="K570" i="16"/>
  <c r="K571" i="16"/>
  <c r="K572" i="16"/>
  <c r="K573" i="16"/>
  <c r="K574" i="16"/>
  <c r="K575" i="16"/>
  <c r="K576" i="16"/>
  <c r="K577" i="16"/>
  <c r="K578" i="16"/>
  <c r="K579" i="16"/>
  <c r="K580" i="16"/>
  <c r="K581" i="16"/>
  <c r="K582" i="16"/>
  <c r="K583" i="16"/>
  <c r="K584" i="16"/>
  <c r="K585" i="16"/>
  <c r="K586" i="16"/>
  <c r="K587" i="16"/>
  <c r="K588" i="16"/>
  <c r="K589" i="16"/>
  <c r="K590" i="16"/>
  <c r="K591" i="16"/>
  <c r="K592" i="16"/>
  <c r="K593" i="16"/>
  <c r="K594" i="16"/>
  <c r="K595" i="16"/>
  <c r="K596" i="16"/>
  <c r="K597" i="16"/>
  <c r="K598" i="16"/>
  <c r="K599" i="16"/>
  <c r="K600" i="16"/>
  <c r="K601" i="16"/>
  <c r="K602" i="16"/>
  <c r="K603" i="16"/>
  <c r="K604" i="16"/>
  <c r="K605" i="16"/>
  <c r="K606" i="16"/>
  <c r="K607" i="16"/>
  <c r="K608" i="16"/>
  <c r="K609" i="16"/>
  <c r="K610" i="16"/>
  <c r="K611" i="16"/>
  <c r="K612" i="16"/>
  <c r="K613" i="16"/>
  <c r="K614" i="16"/>
  <c r="K615" i="16"/>
  <c r="K616" i="16"/>
  <c r="K617" i="16"/>
  <c r="K618" i="16"/>
  <c r="K619" i="16"/>
  <c r="K620" i="16"/>
  <c r="K621" i="16"/>
  <c r="K622" i="16"/>
  <c r="K623" i="16"/>
  <c r="K624" i="16"/>
  <c r="K625" i="16"/>
  <c r="K626" i="16"/>
  <c r="K627" i="16"/>
  <c r="K628" i="16"/>
  <c r="K629" i="16"/>
  <c r="K630" i="16"/>
  <c r="K631" i="16"/>
  <c r="K632" i="16"/>
  <c r="K633" i="16"/>
  <c r="K634" i="16"/>
  <c r="K635" i="16"/>
  <c r="K636" i="16"/>
  <c r="K637" i="16"/>
  <c r="K638" i="16"/>
  <c r="K639" i="16"/>
  <c r="K640" i="16"/>
  <c r="K641" i="16"/>
  <c r="K642" i="16"/>
  <c r="K643" i="16"/>
  <c r="K644" i="16"/>
  <c r="K645" i="16"/>
  <c r="K646" i="16"/>
  <c r="K647" i="16"/>
  <c r="K648" i="16"/>
  <c r="K649" i="16"/>
  <c r="K650" i="16"/>
  <c r="K651" i="16"/>
  <c r="K652" i="16"/>
  <c r="K653" i="16"/>
  <c r="K654" i="16"/>
  <c r="K655" i="16"/>
  <c r="K656" i="16"/>
  <c r="K657" i="16"/>
  <c r="K658" i="16"/>
  <c r="K659" i="16"/>
  <c r="K660" i="16"/>
  <c r="K661" i="16"/>
  <c r="K662" i="16"/>
  <c r="K663" i="16"/>
  <c r="K664" i="16"/>
  <c r="K665" i="16"/>
  <c r="K666" i="16"/>
  <c r="K667" i="16"/>
  <c r="K668" i="16"/>
  <c r="K669" i="16"/>
  <c r="K670" i="16"/>
  <c r="K671" i="16"/>
  <c r="K672" i="16"/>
  <c r="K673" i="16"/>
  <c r="K674" i="16"/>
  <c r="K675" i="16"/>
  <c r="K676" i="16"/>
  <c r="K677" i="16"/>
  <c r="K678" i="16"/>
  <c r="K679" i="16"/>
  <c r="K680" i="16"/>
  <c r="K681" i="16"/>
  <c r="K682" i="16"/>
  <c r="K683" i="16"/>
  <c r="K684" i="16"/>
  <c r="K685" i="16"/>
  <c r="K686" i="16"/>
  <c r="K687" i="16"/>
  <c r="K688" i="16"/>
  <c r="K689" i="16"/>
  <c r="K690" i="16"/>
  <c r="K691" i="16"/>
  <c r="K692" i="16"/>
  <c r="K693" i="16"/>
  <c r="K694" i="16"/>
  <c r="K695" i="16"/>
  <c r="K696" i="16"/>
  <c r="K697" i="16"/>
  <c r="K698" i="16"/>
  <c r="K699" i="16"/>
  <c r="K700" i="16"/>
  <c r="K701" i="16"/>
  <c r="K702" i="16"/>
  <c r="K703" i="16"/>
  <c r="K704" i="16"/>
  <c r="K705" i="16"/>
  <c r="K706" i="16"/>
  <c r="K707" i="16"/>
  <c r="K708" i="16"/>
  <c r="K709" i="16"/>
  <c r="K710" i="16"/>
  <c r="K711" i="16"/>
  <c r="K712" i="16"/>
  <c r="K713" i="16"/>
  <c r="K714" i="16"/>
  <c r="K715" i="16"/>
  <c r="K716" i="16"/>
  <c r="K717" i="16"/>
  <c r="K718" i="16"/>
  <c r="K719" i="16"/>
  <c r="K720" i="16"/>
  <c r="K721" i="16"/>
  <c r="K722" i="16"/>
  <c r="K723" i="16"/>
  <c r="K724" i="16"/>
  <c r="K725" i="16"/>
  <c r="K726" i="16"/>
  <c r="K727" i="16"/>
  <c r="K728" i="16"/>
  <c r="K729" i="16"/>
  <c r="K730" i="16"/>
  <c r="K731" i="16"/>
  <c r="K732" i="16"/>
  <c r="K733" i="16"/>
  <c r="K2" i="16"/>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Q177" i="16"/>
  <c r="Q178" i="16"/>
  <c r="Q179" i="16"/>
  <c r="Q180" i="16"/>
  <c r="Q181" i="16"/>
  <c r="Q182" i="16"/>
  <c r="Q183" i="16"/>
  <c r="Q184" i="16"/>
  <c r="Q185" i="16"/>
  <c r="Q186" i="16"/>
  <c r="Q187" i="16"/>
  <c r="Q188" i="16"/>
  <c r="Q189" i="16"/>
  <c r="Q190" i="16"/>
  <c r="Q191" i="16"/>
  <c r="Q192" i="16"/>
  <c r="Q193" i="16"/>
  <c r="Q194" i="16"/>
  <c r="Q195" i="16"/>
  <c r="Q196" i="16"/>
  <c r="Q197" i="16"/>
  <c r="Q198" i="16"/>
  <c r="Q199" i="16"/>
  <c r="Q200" i="16"/>
  <c r="Q201" i="16"/>
  <c r="Q202" i="16"/>
  <c r="Q203" i="16"/>
  <c r="Q204" i="16"/>
  <c r="Q205" i="16"/>
  <c r="Q206" i="16"/>
  <c r="Q207" i="16"/>
  <c r="Q208" i="16"/>
  <c r="Q209" i="16"/>
  <c r="Q210" i="16"/>
  <c r="Q211" i="16"/>
  <c r="Q212" i="16"/>
  <c r="Q213" i="16"/>
  <c r="Q214" i="16"/>
  <c r="Q215" i="16"/>
  <c r="Q216" i="16"/>
  <c r="Q217" i="16"/>
  <c r="Q218" i="16"/>
  <c r="Q219" i="16"/>
  <c r="Q220" i="16"/>
  <c r="Q221" i="16"/>
  <c r="Q222" i="16"/>
  <c r="Q223" i="16"/>
  <c r="Q224" i="16"/>
  <c r="Q225" i="16"/>
  <c r="Q226" i="16"/>
  <c r="Q227" i="16"/>
  <c r="Q228" i="16"/>
  <c r="Q229" i="16"/>
  <c r="Q230" i="16"/>
  <c r="Q231" i="16"/>
  <c r="Q232" i="16"/>
  <c r="Q233" i="16"/>
  <c r="Q234" i="16"/>
  <c r="Q235" i="16"/>
  <c r="Q236" i="16"/>
  <c r="Q237" i="16"/>
  <c r="Q238" i="16"/>
  <c r="Q239" i="16"/>
  <c r="Q240" i="16"/>
  <c r="Q241" i="16"/>
  <c r="Q242" i="16"/>
  <c r="Q243" i="16"/>
  <c r="Q244" i="16"/>
  <c r="Q245" i="16"/>
  <c r="Q246" i="16"/>
  <c r="Q247" i="16"/>
  <c r="Q248" i="16"/>
  <c r="Q249" i="16"/>
  <c r="Q250" i="16"/>
  <c r="Q251" i="16"/>
  <c r="Q252" i="16"/>
  <c r="Q253" i="16"/>
  <c r="Q254" i="16"/>
  <c r="Q255" i="16"/>
  <c r="Q256" i="16"/>
  <c r="Q257" i="16"/>
  <c r="Q258" i="16"/>
  <c r="Q259" i="16"/>
  <c r="Q260" i="16"/>
  <c r="Q261" i="16"/>
  <c r="Q262" i="16"/>
  <c r="Q263" i="16"/>
  <c r="Q264" i="16"/>
  <c r="Q265" i="16"/>
  <c r="Q266" i="16"/>
  <c r="Q267" i="16"/>
  <c r="Q268" i="16"/>
  <c r="Q269" i="16"/>
  <c r="Q270" i="16"/>
  <c r="Q271" i="16"/>
  <c r="Q272" i="16"/>
  <c r="Q273" i="16"/>
  <c r="Q274" i="16"/>
  <c r="Q275" i="16"/>
  <c r="Q276" i="16"/>
  <c r="Q277" i="16"/>
  <c r="Q278" i="16"/>
  <c r="Q279" i="16"/>
  <c r="Q280" i="16"/>
  <c r="Q281" i="16"/>
  <c r="Q282" i="16"/>
  <c r="Q283" i="16"/>
  <c r="Q284" i="16"/>
  <c r="Q285" i="16"/>
  <c r="Q286" i="16"/>
  <c r="Q287" i="16"/>
  <c r="Q288" i="16"/>
  <c r="Q289" i="16"/>
  <c r="Q290" i="16"/>
  <c r="Q291" i="16"/>
  <c r="Q292" i="16"/>
  <c r="Q293" i="16"/>
  <c r="Q294" i="16"/>
  <c r="Q295" i="16"/>
  <c r="Q296" i="16"/>
  <c r="Q297" i="16"/>
  <c r="Q298" i="16"/>
  <c r="Q299" i="16"/>
  <c r="Q300" i="16"/>
  <c r="Q301" i="16"/>
  <c r="Q302" i="16"/>
  <c r="Q303" i="16"/>
  <c r="Q304" i="16"/>
  <c r="Q305" i="16"/>
  <c r="Q306" i="16"/>
  <c r="Q307" i="16"/>
  <c r="Q308" i="16"/>
  <c r="Q309" i="16"/>
  <c r="Q310" i="16"/>
  <c r="Q311" i="16"/>
  <c r="Q312" i="16"/>
  <c r="Q313" i="16"/>
  <c r="Q314" i="16"/>
  <c r="Q315" i="16"/>
  <c r="Q316" i="16"/>
  <c r="Q317" i="16"/>
  <c r="Q318" i="16"/>
  <c r="Q319" i="16"/>
  <c r="Q320" i="16"/>
  <c r="Q321" i="16"/>
  <c r="Q322" i="16"/>
  <c r="Q323" i="16"/>
  <c r="Q324" i="16"/>
  <c r="Q325" i="16"/>
  <c r="Q326" i="16"/>
  <c r="Q327" i="16"/>
  <c r="Q328" i="16"/>
  <c r="Q329" i="16"/>
  <c r="Q330" i="16"/>
  <c r="Q331" i="16"/>
  <c r="Q332" i="16"/>
  <c r="Q333" i="16"/>
  <c r="Q334" i="16"/>
  <c r="Q335" i="16"/>
  <c r="Q336" i="16"/>
  <c r="Q337" i="16"/>
  <c r="Q338" i="16"/>
  <c r="Q339" i="16"/>
  <c r="Q340" i="16"/>
  <c r="Q341" i="16"/>
  <c r="Q342" i="16"/>
  <c r="Q343" i="16"/>
  <c r="Q344" i="16"/>
  <c r="Q345" i="16"/>
  <c r="Q346" i="16"/>
  <c r="Q347" i="16"/>
  <c r="Q348" i="16"/>
  <c r="Q349" i="16"/>
  <c r="Q350" i="16"/>
  <c r="Q351" i="16"/>
  <c r="Q352" i="16"/>
  <c r="Q353" i="16"/>
  <c r="Q354" i="16"/>
  <c r="Q355" i="16"/>
  <c r="Q356" i="16"/>
  <c r="Q357" i="16"/>
  <c r="Q358" i="16"/>
  <c r="Q359" i="16"/>
  <c r="Q360" i="16"/>
  <c r="Q361" i="16"/>
  <c r="Q362" i="16"/>
  <c r="Q363" i="16"/>
  <c r="Q364" i="16"/>
  <c r="Q365" i="16"/>
  <c r="Q366" i="16"/>
  <c r="Q367" i="16"/>
  <c r="Q368" i="16"/>
  <c r="Q369" i="16"/>
  <c r="Q370" i="16"/>
  <c r="Q371" i="16"/>
  <c r="Q372" i="16"/>
  <c r="Q373" i="16"/>
  <c r="Q374" i="16"/>
  <c r="Q375" i="16"/>
  <c r="Q376" i="16"/>
  <c r="Q377" i="16"/>
  <c r="Q378" i="16"/>
  <c r="Q379" i="16"/>
  <c r="Q380" i="16"/>
  <c r="Q381" i="16"/>
  <c r="Q382" i="16"/>
  <c r="Q383" i="16"/>
  <c r="Q384" i="16"/>
  <c r="Q385" i="16"/>
  <c r="Q386" i="16"/>
  <c r="Q387" i="16"/>
  <c r="Q388" i="16"/>
  <c r="Q389" i="16"/>
  <c r="Q390" i="16"/>
  <c r="Q391" i="16"/>
  <c r="Q392" i="16"/>
  <c r="Q393" i="16"/>
  <c r="Q394" i="16"/>
  <c r="Q395" i="16"/>
  <c r="Q396" i="16"/>
  <c r="Q397" i="16"/>
  <c r="Q398" i="16"/>
  <c r="Q399" i="16"/>
  <c r="Q400" i="16"/>
  <c r="Q401" i="16"/>
  <c r="Q402" i="16"/>
  <c r="Q403" i="16"/>
  <c r="Q404" i="16"/>
  <c r="Q405" i="16"/>
  <c r="Q406" i="16"/>
  <c r="Q407" i="16"/>
  <c r="Q408" i="16"/>
  <c r="Q409" i="16"/>
  <c r="Q410" i="16"/>
  <c r="Q411" i="16"/>
  <c r="Q412" i="16"/>
  <c r="Q413" i="16"/>
  <c r="Q414" i="16"/>
  <c r="Q415" i="16"/>
  <c r="Q416" i="16"/>
  <c r="Q417" i="16"/>
  <c r="Q418" i="16"/>
  <c r="Q419" i="16"/>
  <c r="Q420" i="16"/>
  <c r="Q421" i="16"/>
  <c r="Q422" i="16"/>
  <c r="Q423" i="16"/>
  <c r="Q424" i="16"/>
  <c r="Q425" i="16"/>
  <c r="Q426" i="16"/>
  <c r="Q427" i="16"/>
  <c r="Q428" i="16"/>
  <c r="Q429" i="16"/>
  <c r="Q430" i="16"/>
  <c r="Q431" i="16"/>
  <c r="Q432" i="16"/>
  <c r="Q433" i="16"/>
  <c r="Q434" i="16"/>
  <c r="Q435" i="16"/>
  <c r="Q436" i="16"/>
  <c r="Q437" i="16"/>
  <c r="Q438" i="16"/>
  <c r="Q439" i="16"/>
  <c r="Q440" i="16"/>
  <c r="Q441" i="16"/>
  <c r="Q442" i="16"/>
  <c r="Q443" i="16"/>
  <c r="Q444" i="16"/>
  <c r="Q445" i="16"/>
  <c r="Q446" i="16"/>
  <c r="Q447" i="16"/>
  <c r="Q448" i="16"/>
  <c r="Q449" i="16"/>
  <c r="Q450" i="16"/>
  <c r="Q451" i="16"/>
  <c r="Q452" i="16"/>
  <c r="Q453" i="16"/>
  <c r="Q454" i="16"/>
  <c r="Q455" i="16"/>
  <c r="Q456" i="16"/>
  <c r="Q457" i="16"/>
  <c r="Q458" i="16"/>
  <c r="Q459" i="16"/>
  <c r="Q460" i="16"/>
  <c r="Q461" i="16"/>
  <c r="Q462" i="16"/>
  <c r="Q463" i="16"/>
  <c r="Q464" i="16"/>
  <c r="Q465" i="16"/>
  <c r="Q466" i="16"/>
  <c r="Q467" i="16"/>
  <c r="Q468" i="16"/>
  <c r="Q469" i="16"/>
  <c r="Q470" i="16"/>
  <c r="Q471" i="16"/>
  <c r="Q472" i="16"/>
  <c r="Q473" i="16"/>
  <c r="Q474" i="16"/>
  <c r="Q475" i="16"/>
  <c r="Q476" i="16"/>
  <c r="Q477" i="16"/>
  <c r="Q478" i="16"/>
  <c r="Q479" i="16"/>
  <c r="Q480" i="16"/>
  <c r="Q481" i="16"/>
  <c r="Q482" i="16"/>
  <c r="Q483" i="16"/>
  <c r="Q484" i="16"/>
  <c r="Q485" i="16"/>
  <c r="Q486" i="16"/>
  <c r="Q487" i="16"/>
  <c r="Q488" i="16"/>
  <c r="Q489" i="16"/>
  <c r="Q490" i="16"/>
  <c r="Q491" i="16"/>
  <c r="Q492" i="16"/>
  <c r="Q493" i="16"/>
  <c r="Q494" i="16"/>
  <c r="Q495" i="16"/>
  <c r="Q496" i="16"/>
  <c r="Q497" i="16"/>
  <c r="Q498" i="16"/>
  <c r="Q499" i="16"/>
  <c r="Q500" i="16"/>
  <c r="Q501" i="16"/>
  <c r="Q502" i="16"/>
  <c r="Q503" i="16"/>
  <c r="Q504" i="16"/>
  <c r="Q505" i="16"/>
  <c r="Q506" i="16"/>
  <c r="Q507" i="16"/>
  <c r="Q508" i="16"/>
  <c r="Q509" i="16"/>
  <c r="Q510" i="16"/>
  <c r="Q511" i="16"/>
  <c r="Q512" i="16"/>
  <c r="Q513" i="16"/>
  <c r="Q514" i="16"/>
  <c r="Q515" i="16"/>
  <c r="Q516" i="16"/>
  <c r="Q517" i="16"/>
  <c r="Q518" i="16"/>
  <c r="Q519" i="16"/>
  <c r="Q520" i="16"/>
  <c r="Q521" i="16"/>
  <c r="Q522" i="16"/>
  <c r="Q523" i="16"/>
  <c r="Q524" i="16"/>
  <c r="Q525" i="16"/>
  <c r="Q526" i="16"/>
  <c r="Q527" i="16"/>
  <c r="Q528" i="16"/>
  <c r="Q529" i="16"/>
  <c r="Q530" i="16"/>
  <c r="Q531" i="16"/>
  <c r="Q532" i="16"/>
  <c r="Q533" i="16"/>
  <c r="Q534" i="16"/>
  <c r="Q535" i="16"/>
  <c r="Q536" i="16"/>
  <c r="Q537" i="16"/>
  <c r="Q538" i="16"/>
  <c r="Q539" i="16"/>
  <c r="Q540" i="16"/>
  <c r="Q541" i="16"/>
  <c r="Q542" i="16"/>
  <c r="Q543" i="16"/>
  <c r="Q544" i="16"/>
  <c r="Q545" i="16"/>
  <c r="Q546" i="16"/>
  <c r="Q547" i="16"/>
  <c r="Q548" i="16"/>
  <c r="Q549" i="16"/>
  <c r="Q550" i="16"/>
  <c r="Q551" i="16"/>
  <c r="Q552" i="16"/>
  <c r="Q553" i="16"/>
  <c r="Q554" i="16"/>
  <c r="Q555" i="16"/>
  <c r="Q556" i="16"/>
  <c r="Q557" i="16"/>
  <c r="Q558" i="16"/>
  <c r="Q559" i="16"/>
  <c r="Q560" i="16"/>
  <c r="Q561" i="16"/>
  <c r="Q562" i="16"/>
  <c r="Q563" i="16"/>
  <c r="Q564" i="16"/>
  <c r="Q565" i="16"/>
  <c r="Q566" i="16"/>
  <c r="Q567" i="16"/>
  <c r="Q568" i="16"/>
  <c r="Q569" i="16"/>
  <c r="Q570" i="16"/>
  <c r="Q571" i="16"/>
  <c r="Q572" i="16"/>
  <c r="Q573" i="16"/>
  <c r="Q574" i="16"/>
  <c r="Q575" i="16"/>
  <c r="Q576" i="16"/>
  <c r="Q577" i="16"/>
  <c r="Q578" i="16"/>
  <c r="Q579" i="16"/>
  <c r="Q580" i="16"/>
  <c r="Q581" i="16"/>
  <c r="Q582" i="16"/>
  <c r="Q583" i="16"/>
  <c r="Q584" i="16"/>
  <c r="Q585" i="16"/>
  <c r="Q586" i="16"/>
  <c r="Q587" i="16"/>
  <c r="Q588" i="16"/>
  <c r="Q589" i="16"/>
  <c r="Q590" i="16"/>
  <c r="Q591" i="16"/>
  <c r="Q592" i="16"/>
  <c r="Q593" i="16"/>
  <c r="Q594" i="16"/>
  <c r="Q595" i="16"/>
  <c r="Q596" i="16"/>
  <c r="Q597" i="16"/>
  <c r="Q598" i="16"/>
  <c r="Q599" i="16"/>
  <c r="Q600" i="16"/>
  <c r="Q601" i="16"/>
  <c r="Q602" i="16"/>
  <c r="Q603" i="16"/>
  <c r="Q604" i="16"/>
  <c r="Q605" i="16"/>
  <c r="Q606" i="16"/>
  <c r="Q607" i="16"/>
  <c r="Q608" i="16"/>
  <c r="Q609" i="16"/>
  <c r="Q610" i="16"/>
  <c r="Q611" i="16"/>
  <c r="Q612" i="16"/>
  <c r="Q613" i="16"/>
  <c r="Q614" i="16"/>
  <c r="Q615" i="16"/>
  <c r="Q616" i="16"/>
  <c r="Q617" i="16"/>
  <c r="Q618" i="16"/>
  <c r="Q619" i="16"/>
  <c r="Q620" i="16"/>
  <c r="Q621" i="16"/>
  <c r="Q622" i="16"/>
  <c r="Q623" i="16"/>
  <c r="Q624" i="16"/>
  <c r="Q625" i="16"/>
  <c r="Q626" i="16"/>
  <c r="Q627" i="16"/>
  <c r="Q628" i="16"/>
  <c r="Q629" i="16"/>
  <c r="Q630" i="16"/>
  <c r="Q631" i="16"/>
  <c r="Q632" i="16"/>
  <c r="Q633" i="16"/>
  <c r="Q634" i="16"/>
  <c r="Q635" i="16"/>
  <c r="Q636" i="16"/>
  <c r="Q637" i="16"/>
  <c r="Q638" i="16"/>
  <c r="Q639" i="16"/>
  <c r="Q640" i="16"/>
  <c r="Q641" i="16"/>
  <c r="Q642" i="16"/>
  <c r="Q643" i="16"/>
  <c r="Q644" i="16"/>
  <c r="Q645" i="16"/>
  <c r="Q646" i="16"/>
  <c r="Q647" i="16"/>
  <c r="Q648" i="16"/>
  <c r="Q649" i="16"/>
  <c r="Q650" i="16"/>
  <c r="Q651" i="16"/>
  <c r="Q652" i="16"/>
  <c r="Q653" i="16"/>
  <c r="Q654" i="16"/>
  <c r="Q655" i="16"/>
  <c r="Q656" i="16"/>
  <c r="Q657" i="16"/>
  <c r="Q658" i="16"/>
  <c r="Q659" i="16"/>
  <c r="Q660" i="16"/>
  <c r="Q661" i="16"/>
  <c r="Q662" i="16"/>
  <c r="Q663" i="16"/>
  <c r="Q664" i="16"/>
  <c r="Q665" i="16"/>
  <c r="Q666" i="16"/>
  <c r="Q667" i="16"/>
  <c r="Q668" i="16"/>
  <c r="Q669" i="16"/>
  <c r="Q670" i="16"/>
  <c r="Q671" i="16"/>
  <c r="Q672" i="16"/>
  <c r="Q673" i="16"/>
  <c r="Q674" i="16"/>
  <c r="Q675" i="16"/>
  <c r="Q676" i="16"/>
  <c r="Q677" i="16"/>
  <c r="Q678" i="16"/>
  <c r="Q679" i="16"/>
  <c r="Q680" i="16"/>
  <c r="Q681" i="16"/>
  <c r="Q682" i="16"/>
  <c r="Q683" i="16"/>
  <c r="Q684" i="16"/>
  <c r="Q685" i="16"/>
  <c r="Q686" i="16"/>
  <c r="Q687" i="16"/>
  <c r="Q688" i="16"/>
  <c r="Q689" i="16"/>
  <c r="Q690" i="16"/>
  <c r="Q691" i="16"/>
  <c r="Q692" i="16"/>
  <c r="Q693" i="16"/>
  <c r="Q694" i="16"/>
  <c r="Q695" i="16"/>
  <c r="Q696" i="16"/>
  <c r="Q697" i="16"/>
  <c r="Q698" i="16"/>
  <c r="Q699" i="16"/>
  <c r="Q700" i="16"/>
  <c r="Q701" i="16"/>
  <c r="Q702" i="16"/>
  <c r="Q703" i="16"/>
  <c r="Q704" i="16"/>
  <c r="Q705" i="16"/>
  <c r="Q706" i="16"/>
  <c r="Q707" i="16"/>
  <c r="Q708" i="16"/>
  <c r="Q709" i="16"/>
  <c r="Q710" i="16"/>
  <c r="Q711" i="16"/>
  <c r="Q712" i="16"/>
  <c r="Q713" i="16"/>
  <c r="Q714" i="16"/>
  <c r="Q715" i="16"/>
  <c r="Q716" i="16"/>
  <c r="Q717" i="16"/>
  <c r="Q718" i="16"/>
  <c r="Q719" i="16"/>
  <c r="Q720" i="16"/>
  <c r="Q721" i="16"/>
  <c r="Q722" i="16"/>
  <c r="Q723" i="16"/>
  <c r="Q724" i="16"/>
  <c r="Q725" i="16"/>
  <c r="Q726" i="16"/>
  <c r="Q727" i="16"/>
  <c r="Q728" i="16"/>
  <c r="Q729" i="16"/>
  <c r="Q730" i="16"/>
  <c r="Q731" i="16"/>
  <c r="Q732" i="16"/>
  <c r="Q733" i="16"/>
  <c r="Q2"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O177" i="16"/>
  <c r="O178" i="16"/>
  <c r="O179" i="16"/>
  <c r="O180" i="16"/>
  <c r="O181" i="16"/>
  <c r="O182" i="16"/>
  <c r="O183" i="16"/>
  <c r="O184" i="16"/>
  <c r="O185" i="16"/>
  <c r="O186" i="16"/>
  <c r="O187" i="16"/>
  <c r="O188" i="16"/>
  <c r="O189" i="16"/>
  <c r="O190" i="16"/>
  <c r="O191" i="16"/>
  <c r="O192" i="16"/>
  <c r="O193" i="16"/>
  <c r="O194" i="16"/>
  <c r="O195" i="16"/>
  <c r="O196" i="16"/>
  <c r="O197" i="16"/>
  <c r="O198" i="16"/>
  <c r="O199" i="16"/>
  <c r="O200" i="16"/>
  <c r="O201" i="16"/>
  <c r="O202" i="16"/>
  <c r="O203" i="16"/>
  <c r="O204" i="16"/>
  <c r="O205" i="16"/>
  <c r="O206" i="16"/>
  <c r="O207" i="16"/>
  <c r="O208" i="16"/>
  <c r="O209" i="16"/>
  <c r="O210" i="16"/>
  <c r="O211" i="16"/>
  <c r="O212" i="16"/>
  <c r="O213" i="16"/>
  <c r="O214" i="16"/>
  <c r="O215" i="16"/>
  <c r="O216" i="16"/>
  <c r="O217" i="16"/>
  <c r="O218" i="16"/>
  <c r="O219" i="16"/>
  <c r="O220" i="16"/>
  <c r="O221" i="16"/>
  <c r="O222" i="16"/>
  <c r="O223" i="16"/>
  <c r="O224" i="16"/>
  <c r="O225" i="16"/>
  <c r="O226" i="16"/>
  <c r="O227" i="16"/>
  <c r="O228" i="16"/>
  <c r="O229" i="16"/>
  <c r="O230" i="16"/>
  <c r="O231" i="16"/>
  <c r="O232" i="16"/>
  <c r="O233" i="16"/>
  <c r="O234" i="16"/>
  <c r="O235" i="16"/>
  <c r="O236" i="16"/>
  <c r="O237" i="16"/>
  <c r="O238" i="16"/>
  <c r="O239" i="16"/>
  <c r="O240" i="16"/>
  <c r="O241" i="16"/>
  <c r="O242" i="16"/>
  <c r="O243" i="16"/>
  <c r="O244" i="16"/>
  <c r="O245" i="16"/>
  <c r="O246" i="16"/>
  <c r="O247" i="16"/>
  <c r="O248" i="16"/>
  <c r="O249" i="16"/>
  <c r="O250" i="16"/>
  <c r="O251" i="16"/>
  <c r="O252" i="16"/>
  <c r="O253" i="16"/>
  <c r="O254" i="16"/>
  <c r="O255" i="16"/>
  <c r="O256" i="16"/>
  <c r="O257" i="16"/>
  <c r="O258" i="16"/>
  <c r="O259" i="16"/>
  <c r="O260" i="16"/>
  <c r="O261" i="16"/>
  <c r="O262" i="16"/>
  <c r="O263" i="16"/>
  <c r="O264" i="16"/>
  <c r="O265" i="16"/>
  <c r="O266" i="16"/>
  <c r="O267" i="16"/>
  <c r="O268" i="16"/>
  <c r="O269" i="16"/>
  <c r="O270" i="16"/>
  <c r="O271" i="16"/>
  <c r="O272" i="16"/>
  <c r="O273" i="16"/>
  <c r="O274" i="16"/>
  <c r="O275" i="16"/>
  <c r="O276" i="16"/>
  <c r="O277" i="16"/>
  <c r="O278" i="16"/>
  <c r="O279" i="16"/>
  <c r="O280" i="16"/>
  <c r="O281" i="16"/>
  <c r="O282" i="16"/>
  <c r="O283" i="16"/>
  <c r="O284" i="16"/>
  <c r="O285" i="16"/>
  <c r="O286" i="16"/>
  <c r="O287" i="16"/>
  <c r="O288" i="16"/>
  <c r="O289" i="16"/>
  <c r="O290" i="16"/>
  <c r="O291" i="16"/>
  <c r="O292" i="16"/>
  <c r="O293" i="16"/>
  <c r="O294" i="16"/>
  <c r="O295" i="16"/>
  <c r="O296" i="16"/>
  <c r="O297" i="16"/>
  <c r="O298" i="16"/>
  <c r="O299" i="16"/>
  <c r="O300" i="16"/>
  <c r="O301" i="16"/>
  <c r="O302" i="16"/>
  <c r="O303" i="16"/>
  <c r="O304" i="16"/>
  <c r="O305" i="16"/>
  <c r="O306" i="16"/>
  <c r="O307" i="16"/>
  <c r="O308" i="16"/>
  <c r="O309" i="16"/>
  <c r="O310" i="16"/>
  <c r="O311" i="16"/>
  <c r="O312" i="16"/>
  <c r="O313" i="16"/>
  <c r="O314" i="16"/>
  <c r="O315" i="16"/>
  <c r="O316" i="16"/>
  <c r="O317" i="16"/>
  <c r="O318" i="16"/>
  <c r="O319" i="16"/>
  <c r="O320" i="16"/>
  <c r="O321" i="16"/>
  <c r="O322" i="16"/>
  <c r="O323" i="16"/>
  <c r="O324" i="16"/>
  <c r="O325" i="16"/>
  <c r="O326" i="16"/>
  <c r="O327" i="16"/>
  <c r="O328" i="16"/>
  <c r="O329" i="16"/>
  <c r="O330" i="16"/>
  <c r="O331" i="16"/>
  <c r="O332" i="16"/>
  <c r="O333" i="16"/>
  <c r="O334" i="16"/>
  <c r="O335" i="16"/>
  <c r="O336" i="16"/>
  <c r="O337" i="16"/>
  <c r="O338" i="16"/>
  <c r="O339" i="16"/>
  <c r="O340" i="16"/>
  <c r="O341" i="16"/>
  <c r="O342" i="16"/>
  <c r="O343" i="16"/>
  <c r="O344" i="16"/>
  <c r="O345" i="16"/>
  <c r="O346" i="16"/>
  <c r="O347" i="16"/>
  <c r="O348" i="16"/>
  <c r="O349" i="16"/>
  <c r="O350" i="16"/>
  <c r="O351" i="16"/>
  <c r="O352" i="16"/>
  <c r="O353" i="16"/>
  <c r="O354" i="16"/>
  <c r="O355" i="16"/>
  <c r="O356" i="16"/>
  <c r="O357" i="16"/>
  <c r="O358" i="16"/>
  <c r="O359" i="16"/>
  <c r="O360" i="16"/>
  <c r="O361" i="16"/>
  <c r="O362" i="16"/>
  <c r="O363" i="16"/>
  <c r="O364" i="16"/>
  <c r="O365" i="16"/>
  <c r="O366" i="16"/>
  <c r="O367" i="16"/>
  <c r="O368" i="16"/>
  <c r="O369" i="16"/>
  <c r="O370" i="16"/>
  <c r="O371" i="16"/>
  <c r="O372" i="16"/>
  <c r="O373" i="16"/>
  <c r="O374" i="16"/>
  <c r="O375" i="16"/>
  <c r="O376" i="16"/>
  <c r="O377" i="16"/>
  <c r="O378" i="16"/>
  <c r="O379" i="16"/>
  <c r="O380" i="16"/>
  <c r="O381" i="16"/>
  <c r="O382" i="16"/>
  <c r="O383" i="16"/>
  <c r="O384" i="16"/>
  <c r="O385" i="16"/>
  <c r="O386" i="16"/>
  <c r="O387" i="16"/>
  <c r="O388" i="16"/>
  <c r="O389" i="16"/>
  <c r="O390" i="16"/>
  <c r="O391" i="16"/>
  <c r="O392" i="16"/>
  <c r="O393" i="16"/>
  <c r="O394" i="16"/>
  <c r="O395" i="16"/>
  <c r="O396" i="16"/>
  <c r="O397" i="16"/>
  <c r="O398" i="16"/>
  <c r="O399" i="16"/>
  <c r="O400" i="16"/>
  <c r="O401" i="16"/>
  <c r="O402" i="16"/>
  <c r="O403" i="16"/>
  <c r="O404" i="16"/>
  <c r="O405" i="16"/>
  <c r="O406" i="16"/>
  <c r="O407" i="16"/>
  <c r="O408" i="16"/>
  <c r="O409" i="16"/>
  <c r="O410" i="16"/>
  <c r="O411" i="16"/>
  <c r="O412" i="16"/>
  <c r="O413" i="16"/>
  <c r="O414" i="16"/>
  <c r="O415" i="16"/>
  <c r="O416" i="16"/>
  <c r="O417" i="16"/>
  <c r="O418" i="16"/>
  <c r="O419" i="16"/>
  <c r="O420" i="16"/>
  <c r="O421" i="16"/>
  <c r="O422" i="16"/>
  <c r="O423" i="16"/>
  <c r="O424" i="16"/>
  <c r="O425" i="16"/>
  <c r="O426" i="16"/>
  <c r="O427" i="16"/>
  <c r="O428" i="16"/>
  <c r="O429" i="16"/>
  <c r="O430" i="16"/>
  <c r="O431" i="16"/>
  <c r="O432" i="16"/>
  <c r="O433" i="16"/>
  <c r="O434" i="16"/>
  <c r="O435" i="16"/>
  <c r="O436" i="16"/>
  <c r="O437" i="16"/>
  <c r="O438" i="16"/>
  <c r="O439" i="16"/>
  <c r="O440" i="16"/>
  <c r="O441" i="16"/>
  <c r="O442" i="16"/>
  <c r="O443" i="16"/>
  <c r="O444" i="16"/>
  <c r="O445" i="16"/>
  <c r="O446" i="16"/>
  <c r="O447" i="16"/>
  <c r="O448" i="16"/>
  <c r="O449" i="16"/>
  <c r="O450" i="16"/>
  <c r="O451" i="16"/>
  <c r="O452" i="16"/>
  <c r="O453" i="16"/>
  <c r="O454" i="16"/>
  <c r="O455" i="16"/>
  <c r="O456" i="16"/>
  <c r="O457" i="16"/>
  <c r="O458" i="16"/>
  <c r="O459" i="16"/>
  <c r="O460" i="16"/>
  <c r="O461" i="16"/>
  <c r="O462" i="16"/>
  <c r="O463" i="16"/>
  <c r="O464" i="16"/>
  <c r="O465" i="16"/>
  <c r="O466" i="16"/>
  <c r="O467" i="16"/>
  <c r="O468" i="16"/>
  <c r="O469" i="16"/>
  <c r="O470" i="16"/>
  <c r="O471" i="16"/>
  <c r="O472" i="16"/>
  <c r="O473" i="16"/>
  <c r="O474" i="16"/>
  <c r="O475" i="16"/>
  <c r="O476" i="16"/>
  <c r="O477" i="16"/>
  <c r="O478" i="16"/>
  <c r="O479" i="16"/>
  <c r="O480" i="16"/>
  <c r="O481" i="16"/>
  <c r="O482" i="16"/>
  <c r="O483" i="16"/>
  <c r="O484" i="16"/>
  <c r="O485" i="16"/>
  <c r="O486" i="16"/>
  <c r="O487" i="16"/>
  <c r="O488" i="16"/>
  <c r="O489" i="16"/>
  <c r="O490" i="16"/>
  <c r="O491" i="16"/>
  <c r="O492" i="16"/>
  <c r="O493" i="16"/>
  <c r="O494" i="16"/>
  <c r="O495" i="16"/>
  <c r="O496" i="16"/>
  <c r="O497" i="16"/>
  <c r="O498" i="16"/>
  <c r="O499" i="16"/>
  <c r="O500" i="16"/>
  <c r="O501" i="16"/>
  <c r="O502" i="16"/>
  <c r="O503" i="16"/>
  <c r="O504" i="16"/>
  <c r="O505" i="16"/>
  <c r="O506" i="16"/>
  <c r="O507" i="16"/>
  <c r="O508" i="16"/>
  <c r="O509" i="16"/>
  <c r="O510" i="16"/>
  <c r="O511" i="16"/>
  <c r="O512" i="16"/>
  <c r="O513" i="16"/>
  <c r="O514" i="16"/>
  <c r="O515" i="16"/>
  <c r="O516" i="16"/>
  <c r="O517" i="16"/>
  <c r="O518" i="16"/>
  <c r="O519" i="16"/>
  <c r="O520" i="16"/>
  <c r="O521" i="16"/>
  <c r="O522" i="16"/>
  <c r="O523" i="16"/>
  <c r="O524" i="16"/>
  <c r="O525" i="16"/>
  <c r="O526" i="16"/>
  <c r="O527" i="16"/>
  <c r="O528" i="16"/>
  <c r="O529" i="16"/>
  <c r="O530" i="16"/>
  <c r="O531" i="16"/>
  <c r="O532" i="16"/>
  <c r="O533" i="16"/>
  <c r="O534" i="16"/>
  <c r="O535" i="16"/>
  <c r="O536" i="16"/>
  <c r="O537" i="16"/>
  <c r="O538" i="16"/>
  <c r="O539" i="16"/>
  <c r="O540" i="16"/>
  <c r="O541" i="16"/>
  <c r="O542" i="16"/>
  <c r="O543" i="16"/>
  <c r="O544" i="16"/>
  <c r="O545" i="16"/>
  <c r="O546" i="16"/>
  <c r="O547" i="16"/>
  <c r="O548" i="16"/>
  <c r="O549" i="16"/>
  <c r="O550" i="16"/>
  <c r="O551" i="16"/>
  <c r="O552" i="16"/>
  <c r="O553" i="16"/>
  <c r="O554" i="16"/>
  <c r="O555" i="16"/>
  <c r="O556" i="16"/>
  <c r="O557" i="16"/>
  <c r="O558" i="16"/>
  <c r="O559" i="16"/>
  <c r="O560" i="16"/>
  <c r="O561" i="16"/>
  <c r="O562" i="16"/>
  <c r="O563" i="16"/>
  <c r="O564" i="16"/>
  <c r="O565" i="16"/>
  <c r="O566" i="16"/>
  <c r="O567" i="16"/>
  <c r="O568" i="16"/>
  <c r="O569" i="16"/>
  <c r="O570" i="16"/>
  <c r="O571" i="16"/>
  <c r="O572" i="16"/>
  <c r="O573" i="16"/>
  <c r="O574" i="16"/>
  <c r="O575" i="16"/>
  <c r="O576" i="16"/>
  <c r="O577" i="16"/>
  <c r="O578" i="16"/>
  <c r="O579" i="16"/>
  <c r="O580" i="16"/>
  <c r="O581" i="16"/>
  <c r="O582" i="16"/>
  <c r="O583" i="16"/>
  <c r="O584" i="16"/>
  <c r="O585" i="16"/>
  <c r="O586" i="16"/>
  <c r="O587" i="16"/>
  <c r="O588" i="16"/>
  <c r="O589" i="16"/>
  <c r="O590" i="16"/>
  <c r="O591" i="16"/>
  <c r="O592" i="16"/>
  <c r="O593" i="16"/>
  <c r="O594" i="16"/>
  <c r="O595" i="16"/>
  <c r="O596" i="16"/>
  <c r="O597" i="16"/>
  <c r="O598" i="16"/>
  <c r="O599" i="16"/>
  <c r="O600" i="16"/>
  <c r="O601" i="16"/>
  <c r="O602" i="16"/>
  <c r="O603" i="16"/>
  <c r="O604" i="16"/>
  <c r="O605" i="16"/>
  <c r="O606" i="16"/>
  <c r="O607" i="16"/>
  <c r="O608" i="16"/>
  <c r="O609" i="16"/>
  <c r="O610" i="16"/>
  <c r="O611" i="16"/>
  <c r="O612" i="16"/>
  <c r="O613" i="16"/>
  <c r="O614" i="16"/>
  <c r="O615" i="16"/>
  <c r="O616" i="16"/>
  <c r="O617" i="16"/>
  <c r="O618" i="16"/>
  <c r="O619" i="16"/>
  <c r="O620" i="16"/>
  <c r="O621" i="16"/>
  <c r="O622" i="16"/>
  <c r="O623" i="16"/>
  <c r="O624" i="16"/>
  <c r="O625" i="16"/>
  <c r="O626" i="16"/>
  <c r="O627" i="16"/>
  <c r="O628" i="16"/>
  <c r="O629" i="16"/>
  <c r="O630" i="16"/>
  <c r="O631" i="16"/>
  <c r="O632" i="16"/>
  <c r="O633" i="16"/>
  <c r="O634" i="16"/>
  <c r="O635" i="16"/>
  <c r="O636" i="16"/>
  <c r="O637" i="16"/>
  <c r="O638" i="16"/>
  <c r="O639" i="16"/>
  <c r="O640" i="16"/>
  <c r="O641" i="16"/>
  <c r="O642" i="16"/>
  <c r="O643" i="16"/>
  <c r="O644" i="16"/>
  <c r="O645" i="16"/>
  <c r="O646" i="16"/>
  <c r="O647" i="16"/>
  <c r="O648" i="16"/>
  <c r="O649" i="16"/>
  <c r="O650" i="16"/>
  <c r="O651" i="16"/>
  <c r="O652" i="16"/>
  <c r="O653" i="16"/>
  <c r="O654" i="16"/>
  <c r="O655" i="16"/>
  <c r="O656" i="16"/>
  <c r="O657" i="16"/>
  <c r="O658" i="16"/>
  <c r="O659" i="16"/>
  <c r="O660" i="16"/>
  <c r="O661" i="16"/>
  <c r="O662" i="16"/>
  <c r="O663" i="16"/>
  <c r="O664" i="16"/>
  <c r="O665" i="16"/>
  <c r="O666" i="16"/>
  <c r="O667" i="16"/>
  <c r="O668" i="16"/>
  <c r="O669" i="16"/>
  <c r="O670" i="16"/>
  <c r="O671" i="16"/>
  <c r="O672" i="16"/>
  <c r="O673" i="16"/>
  <c r="O674" i="16"/>
  <c r="O675" i="16"/>
  <c r="O676" i="16"/>
  <c r="O677" i="16"/>
  <c r="O678" i="16"/>
  <c r="O679" i="16"/>
  <c r="O680" i="16"/>
  <c r="O681" i="16"/>
  <c r="O682" i="16"/>
  <c r="O683" i="16"/>
  <c r="O684" i="16"/>
  <c r="O685" i="16"/>
  <c r="O686" i="16"/>
  <c r="O687" i="16"/>
  <c r="O688" i="16"/>
  <c r="O689" i="16"/>
  <c r="O690" i="16"/>
  <c r="O691" i="16"/>
  <c r="O692" i="16"/>
  <c r="O693" i="16"/>
  <c r="O694" i="16"/>
  <c r="O695" i="16"/>
  <c r="O696" i="16"/>
  <c r="O697" i="16"/>
  <c r="O698" i="16"/>
  <c r="O699" i="16"/>
  <c r="O700" i="16"/>
  <c r="O701" i="16"/>
  <c r="O702" i="16"/>
  <c r="O703" i="16"/>
  <c r="O704" i="16"/>
  <c r="O705" i="16"/>
  <c r="O706" i="16"/>
  <c r="O707" i="16"/>
  <c r="O708" i="16"/>
  <c r="O709" i="16"/>
  <c r="O710" i="16"/>
  <c r="O711" i="16"/>
  <c r="O712" i="16"/>
  <c r="O713" i="16"/>
  <c r="O714" i="16"/>
  <c r="O715" i="16"/>
  <c r="O716" i="16"/>
  <c r="O717" i="16"/>
  <c r="O718" i="16"/>
  <c r="O719" i="16"/>
  <c r="O720" i="16"/>
  <c r="O721" i="16"/>
  <c r="O722" i="16"/>
  <c r="O723" i="16"/>
  <c r="O724" i="16"/>
  <c r="O725" i="16"/>
  <c r="O726" i="16"/>
  <c r="O727" i="16"/>
  <c r="O728" i="16"/>
  <c r="O729" i="16"/>
  <c r="O730" i="16"/>
  <c r="O731" i="16"/>
  <c r="O732" i="16"/>
  <c r="O733" i="16"/>
  <c r="O2" i="16"/>
  <c r="X19" i="16" s="1"/>
  <c r="C3" i="16"/>
  <c r="D3" i="16" s="1"/>
  <c r="C4" i="16"/>
  <c r="D4" i="16" s="1"/>
  <c r="C5" i="16"/>
  <c r="D5" i="16" s="1"/>
  <c r="C6" i="16"/>
  <c r="D6" i="16" s="1"/>
  <c r="C7" i="16"/>
  <c r="D7" i="16" s="1"/>
  <c r="C8" i="16"/>
  <c r="D8" i="16" s="1"/>
  <c r="C9" i="16"/>
  <c r="D9" i="16" s="1"/>
  <c r="C10" i="16"/>
  <c r="D10" i="16" s="1"/>
  <c r="C11" i="16"/>
  <c r="D11" i="16" s="1"/>
  <c r="C12" i="16"/>
  <c r="D12" i="16" s="1"/>
  <c r="C13" i="16"/>
  <c r="D13" i="16" s="1"/>
  <c r="C14" i="16"/>
  <c r="D14" i="16" s="1"/>
  <c r="C15" i="16"/>
  <c r="D15" i="16" s="1"/>
  <c r="C16" i="16"/>
  <c r="D16" i="16" s="1"/>
  <c r="C17" i="16"/>
  <c r="D17" i="16" s="1"/>
  <c r="C18" i="16"/>
  <c r="D18" i="16" s="1"/>
  <c r="C19" i="16"/>
  <c r="D19" i="16" s="1"/>
  <c r="C20" i="16"/>
  <c r="D20" i="16" s="1"/>
  <c r="C21" i="16"/>
  <c r="D21" i="16" s="1"/>
  <c r="C22" i="16"/>
  <c r="D22" i="16" s="1"/>
  <c r="C23" i="16"/>
  <c r="D23" i="16" s="1"/>
  <c r="C24" i="16"/>
  <c r="D24" i="16" s="1"/>
  <c r="C25" i="16"/>
  <c r="D25" i="16" s="1"/>
  <c r="C26" i="16"/>
  <c r="D26" i="16" s="1"/>
  <c r="C27" i="16"/>
  <c r="D27" i="16" s="1"/>
  <c r="C28" i="16"/>
  <c r="D28" i="16" s="1"/>
  <c r="C29" i="16"/>
  <c r="D29" i="16" s="1"/>
  <c r="C30" i="16"/>
  <c r="D30" i="16" s="1"/>
  <c r="C31" i="16"/>
  <c r="D31" i="16" s="1"/>
  <c r="C32" i="16"/>
  <c r="D32" i="16" s="1"/>
  <c r="C33" i="16"/>
  <c r="D33" i="16" s="1"/>
  <c r="C34" i="16"/>
  <c r="D34" i="16" s="1"/>
  <c r="C35" i="16"/>
  <c r="D35" i="16" s="1"/>
  <c r="C36" i="16"/>
  <c r="D36" i="16" s="1"/>
  <c r="C37" i="16"/>
  <c r="D37" i="16" s="1"/>
  <c r="C38" i="16"/>
  <c r="D38" i="16" s="1"/>
  <c r="C39" i="16"/>
  <c r="D39" i="16" s="1"/>
  <c r="C40" i="16"/>
  <c r="D40" i="16" s="1"/>
  <c r="C41" i="16"/>
  <c r="D41" i="16" s="1"/>
  <c r="C42" i="16"/>
  <c r="D42" i="16" s="1"/>
  <c r="C43" i="16"/>
  <c r="D43" i="16" s="1"/>
  <c r="C44" i="16"/>
  <c r="D44" i="16" s="1"/>
  <c r="C45" i="16"/>
  <c r="D45" i="16" s="1"/>
  <c r="C46" i="16"/>
  <c r="D46" i="16" s="1"/>
  <c r="C47" i="16"/>
  <c r="D47" i="16" s="1"/>
  <c r="C48" i="16"/>
  <c r="D48" i="16" s="1"/>
  <c r="C49" i="16"/>
  <c r="D49" i="16" s="1"/>
  <c r="C50" i="16"/>
  <c r="D50" i="16" s="1"/>
  <c r="C51" i="16"/>
  <c r="D51" i="16" s="1"/>
  <c r="C52" i="16"/>
  <c r="D52" i="16" s="1"/>
  <c r="C53" i="16"/>
  <c r="D53" i="16" s="1"/>
  <c r="C54" i="16"/>
  <c r="D54" i="16" s="1"/>
  <c r="C55" i="16"/>
  <c r="D55" i="16" s="1"/>
  <c r="C56" i="16"/>
  <c r="D56" i="16" s="1"/>
  <c r="C57" i="16"/>
  <c r="D57" i="16" s="1"/>
  <c r="C58" i="16"/>
  <c r="D58" i="16" s="1"/>
  <c r="C59" i="16"/>
  <c r="D59" i="16" s="1"/>
  <c r="C60" i="16"/>
  <c r="D60" i="16" s="1"/>
  <c r="C61" i="16"/>
  <c r="D61" i="16" s="1"/>
  <c r="C62" i="16"/>
  <c r="D62" i="16" s="1"/>
  <c r="C63" i="16"/>
  <c r="D63" i="16" s="1"/>
  <c r="C64" i="16"/>
  <c r="D64" i="16" s="1"/>
  <c r="C65" i="16"/>
  <c r="D65" i="16" s="1"/>
  <c r="C66" i="16"/>
  <c r="D66" i="16" s="1"/>
  <c r="C67" i="16"/>
  <c r="D67" i="16" s="1"/>
  <c r="C68" i="16"/>
  <c r="D68" i="16" s="1"/>
  <c r="C69" i="16"/>
  <c r="D69" i="16" s="1"/>
  <c r="C70" i="16"/>
  <c r="D70" i="16" s="1"/>
  <c r="C71" i="16"/>
  <c r="D71" i="16" s="1"/>
  <c r="C72" i="16"/>
  <c r="D72" i="16" s="1"/>
  <c r="C73" i="16"/>
  <c r="D73" i="16" s="1"/>
  <c r="C74" i="16"/>
  <c r="D74" i="16" s="1"/>
  <c r="C75" i="16"/>
  <c r="D75" i="16" s="1"/>
  <c r="C76" i="16"/>
  <c r="D76" i="16" s="1"/>
  <c r="C77" i="16"/>
  <c r="D77" i="16" s="1"/>
  <c r="C78" i="16"/>
  <c r="D78" i="16" s="1"/>
  <c r="C79" i="16"/>
  <c r="D79" i="16" s="1"/>
  <c r="C80" i="16"/>
  <c r="D80" i="16" s="1"/>
  <c r="C81" i="16"/>
  <c r="D81" i="16" s="1"/>
  <c r="C82" i="16"/>
  <c r="D82" i="16" s="1"/>
  <c r="C83" i="16"/>
  <c r="D83" i="16" s="1"/>
  <c r="C84" i="16"/>
  <c r="D84" i="16" s="1"/>
  <c r="C85" i="16"/>
  <c r="D85" i="16" s="1"/>
  <c r="C86" i="16"/>
  <c r="D86" i="16" s="1"/>
  <c r="C87" i="16"/>
  <c r="D87" i="16" s="1"/>
  <c r="C88" i="16"/>
  <c r="D88" i="16" s="1"/>
  <c r="C89" i="16"/>
  <c r="D89" i="16" s="1"/>
  <c r="C90" i="16"/>
  <c r="D90" i="16" s="1"/>
  <c r="C91" i="16"/>
  <c r="D91" i="16" s="1"/>
  <c r="C92" i="16"/>
  <c r="D92" i="16" s="1"/>
  <c r="C93" i="16"/>
  <c r="D93" i="16" s="1"/>
  <c r="C94" i="16"/>
  <c r="D94" i="16" s="1"/>
  <c r="C95" i="16"/>
  <c r="D95" i="16" s="1"/>
  <c r="C96" i="16"/>
  <c r="D96" i="16" s="1"/>
  <c r="C97" i="16"/>
  <c r="D97" i="16" s="1"/>
  <c r="C98" i="16"/>
  <c r="D98" i="16" s="1"/>
  <c r="C99" i="16"/>
  <c r="D99" i="16" s="1"/>
  <c r="C100" i="16"/>
  <c r="D100" i="16" s="1"/>
  <c r="C101" i="16"/>
  <c r="D101" i="16" s="1"/>
  <c r="C102" i="16"/>
  <c r="D102" i="16" s="1"/>
  <c r="C103" i="16"/>
  <c r="D103" i="16" s="1"/>
  <c r="C104" i="16"/>
  <c r="D104" i="16" s="1"/>
  <c r="C105" i="16"/>
  <c r="D105" i="16" s="1"/>
  <c r="C106" i="16"/>
  <c r="D106" i="16" s="1"/>
  <c r="C107" i="16"/>
  <c r="D107" i="16" s="1"/>
  <c r="C108" i="16"/>
  <c r="D108" i="16" s="1"/>
  <c r="C109" i="16"/>
  <c r="D109" i="16" s="1"/>
  <c r="C110" i="16"/>
  <c r="D110" i="16" s="1"/>
  <c r="C111" i="16"/>
  <c r="D111" i="16" s="1"/>
  <c r="C112" i="16"/>
  <c r="D112" i="16" s="1"/>
  <c r="C113" i="16"/>
  <c r="D113" i="16" s="1"/>
  <c r="C114" i="16"/>
  <c r="D114" i="16" s="1"/>
  <c r="C115" i="16"/>
  <c r="D115" i="16" s="1"/>
  <c r="C116" i="16"/>
  <c r="D116" i="16" s="1"/>
  <c r="C117" i="16"/>
  <c r="D117" i="16" s="1"/>
  <c r="C118" i="16"/>
  <c r="D118" i="16" s="1"/>
  <c r="C119" i="16"/>
  <c r="D119" i="16" s="1"/>
  <c r="C120" i="16"/>
  <c r="D120" i="16" s="1"/>
  <c r="C121" i="16"/>
  <c r="D121" i="16" s="1"/>
  <c r="C122" i="16"/>
  <c r="D122" i="16" s="1"/>
  <c r="C123" i="16"/>
  <c r="D123" i="16" s="1"/>
  <c r="C124" i="16"/>
  <c r="D124" i="16" s="1"/>
  <c r="C125" i="16"/>
  <c r="D125" i="16" s="1"/>
  <c r="C126" i="16"/>
  <c r="D126" i="16" s="1"/>
  <c r="C127" i="16"/>
  <c r="D127" i="16" s="1"/>
  <c r="C128" i="16"/>
  <c r="D128" i="16" s="1"/>
  <c r="C129" i="16"/>
  <c r="D129" i="16" s="1"/>
  <c r="C130" i="16"/>
  <c r="D130" i="16" s="1"/>
  <c r="C131" i="16"/>
  <c r="D131" i="16" s="1"/>
  <c r="C132" i="16"/>
  <c r="D132" i="16" s="1"/>
  <c r="C133" i="16"/>
  <c r="D133" i="16" s="1"/>
  <c r="C134" i="16"/>
  <c r="D134" i="16" s="1"/>
  <c r="C135" i="16"/>
  <c r="D135" i="16" s="1"/>
  <c r="C136" i="16"/>
  <c r="D136" i="16" s="1"/>
  <c r="C137" i="16"/>
  <c r="D137" i="16" s="1"/>
  <c r="C138" i="16"/>
  <c r="D138" i="16" s="1"/>
  <c r="C139" i="16"/>
  <c r="D139" i="16" s="1"/>
  <c r="C140" i="16"/>
  <c r="D140" i="16" s="1"/>
  <c r="C141" i="16"/>
  <c r="D141" i="16" s="1"/>
  <c r="C142" i="16"/>
  <c r="D142" i="16" s="1"/>
  <c r="C143" i="16"/>
  <c r="D143" i="16" s="1"/>
  <c r="C144" i="16"/>
  <c r="D144" i="16" s="1"/>
  <c r="C145" i="16"/>
  <c r="D145" i="16" s="1"/>
  <c r="C146" i="16"/>
  <c r="D146" i="16" s="1"/>
  <c r="C147" i="16"/>
  <c r="D147" i="16" s="1"/>
  <c r="C148" i="16"/>
  <c r="D148" i="16" s="1"/>
  <c r="C149" i="16"/>
  <c r="D149" i="16" s="1"/>
  <c r="C150" i="16"/>
  <c r="D150" i="16" s="1"/>
  <c r="C151" i="16"/>
  <c r="D151" i="16" s="1"/>
  <c r="C152" i="16"/>
  <c r="D152" i="16" s="1"/>
  <c r="C153" i="16"/>
  <c r="D153" i="16" s="1"/>
  <c r="C154" i="16"/>
  <c r="D154" i="16" s="1"/>
  <c r="C155" i="16"/>
  <c r="D155" i="16" s="1"/>
  <c r="C156" i="16"/>
  <c r="D156" i="16" s="1"/>
  <c r="C157" i="16"/>
  <c r="D157" i="16" s="1"/>
  <c r="C158" i="16"/>
  <c r="D158" i="16" s="1"/>
  <c r="C159" i="16"/>
  <c r="D159" i="16" s="1"/>
  <c r="C160" i="16"/>
  <c r="D160" i="16" s="1"/>
  <c r="C161" i="16"/>
  <c r="D161" i="16" s="1"/>
  <c r="C162" i="16"/>
  <c r="D162" i="16" s="1"/>
  <c r="C163" i="16"/>
  <c r="D163" i="16" s="1"/>
  <c r="C164" i="16"/>
  <c r="D164" i="16" s="1"/>
  <c r="C165" i="16"/>
  <c r="D165" i="16" s="1"/>
  <c r="C166" i="16"/>
  <c r="D166" i="16" s="1"/>
  <c r="C167" i="16"/>
  <c r="D167" i="16" s="1"/>
  <c r="C168" i="16"/>
  <c r="D168" i="16" s="1"/>
  <c r="C169" i="16"/>
  <c r="D169" i="16" s="1"/>
  <c r="C170" i="16"/>
  <c r="D170" i="16" s="1"/>
  <c r="C171" i="16"/>
  <c r="D171" i="16" s="1"/>
  <c r="C172" i="16"/>
  <c r="D172" i="16" s="1"/>
  <c r="C173" i="16"/>
  <c r="D173" i="16" s="1"/>
  <c r="C174" i="16"/>
  <c r="D174" i="16" s="1"/>
  <c r="C175" i="16"/>
  <c r="D175" i="16" s="1"/>
  <c r="C176" i="16"/>
  <c r="D176" i="16" s="1"/>
  <c r="C177" i="16"/>
  <c r="D177" i="16" s="1"/>
  <c r="C178" i="16"/>
  <c r="D178" i="16" s="1"/>
  <c r="C179" i="16"/>
  <c r="D179" i="16" s="1"/>
  <c r="C180" i="16"/>
  <c r="D180" i="16" s="1"/>
  <c r="C181" i="16"/>
  <c r="D181" i="16" s="1"/>
  <c r="C182" i="16"/>
  <c r="D182" i="16" s="1"/>
  <c r="C183" i="16"/>
  <c r="D183" i="16" s="1"/>
  <c r="C184" i="16"/>
  <c r="D184" i="16" s="1"/>
  <c r="C185" i="16"/>
  <c r="D185" i="16" s="1"/>
  <c r="C186" i="16"/>
  <c r="D186" i="16" s="1"/>
  <c r="C187" i="16"/>
  <c r="D187" i="16" s="1"/>
  <c r="C188" i="16"/>
  <c r="D188" i="16" s="1"/>
  <c r="C189" i="16"/>
  <c r="D189" i="16" s="1"/>
  <c r="C190" i="16"/>
  <c r="D190" i="16" s="1"/>
  <c r="C191" i="16"/>
  <c r="D191" i="16" s="1"/>
  <c r="C192" i="16"/>
  <c r="D192" i="16" s="1"/>
  <c r="C193" i="16"/>
  <c r="D193" i="16" s="1"/>
  <c r="C194" i="16"/>
  <c r="D194" i="16" s="1"/>
  <c r="C195" i="16"/>
  <c r="D195" i="16" s="1"/>
  <c r="C196" i="16"/>
  <c r="D196" i="16" s="1"/>
  <c r="C197" i="16"/>
  <c r="D197" i="16" s="1"/>
  <c r="C198" i="16"/>
  <c r="D198" i="16" s="1"/>
  <c r="C199" i="16"/>
  <c r="D199" i="16" s="1"/>
  <c r="C200" i="16"/>
  <c r="D200" i="16" s="1"/>
  <c r="C201" i="16"/>
  <c r="D201" i="16" s="1"/>
  <c r="C202" i="16"/>
  <c r="D202" i="16" s="1"/>
  <c r="C203" i="16"/>
  <c r="D203" i="16" s="1"/>
  <c r="C204" i="16"/>
  <c r="D204" i="16" s="1"/>
  <c r="C205" i="16"/>
  <c r="D205" i="16" s="1"/>
  <c r="C206" i="16"/>
  <c r="D206" i="16" s="1"/>
  <c r="C207" i="16"/>
  <c r="D207" i="16" s="1"/>
  <c r="C208" i="16"/>
  <c r="D208" i="16" s="1"/>
  <c r="C209" i="16"/>
  <c r="D209" i="16" s="1"/>
  <c r="C210" i="16"/>
  <c r="D210" i="16" s="1"/>
  <c r="C211" i="16"/>
  <c r="D211" i="16" s="1"/>
  <c r="C212" i="16"/>
  <c r="D212" i="16" s="1"/>
  <c r="C213" i="16"/>
  <c r="D213" i="16" s="1"/>
  <c r="C214" i="16"/>
  <c r="D214" i="16" s="1"/>
  <c r="C215" i="16"/>
  <c r="D215" i="16" s="1"/>
  <c r="C216" i="16"/>
  <c r="D216" i="16" s="1"/>
  <c r="C217" i="16"/>
  <c r="D217" i="16" s="1"/>
  <c r="C218" i="16"/>
  <c r="D218" i="16" s="1"/>
  <c r="C219" i="16"/>
  <c r="D219" i="16" s="1"/>
  <c r="C220" i="16"/>
  <c r="D220" i="16" s="1"/>
  <c r="C221" i="16"/>
  <c r="D221" i="16" s="1"/>
  <c r="C222" i="16"/>
  <c r="D222" i="16" s="1"/>
  <c r="C223" i="16"/>
  <c r="D223" i="16" s="1"/>
  <c r="C224" i="16"/>
  <c r="D224" i="16" s="1"/>
  <c r="C225" i="16"/>
  <c r="D225" i="16" s="1"/>
  <c r="C226" i="16"/>
  <c r="D226" i="16" s="1"/>
  <c r="C227" i="16"/>
  <c r="D227" i="16" s="1"/>
  <c r="C228" i="16"/>
  <c r="D228" i="16" s="1"/>
  <c r="C229" i="16"/>
  <c r="D229" i="16" s="1"/>
  <c r="C230" i="16"/>
  <c r="D230" i="16" s="1"/>
  <c r="C231" i="16"/>
  <c r="D231" i="16" s="1"/>
  <c r="C232" i="16"/>
  <c r="D232" i="16" s="1"/>
  <c r="C233" i="16"/>
  <c r="D233" i="16" s="1"/>
  <c r="C234" i="16"/>
  <c r="D234" i="16" s="1"/>
  <c r="C235" i="16"/>
  <c r="D235" i="16" s="1"/>
  <c r="C236" i="16"/>
  <c r="D236" i="16" s="1"/>
  <c r="C237" i="16"/>
  <c r="D237" i="16" s="1"/>
  <c r="C238" i="16"/>
  <c r="D238" i="16" s="1"/>
  <c r="C239" i="16"/>
  <c r="D239" i="16" s="1"/>
  <c r="C240" i="16"/>
  <c r="D240" i="16" s="1"/>
  <c r="C241" i="16"/>
  <c r="D241" i="16" s="1"/>
  <c r="C242" i="16"/>
  <c r="D242" i="16" s="1"/>
  <c r="C243" i="16"/>
  <c r="D243" i="16" s="1"/>
  <c r="C244" i="16"/>
  <c r="D244" i="16" s="1"/>
  <c r="C245" i="16"/>
  <c r="D245" i="16" s="1"/>
  <c r="C246" i="16"/>
  <c r="D246" i="16" s="1"/>
  <c r="C247" i="16"/>
  <c r="D247" i="16" s="1"/>
  <c r="C248" i="16"/>
  <c r="D248" i="16" s="1"/>
  <c r="C249" i="16"/>
  <c r="D249" i="16" s="1"/>
  <c r="C250" i="16"/>
  <c r="D250" i="16" s="1"/>
  <c r="C251" i="16"/>
  <c r="D251" i="16" s="1"/>
  <c r="C252" i="16"/>
  <c r="D252" i="16" s="1"/>
  <c r="C253" i="16"/>
  <c r="D253" i="16" s="1"/>
  <c r="C254" i="16"/>
  <c r="D254" i="16" s="1"/>
  <c r="C255" i="16"/>
  <c r="D255" i="16" s="1"/>
  <c r="C256" i="16"/>
  <c r="D256" i="16" s="1"/>
  <c r="C257" i="16"/>
  <c r="D257" i="16" s="1"/>
  <c r="C258" i="16"/>
  <c r="D258" i="16" s="1"/>
  <c r="C259" i="16"/>
  <c r="D259" i="16" s="1"/>
  <c r="C260" i="16"/>
  <c r="D260" i="16" s="1"/>
  <c r="C261" i="16"/>
  <c r="D261" i="16" s="1"/>
  <c r="C262" i="16"/>
  <c r="D262" i="16" s="1"/>
  <c r="C263" i="16"/>
  <c r="D263" i="16" s="1"/>
  <c r="C264" i="16"/>
  <c r="D264" i="16" s="1"/>
  <c r="C265" i="16"/>
  <c r="D265" i="16" s="1"/>
  <c r="C266" i="16"/>
  <c r="D266" i="16" s="1"/>
  <c r="C267" i="16"/>
  <c r="D267" i="16" s="1"/>
  <c r="C268" i="16"/>
  <c r="D268" i="16" s="1"/>
  <c r="C269" i="16"/>
  <c r="D269" i="16" s="1"/>
  <c r="C270" i="16"/>
  <c r="D270" i="16" s="1"/>
  <c r="C271" i="16"/>
  <c r="D271" i="16" s="1"/>
  <c r="C272" i="16"/>
  <c r="D272" i="16" s="1"/>
  <c r="C273" i="16"/>
  <c r="D273" i="16" s="1"/>
  <c r="C274" i="16"/>
  <c r="D274" i="16" s="1"/>
  <c r="C275" i="16"/>
  <c r="D275" i="16" s="1"/>
  <c r="C276" i="16"/>
  <c r="D276" i="16" s="1"/>
  <c r="C277" i="16"/>
  <c r="D277" i="16" s="1"/>
  <c r="C278" i="16"/>
  <c r="D278" i="16" s="1"/>
  <c r="C279" i="16"/>
  <c r="D279" i="16" s="1"/>
  <c r="C280" i="16"/>
  <c r="D280" i="16" s="1"/>
  <c r="C281" i="16"/>
  <c r="D281" i="16" s="1"/>
  <c r="C282" i="16"/>
  <c r="D282" i="16" s="1"/>
  <c r="C283" i="16"/>
  <c r="D283" i="16" s="1"/>
  <c r="C284" i="16"/>
  <c r="D284" i="16" s="1"/>
  <c r="C285" i="16"/>
  <c r="D285" i="16" s="1"/>
  <c r="C286" i="16"/>
  <c r="D286" i="16" s="1"/>
  <c r="C287" i="16"/>
  <c r="D287" i="16" s="1"/>
  <c r="C288" i="16"/>
  <c r="D288" i="16" s="1"/>
  <c r="C289" i="16"/>
  <c r="D289" i="16" s="1"/>
  <c r="C290" i="16"/>
  <c r="D290" i="16" s="1"/>
  <c r="C291" i="16"/>
  <c r="D291" i="16" s="1"/>
  <c r="C292" i="16"/>
  <c r="D292" i="16" s="1"/>
  <c r="C293" i="16"/>
  <c r="D293" i="16" s="1"/>
  <c r="C294" i="16"/>
  <c r="D294" i="16" s="1"/>
  <c r="C295" i="16"/>
  <c r="D295" i="16" s="1"/>
  <c r="C296" i="16"/>
  <c r="D296" i="16" s="1"/>
  <c r="C297" i="16"/>
  <c r="D297" i="16" s="1"/>
  <c r="C298" i="16"/>
  <c r="D298" i="16" s="1"/>
  <c r="C299" i="16"/>
  <c r="D299" i="16" s="1"/>
  <c r="C300" i="16"/>
  <c r="D300" i="16" s="1"/>
  <c r="C301" i="16"/>
  <c r="D301" i="16" s="1"/>
  <c r="C302" i="16"/>
  <c r="D302" i="16" s="1"/>
  <c r="C303" i="16"/>
  <c r="D303" i="16" s="1"/>
  <c r="C304" i="16"/>
  <c r="D304" i="16" s="1"/>
  <c r="C305" i="16"/>
  <c r="D305" i="16" s="1"/>
  <c r="C306" i="16"/>
  <c r="D306" i="16" s="1"/>
  <c r="C307" i="16"/>
  <c r="D307" i="16" s="1"/>
  <c r="C308" i="16"/>
  <c r="D308" i="16" s="1"/>
  <c r="C309" i="16"/>
  <c r="D309" i="16" s="1"/>
  <c r="C310" i="16"/>
  <c r="D310" i="16" s="1"/>
  <c r="C311" i="16"/>
  <c r="D311" i="16" s="1"/>
  <c r="C312" i="16"/>
  <c r="D312" i="16" s="1"/>
  <c r="C313" i="16"/>
  <c r="D313" i="16" s="1"/>
  <c r="C314" i="16"/>
  <c r="D314" i="16" s="1"/>
  <c r="C315" i="16"/>
  <c r="D315" i="16" s="1"/>
  <c r="C316" i="16"/>
  <c r="D316" i="16" s="1"/>
  <c r="C317" i="16"/>
  <c r="D317" i="16" s="1"/>
  <c r="C318" i="16"/>
  <c r="D318" i="16" s="1"/>
  <c r="C319" i="16"/>
  <c r="D319" i="16" s="1"/>
  <c r="C320" i="16"/>
  <c r="D320" i="16" s="1"/>
  <c r="C321" i="16"/>
  <c r="D321" i="16" s="1"/>
  <c r="C322" i="16"/>
  <c r="D322" i="16" s="1"/>
  <c r="C323" i="16"/>
  <c r="D323" i="16" s="1"/>
  <c r="C324" i="16"/>
  <c r="D324" i="16" s="1"/>
  <c r="C325" i="16"/>
  <c r="D325" i="16" s="1"/>
  <c r="C326" i="16"/>
  <c r="D326" i="16" s="1"/>
  <c r="C327" i="16"/>
  <c r="D327" i="16" s="1"/>
  <c r="C328" i="16"/>
  <c r="D328" i="16" s="1"/>
  <c r="C329" i="16"/>
  <c r="D329" i="16" s="1"/>
  <c r="C330" i="16"/>
  <c r="D330" i="16" s="1"/>
  <c r="C331" i="16"/>
  <c r="D331" i="16" s="1"/>
  <c r="C332" i="16"/>
  <c r="D332" i="16" s="1"/>
  <c r="C333" i="16"/>
  <c r="D333" i="16" s="1"/>
  <c r="C334" i="16"/>
  <c r="D334" i="16" s="1"/>
  <c r="C335" i="16"/>
  <c r="D335" i="16" s="1"/>
  <c r="C336" i="16"/>
  <c r="D336" i="16" s="1"/>
  <c r="C337" i="16"/>
  <c r="D337" i="16" s="1"/>
  <c r="C338" i="16"/>
  <c r="D338" i="16" s="1"/>
  <c r="C339" i="16"/>
  <c r="D339" i="16" s="1"/>
  <c r="C340" i="16"/>
  <c r="D340" i="16" s="1"/>
  <c r="C341" i="16"/>
  <c r="D341" i="16" s="1"/>
  <c r="C342" i="16"/>
  <c r="D342" i="16" s="1"/>
  <c r="C343" i="16"/>
  <c r="D343" i="16" s="1"/>
  <c r="C344" i="16"/>
  <c r="D344" i="16" s="1"/>
  <c r="C345" i="16"/>
  <c r="D345" i="16" s="1"/>
  <c r="C346" i="16"/>
  <c r="D346" i="16" s="1"/>
  <c r="C347" i="16"/>
  <c r="D347" i="16" s="1"/>
  <c r="C348" i="16"/>
  <c r="D348" i="16" s="1"/>
  <c r="C349" i="16"/>
  <c r="D349" i="16" s="1"/>
  <c r="C350" i="16"/>
  <c r="D350" i="16" s="1"/>
  <c r="C351" i="16"/>
  <c r="D351" i="16" s="1"/>
  <c r="C352" i="16"/>
  <c r="D352" i="16" s="1"/>
  <c r="C353" i="16"/>
  <c r="D353" i="16" s="1"/>
  <c r="C354" i="16"/>
  <c r="D354" i="16" s="1"/>
  <c r="C355" i="16"/>
  <c r="D355" i="16" s="1"/>
  <c r="C356" i="16"/>
  <c r="D356" i="16" s="1"/>
  <c r="C357" i="16"/>
  <c r="D357" i="16" s="1"/>
  <c r="C358" i="16"/>
  <c r="D358" i="16" s="1"/>
  <c r="C359" i="16"/>
  <c r="D359" i="16" s="1"/>
  <c r="C360" i="16"/>
  <c r="D360" i="16" s="1"/>
  <c r="C361" i="16"/>
  <c r="D361" i="16" s="1"/>
  <c r="C362" i="16"/>
  <c r="D362" i="16" s="1"/>
  <c r="C363" i="16"/>
  <c r="D363" i="16" s="1"/>
  <c r="C364" i="16"/>
  <c r="D364" i="16" s="1"/>
  <c r="C365" i="16"/>
  <c r="D365" i="16" s="1"/>
  <c r="C366" i="16"/>
  <c r="D366" i="16" s="1"/>
  <c r="C367" i="16"/>
  <c r="D367" i="16" s="1"/>
  <c r="C368" i="16"/>
  <c r="D368" i="16" s="1"/>
  <c r="C369" i="16"/>
  <c r="D369" i="16" s="1"/>
  <c r="C370" i="16"/>
  <c r="D370" i="16" s="1"/>
  <c r="C371" i="16"/>
  <c r="D371" i="16" s="1"/>
  <c r="C372" i="16"/>
  <c r="D372" i="16" s="1"/>
  <c r="C373" i="16"/>
  <c r="D373" i="16" s="1"/>
  <c r="C374" i="16"/>
  <c r="D374" i="16" s="1"/>
  <c r="C375" i="16"/>
  <c r="D375" i="16" s="1"/>
  <c r="C376" i="16"/>
  <c r="D376" i="16" s="1"/>
  <c r="C377" i="16"/>
  <c r="D377" i="16" s="1"/>
  <c r="C378" i="16"/>
  <c r="D378" i="16" s="1"/>
  <c r="C379" i="16"/>
  <c r="D379" i="16" s="1"/>
  <c r="C380" i="16"/>
  <c r="D380" i="16" s="1"/>
  <c r="C381" i="16"/>
  <c r="D381" i="16" s="1"/>
  <c r="C382" i="16"/>
  <c r="D382" i="16" s="1"/>
  <c r="C383" i="16"/>
  <c r="D383" i="16" s="1"/>
  <c r="C384" i="16"/>
  <c r="D384" i="16" s="1"/>
  <c r="C385" i="16"/>
  <c r="D385" i="16" s="1"/>
  <c r="C386" i="16"/>
  <c r="D386" i="16" s="1"/>
  <c r="C387" i="16"/>
  <c r="D387" i="16" s="1"/>
  <c r="C388" i="16"/>
  <c r="D388" i="16" s="1"/>
  <c r="C389" i="16"/>
  <c r="D389" i="16" s="1"/>
  <c r="C390" i="16"/>
  <c r="D390" i="16" s="1"/>
  <c r="C391" i="16"/>
  <c r="D391" i="16" s="1"/>
  <c r="C392" i="16"/>
  <c r="D392" i="16" s="1"/>
  <c r="C393" i="16"/>
  <c r="D393" i="16" s="1"/>
  <c r="C394" i="16"/>
  <c r="D394" i="16" s="1"/>
  <c r="C395" i="16"/>
  <c r="D395" i="16" s="1"/>
  <c r="C396" i="16"/>
  <c r="D396" i="16" s="1"/>
  <c r="C397" i="16"/>
  <c r="D397" i="16" s="1"/>
  <c r="C398" i="16"/>
  <c r="D398" i="16" s="1"/>
  <c r="C399" i="16"/>
  <c r="D399" i="16" s="1"/>
  <c r="C400" i="16"/>
  <c r="D400" i="16" s="1"/>
  <c r="C401" i="16"/>
  <c r="D401" i="16" s="1"/>
  <c r="C402" i="16"/>
  <c r="D402" i="16" s="1"/>
  <c r="C403" i="16"/>
  <c r="D403" i="16" s="1"/>
  <c r="C404" i="16"/>
  <c r="D404" i="16" s="1"/>
  <c r="C405" i="16"/>
  <c r="D405" i="16" s="1"/>
  <c r="C406" i="16"/>
  <c r="D406" i="16" s="1"/>
  <c r="C407" i="16"/>
  <c r="D407" i="16" s="1"/>
  <c r="C408" i="16"/>
  <c r="D408" i="16" s="1"/>
  <c r="C409" i="16"/>
  <c r="D409" i="16" s="1"/>
  <c r="C410" i="16"/>
  <c r="D410" i="16" s="1"/>
  <c r="C411" i="16"/>
  <c r="D411" i="16" s="1"/>
  <c r="C412" i="16"/>
  <c r="D412" i="16" s="1"/>
  <c r="C413" i="16"/>
  <c r="D413" i="16" s="1"/>
  <c r="C414" i="16"/>
  <c r="D414" i="16" s="1"/>
  <c r="C415" i="16"/>
  <c r="D415" i="16" s="1"/>
  <c r="C416" i="16"/>
  <c r="D416" i="16" s="1"/>
  <c r="C417" i="16"/>
  <c r="D417" i="16" s="1"/>
  <c r="C418" i="16"/>
  <c r="D418" i="16" s="1"/>
  <c r="C419" i="16"/>
  <c r="D419" i="16" s="1"/>
  <c r="C420" i="16"/>
  <c r="D420" i="16" s="1"/>
  <c r="C421" i="16"/>
  <c r="D421" i="16" s="1"/>
  <c r="C422" i="16"/>
  <c r="D422" i="16" s="1"/>
  <c r="C423" i="16"/>
  <c r="D423" i="16" s="1"/>
  <c r="C424" i="16"/>
  <c r="D424" i="16" s="1"/>
  <c r="C425" i="16"/>
  <c r="D425" i="16" s="1"/>
  <c r="C426" i="16"/>
  <c r="D426" i="16" s="1"/>
  <c r="C427" i="16"/>
  <c r="D427" i="16" s="1"/>
  <c r="C428" i="16"/>
  <c r="D428" i="16" s="1"/>
  <c r="C429" i="16"/>
  <c r="D429" i="16" s="1"/>
  <c r="C430" i="16"/>
  <c r="D430" i="16" s="1"/>
  <c r="C431" i="16"/>
  <c r="D431" i="16" s="1"/>
  <c r="C432" i="16"/>
  <c r="D432" i="16" s="1"/>
  <c r="C433" i="16"/>
  <c r="D433" i="16" s="1"/>
  <c r="C434" i="16"/>
  <c r="D434" i="16" s="1"/>
  <c r="C435" i="16"/>
  <c r="D435" i="16" s="1"/>
  <c r="C436" i="16"/>
  <c r="D436" i="16" s="1"/>
  <c r="C437" i="16"/>
  <c r="D437" i="16" s="1"/>
  <c r="C438" i="16"/>
  <c r="D438" i="16" s="1"/>
  <c r="C439" i="16"/>
  <c r="D439" i="16" s="1"/>
  <c r="C440" i="16"/>
  <c r="D440" i="16" s="1"/>
  <c r="C441" i="16"/>
  <c r="D441" i="16" s="1"/>
  <c r="C442" i="16"/>
  <c r="D442" i="16" s="1"/>
  <c r="C443" i="16"/>
  <c r="D443" i="16" s="1"/>
  <c r="C444" i="16"/>
  <c r="D444" i="16" s="1"/>
  <c r="C445" i="16"/>
  <c r="D445" i="16" s="1"/>
  <c r="C446" i="16"/>
  <c r="D446" i="16" s="1"/>
  <c r="C447" i="16"/>
  <c r="D447" i="16" s="1"/>
  <c r="C448" i="16"/>
  <c r="D448" i="16" s="1"/>
  <c r="C449" i="16"/>
  <c r="D449" i="16" s="1"/>
  <c r="C450" i="16"/>
  <c r="D450" i="16" s="1"/>
  <c r="C451" i="16"/>
  <c r="D451" i="16" s="1"/>
  <c r="C452" i="16"/>
  <c r="D452" i="16" s="1"/>
  <c r="C453" i="16"/>
  <c r="D453" i="16" s="1"/>
  <c r="C454" i="16"/>
  <c r="D454" i="16" s="1"/>
  <c r="C455" i="16"/>
  <c r="D455" i="16" s="1"/>
  <c r="C456" i="16"/>
  <c r="D456" i="16" s="1"/>
  <c r="C457" i="16"/>
  <c r="D457" i="16" s="1"/>
  <c r="C458" i="16"/>
  <c r="D458" i="16" s="1"/>
  <c r="C459" i="16"/>
  <c r="D459" i="16" s="1"/>
  <c r="C460" i="16"/>
  <c r="D460" i="16" s="1"/>
  <c r="C461" i="16"/>
  <c r="D461" i="16" s="1"/>
  <c r="C462" i="16"/>
  <c r="D462" i="16" s="1"/>
  <c r="C463" i="16"/>
  <c r="D463" i="16" s="1"/>
  <c r="C464" i="16"/>
  <c r="D464" i="16" s="1"/>
  <c r="C465" i="16"/>
  <c r="D465" i="16" s="1"/>
  <c r="C466" i="16"/>
  <c r="D466" i="16" s="1"/>
  <c r="C467" i="16"/>
  <c r="D467" i="16" s="1"/>
  <c r="C468" i="16"/>
  <c r="D468" i="16" s="1"/>
  <c r="C469" i="16"/>
  <c r="D469" i="16" s="1"/>
  <c r="C470" i="16"/>
  <c r="D470" i="16" s="1"/>
  <c r="C471" i="16"/>
  <c r="D471" i="16" s="1"/>
  <c r="C472" i="16"/>
  <c r="D472" i="16" s="1"/>
  <c r="C473" i="16"/>
  <c r="D473" i="16" s="1"/>
  <c r="C474" i="16"/>
  <c r="D474" i="16" s="1"/>
  <c r="C475" i="16"/>
  <c r="D475" i="16" s="1"/>
  <c r="C476" i="16"/>
  <c r="D476" i="16" s="1"/>
  <c r="C477" i="16"/>
  <c r="D477" i="16" s="1"/>
  <c r="C478" i="16"/>
  <c r="D478" i="16" s="1"/>
  <c r="C479" i="16"/>
  <c r="D479" i="16" s="1"/>
  <c r="C480" i="16"/>
  <c r="D480" i="16" s="1"/>
  <c r="C481" i="16"/>
  <c r="D481" i="16" s="1"/>
  <c r="C482" i="16"/>
  <c r="D482" i="16" s="1"/>
  <c r="C483" i="16"/>
  <c r="D483" i="16" s="1"/>
  <c r="C484" i="16"/>
  <c r="D484" i="16" s="1"/>
  <c r="C485" i="16"/>
  <c r="D485" i="16" s="1"/>
  <c r="C486" i="16"/>
  <c r="D486" i="16" s="1"/>
  <c r="C487" i="16"/>
  <c r="D487" i="16" s="1"/>
  <c r="C488" i="16"/>
  <c r="D488" i="16" s="1"/>
  <c r="C489" i="16"/>
  <c r="D489" i="16" s="1"/>
  <c r="C490" i="16"/>
  <c r="D490" i="16" s="1"/>
  <c r="C491" i="16"/>
  <c r="D491" i="16" s="1"/>
  <c r="C492" i="16"/>
  <c r="D492" i="16" s="1"/>
  <c r="C493" i="16"/>
  <c r="D493" i="16" s="1"/>
  <c r="C494" i="16"/>
  <c r="D494" i="16" s="1"/>
  <c r="C495" i="16"/>
  <c r="D495" i="16" s="1"/>
  <c r="C496" i="16"/>
  <c r="D496" i="16" s="1"/>
  <c r="C497" i="16"/>
  <c r="D497" i="16" s="1"/>
  <c r="C498" i="16"/>
  <c r="D498" i="16" s="1"/>
  <c r="C499" i="16"/>
  <c r="D499" i="16" s="1"/>
  <c r="C500" i="16"/>
  <c r="D500" i="16" s="1"/>
  <c r="C501" i="16"/>
  <c r="D501" i="16" s="1"/>
  <c r="C502" i="16"/>
  <c r="D502" i="16" s="1"/>
  <c r="C503" i="16"/>
  <c r="D503" i="16" s="1"/>
  <c r="C504" i="16"/>
  <c r="D504" i="16" s="1"/>
  <c r="C505" i="16"/>
  <c r="D505" i="16" s="1"/>
  <c r="C506" i="16"/>
  <c r="D506" i="16" s="1"/>
  <c r="C507" i="16"/>
  <c r="D507" i="16" s="1"/>
  <c r="C508" i="16"/>
  <c r="D508" i="16" s="1"/>
  <c r="C509" i="16"/>
  <c r="D509" i="16" s="1"/>
  <c r="C510" i="16"/>
  <c r="D510" i="16" s="1"/>
  <c r="C511" i="16"/>
  <c r="D511" i="16" s="1"/>
  <c r="C512" i="16"/>
  <c r="D512" i="16" s="1"/>
  <c r="C513" i="16"/>
  <c r="D513" i="16" s="1"/>
  <c r="C514" i="16"/>
  <c r="D514" i="16" s="1"/>
  <c r="C515" i="16"/>
  <c r="D515" i="16" s="1"/>
  <c r="C516" i="16"/>
  <c r="D516" i="16" s="1"/>
  <c r="C517" i="16"/>
  <c r="D517" i="16" s="1"/>
  <c r="C518" i="16"/>
  <c r="D518" i="16" s="1"/>
  <c r="C519" i="16"/>
  <c r="D519" i="16" s="1"/>
  <c r="C520" i="16"/>
  <c r="D520" i="16" s="1"/>
  <c r="C521" i="16"/>
  <c r="D521" i="16" s="1"/>
  <c r="C522" i="16"/>
  <c r="D522" i="16" s="1"/>
  <c r="C523" i="16"/>
  <c r="D523" i="16" s="1"/>
  <c r="C524" i="16"/>
  <c r="D524" i="16" s="1"/>
  <c r="C525" i="16"/>
  <c r="D525" i="16" s="1"/>
  <c r="C526" i="16"/>
  <c r="D526" i="16" s="1"/>
  <c r="C527" i="16"/>
  <c r="D527" i="16" s="1"/>
  <c r="C528" i="16"/>
  <c r="D528" i="16" s="1"/>
  <c r="C529" i="16"/>
  <c r="D529" i="16" s="1"/>
  <c r="C530" i="16"/>
  <c r="D530" i="16" s="1"/>
  <c r="C531" i="16"/>
  <c r="D531" i="16" s="1"/>
  <c r="C532" i="16"/>
  <c r="D532" i="16" s="1"/>
  <c r="C533" i="16"/>
  <c r="D533" i="16" s="1"/>
  <c r="C534" i="16"/>
  <c r="D534" i="16" s="1"/>
  <c r="C535" i="16"/>
  <c r="D535" i="16" s="1"/>
  <c r="C536" i="16"/>
  <c r="D536" i="16" s="1"/>
  <c r="C537" i="16"/>
  <c r="D537" i="16" s="1"/>
  <c r="C538" i="16"/>
  <c r="D538" i="16" s="1"/>
  <c r="C539" i="16"/>
  <c r="D539" i="16" s="1"/>
  <c r="C540" i="16"/>
  <c r="D540" i="16" s="1"/>
  <c r="C541" i="16"/>
  <c r="D541" i="16" s="1"/>
  <c r="C542" i="16"/>
  <c r="D542" i="16" s="1"/>
  <c r="C543" i="16"/>
  <c r="D543" i="16" s="1"/>
  <c r="C544" i="16"/>
  <c r="D544" i="16" s="1"/>
  <c r="C545" i="16"/>
  <c r="D545" i="16" s="1"/>
  <c r="C546" i="16"/>
  <c r="D546" i="16" s="1"/>
  <c r="C547" i="16"/>
  <c r="D547" i="16" s="1"/>
  <c r="C548" i="16"/>
  <c r="D548" i="16" s="1"/>
  <c r="C549" i="16"/>
  <c r="D549" i="16" s="1"/>
  <c r="C550" i="16"/>
  <c r="D550" i="16" s="1"/>
  <c r="C551" i="16"/>
  <c r="D551" i="16" s="1"/>
  <c r="C552" i="16"/>
  <c r="D552" i="16" s="1"/>
  <c r="C553" i="16"/>
  <c r="D553" i="16" s="1"/>
  <c r="C554" i="16"/>
  <c r="D554" i="16" s="1"/>
  <c r="C555" i="16"/>
  <c r="D555" i="16" s="1"/>
  <c r="C556" i="16"/>
  <c r="D556" i="16" s="1"/>
  <c r="C557" i="16"/>
  <c r="D557" i="16" s="1"/>
  <c r="C558" i="16"/>
  <c r="D558" i="16" s="1"/>
  <c r="C559" i="16"/>
  <c r="D559" i="16" s="1"/>
  <c r="C560" i="16"/>
  <c r="D560" i="16" s="1"/>
  <c r="C561" i="16"/>
  <c r="D561" i="16" s="1"/>
  <c r="C562" i="16"/>
  <c r="D562" i="16" s="1"/>
  <c r="C563" i="16"/>
  <c r="D563" i="16" s="1"/>
  <c r="C564" i="16"/>
  <c r="D564" i="16" s="1"/>
  <c r="C565" i="16"/>
  <c r="D565" i="16" s="1"/>
  <c r="C566" i="16"/>
  <c r="D566" i="16" s="1"/>
  <c r="C567" i="16"/>
  <c r="D567" i="16" s="1"/>
  <c r="C568" i="16"/>
  <c r="D568" i="16" s="1"/>
  <c r="C569" i="16"/>
  <c r="D569" i="16" s="1"/>
  <c r="C570" i="16"/>
  <c r="D570" i="16" s="1"/>
  <c r="C571" i="16"/>
  <c r="D571" i="16" s="1"/>
  <c r="C572" i="16"/>
  <c r="D572" i="16" s="1"/>
  <c r="C573" i="16"/>
  <c r="D573" i="16" s="1"/>
  <c r="C574" i="16"/>
  <c r="D574" i="16" s="1"/>
  <c r="C575" i="16"/>
  <c r="D575" i="16" s="1"/>
  <c r="C576" i="16"/>
  <c r="D576" i="16" s="1"/>
  <c r="C577" i="16"/>
  <c r="D577" i="16" s="1"/>
  <c r="C578" i="16"/>
  <c r="D578" i="16" s="1"/>
  <c r="C579" i="16"/>
  <c r="D579" i="16" s="1"/>
  <c r="C580" i="16"/>
  <c r="D580" i="16" s="1"/>
  <c r="C581" i="16"/>
  <c r="D581" i="16" s="1"/>
  <c r="C582" i="16"/>
  <c r="D582" i="16" s="1"/>
  <c r="C583" i="16"/>
  <c r="D583" i="16" s="1"/>
  <c r="C584" i="16"/>
  <c r="D584" i="16" s="1"/>
  <c r="C585" i="16"/>
  <c r="D585" i="16" s="1"/>
  <c r="C586" i="16"/>
  <c r="D586" i="16" s="1"/>
  <c r="C587" i="16"/>
  <c r="D587" i="16" s="1"/>
  <c r="C588" i="16"/>
  <c r="D588" i="16" s="1"/>
  <c r="C589" i="16"/>
  <c r="D589" i="16" s="1"/>
  <c r="C590" i="16"/>
  <c r="D590" i="16" s="1"/>
  <c r="C591" i="16"/>
  <c r="D591" i="16" s="1"/>
  <c r="C592" i="16"/>
  <c r="D592" i="16" s="1"/>
  <c r="C593" i="16"/>
  <c r="D593" i="16" s="1"/>
  <c r="C594" i="16"/>
  <c r="D594" i="16" s="1"/>
  <c r="C595" i="16"/>
  <c r="D595" i="16" s="1"/>
  <c r="C596" i="16"/>
  <c r="D596" i="16" s="1"/>
  <c r="C597" i="16"/>
  <c r="D597" i="16" s="1"/>
  <c r="C598" i="16"/>
  <c r="D598" i="16" s="1"/>
  <c r="C599" i="16"/>
  <c r="D599" i="16" s="1"/>
  <c r="C600" i="16"/>
  <c r="D600" i="16" s="1"/>
  <c r="C601" i="16"/>
  <c r="D601" i="16" s="1"/>
  <c r="C602" i="16"/>
  <c r="D602" i="16" s="1"/>
  <c r="C603" i="16"/>
  <c r="D603" i="16" s="1"/>
  <c r="C604" i="16"/>
  <c r="D604" i="16" s="1"/>
  <c r="C605" i="16"/>
  <c r="D605" i="16" s="1"/>
  <c r="C606" i="16"/>
  <c r="D606" i="16" s="1"/>
  <c r="C607" i="16"/>
  <c r="D607" i="16" s="1"/>
  <c r="C608" i="16"/>
  <c r="D608" i="16" s="1"/>
  <c r="C609" i="16"/>
  <c r="D609" i="16" s="1"/>
  <c r="C610" i="16"/>
  <c r="D610" i="16" s="1"/>
  <c r="C611" i="16"/>
  <c r="D611" i="16" s="1"/>
  <c r="C612" i="16"/>
  <c r="D612" i="16" s="1"/>
  <c r="C613" i="16"/>
  <c r="D613" i="16" s="1"/>
  <c r="C614" i="16"/>
  <c r="D614" i="16" s="1"/>
  <c r="C615" i="16"/>
  <c r="D615" i="16" s="1"/>
  <c r="C616" i="16"/>
  <c r="D616" i="16" s="1"/>
  <c r="C617" i="16"/>
  <c r="D617" i="16" s="1"/>
  <c r="C618" i="16"/>
  <c r="D618" i="16" s="1"/>
  <c r="C619" i="16"/>
  <c r="D619" i="16" s="1"/>
  <c r="C620" i="16"/>
  <c r="D620" i="16" s="1"/>
  <c r="C621" i="16"/>
  <c r="D621" i="16" s="1"/>
  <c r="C622" i="16"/>
  <c r="D622" i="16" s="1"/>
  <c r="C623" i="16"/>
  <c r="D623" i="16" s="1"/>
  <c r="C624" i="16"/>
  <c r="D624" i="16" s="1"/>
  <c r="C625" i="16"/>
  <c r="D625" i="16" s="1"/>
  <c r="C626" i="16"/>
  <c r="D626" i="16" s="1"/>
  <c r="C627" i="16"/>
  <c r="D627" i="16" s="1"/>
  <c r="C628" i="16"/>
  <c r="D628" i="16" s="1"/>
  <c r="C629" i="16"/>
  <c r="D629" i="16" s="1"/>
  <c r="C630" i="16"/>
  <c r="D630" i="16" s="1"/>
  <c r="C631" i="16"/>
  <c r="D631" i="16" s="1"/>
  <c r="C632" i="16"/>
  <c r="D632" i="16" s="1"/>
  <c r="C633" i="16"/>
  <c r="D633" i="16" s="1"/>
  <c r="C634" i="16"/>
  <c r="D634" i="16" s="1"/>
  <c r="C635" i="16"/>
  <c r="D635" i="16" s="1"/>
  <c r="C636" i="16"/>
  <c r="D636" i="16" s="1"/>
  <c r="C637" i="16"/>
  <c r="D637" i="16" s="1"/>
  <c r="C638" i="16"/>
  <c r="D638" i="16" s="1"/>
  <c r="C639" i="16"/>
  <c r="D639" i="16" s="1"/>
  <c r="C640" i="16"/>
  <c r="D640" i="16" s="1"/>
  <c r="C641" i="16"/>
  <c r="D641" i="16" s="1"/>
  <c r="C642" i="16"/>
  <c r="D642" i="16" s="1"/>
  <c r="C643" i="16"/>
  <c r="D643" i="16" s="1"/>
  <c r="C644" i="16"/>
  <c r="D644" i="16" s="1"/>
  <c r="C645" i="16"/>
  <c r="D645" i="16" s="1"/>
  <c r="C646" i="16"/>
  <c r="D646" i="16" s="1"/>
  <c r="C647" i="16"/>
  <c r="D647" i="16" s="1"/>
  <c r="C648" i="16"/>
  <c r="D648" i="16" s="1"/>
  <c r="C649" i="16"/>
  <c r="D649" i="16" s="1"/>
  <c r="C650" i="16"/>
  <c r="D650" i="16" s="1"/>
  <c r="C651" i="16"/>
  <c r="D651" i="16" s="1"/>
  <c r="C652" i="16"/>
  <c r="D652" i="16" s="1"/>
  <c r="C653" i="16"/>
  <c r="D653" i="16" s="1"/>
  <c r="C654" i="16"/>
  <c r="D654" i="16" s="1"/>
  <c r="C655" i="16"/>
  <c r="D655" i="16" s="1"/>
  <c r="C656" i="16"/>
  <c r="D656" i="16" s="1"/>
  <c r="C657" i="16"/>
  <c r="D657" i="16" s="1"/>
  <c r="C658" i="16"/>
  <c r="D658" i="16" s="1"/>
  <c r="C659" i="16"/>
  <c r="D659" i="16" s="1"/>
  <c r="C660" i="16"/>
  <c r="D660" i="16" s="1"/>
  <c r="C661" i="16"/>
  <c r="D661" i="16" s="1"/>
  <c r="C662" i="16"/>
  <c r="D662" i="16" s="1"/>
  <c r="C663" i="16"/>
  <c r="D663" i="16" s="1"/>
  <c r="C664" i="16"/>
  <c r="D664" i="16" s="1"/>
  <c r="C665" i="16"/>
  <c r="D665" i="16" s="1"/>
  <c r="C666" i="16"/>
  <c r="D666" i="16" s="1"/>
  <c r="C667" i="16"/>
  <c r="D667" i="16" s="1"/>
  <c r="C668" i="16"/>
  <c r="D668" i="16" s="1"/>
  <c r="C669" i="16"/>
  <c r="D669" i="16" s="1"/>
  <c r="C670" i="16"/>
  <c r="D670" i="16" s="1"/>
  <c r="C671" i="16"/>
  <c r="D671" i="16" s="1"/>
  <c r="C672" i="16"/>
  <c r="D672" i="16" s="1"/>
  <c r="C673" i="16"/>
  <c r="D673" i="16" s="1"/>
  <c r="C674" i="16"/>
  <c r="D674" i="16" s="1"/>
  <c r="C675" i="16"/>
  <c r="D675" i="16" s="1"/>
  <c r="C676" i="16"/>
  <c r="D676" i="16" s="1"/>
  <c r="C677" i="16"/>
  <c r="D677" i="16" s="1"/>
  <c r="C678" i="16"/>
  <c r="D678" i="16" s="1"/>
  <c r="C679" i="16"/>
  <c r="D679" i="16" s="1"/>
  <c r="C680" i="16"/>
  <c r="D680" i="16" s="1"/>
  <c r="C681" i="16"/>
  <c r="D681" i="16" s="1"/>
  <c r="C682" i="16"/>
  <c r="D682" i="16" s="1"/>
  <c r="C683" i="16"/>
  <c r="D683" i="16" s="1"/>
  <c r="C684" i="16"/>
  <c r="D684" i="16" s="1"/>
  <c r="C685" i="16"/>
  <c r="D685" i="16" s="1"/>
  <c r="C686" i="16"/>
  <c r="D686" i="16" s="1"/>
  <c r="C687" i="16"/>
  <c r="D687" i="16" s="1"/>
  <c r="C688" i="16"/>
  <c r="D688" i="16" s="1"/>
  <c r="C689" i="16"/>
  <c r="D689" i="16" s="1"/>
  <c r="C690" i="16"/>
  <c r="D690" i="16" s="1"/>
  <c r="C691" i="16"/>
  <c r="D691" i="16" s="1"/>
  <c r="C692" i="16"/>
  <c r="D692" i="16" s="1"/>
  <c r="C693" i="16"/>
  <c r="D693" i="16" s="1"/>
  <c r="C694" i="16"/>
  <c r="D694" i="16" s="1"/>
  <c r="C695" i="16"/>
  <c r="D695" i="16" s="1"/>
  <c r="C696" i="16"/>
  <c r="D696" i="16" s="1"/>
  <c r="C697" i="16"/>
  <c r="D697" i="16" s="1"/>
  <c r="C698" i="16"/>
  <c r="D698" i="16" s="1"/>
  <c r="C699" i="16"/>
  <c r="D699" i="16" s="1"/>
  <c r="C700" i="16"/>
  <c r="D700" i="16" s="1"/>
  <c r="C701" i="16"/>
  <c r="D701" i="16" s="1"/>
  <c r="C702" i="16"/>
  <c r="D702" i="16" s="1"/>
  <c r="C703" i="16"/>
  <c r="D703" i="16" s="1"/>
  <c r="C704" i="16"/>
  <c r="D704" i="16" s="1"/>
  <c r="C705" i="16"/>
  <c r="D705" i="16" s="1"/>
  <c r="C706" i="16"/>
  <c r="D706" i="16" s="1"/>
  <c r="C707" i="16"/>
  <c r="D707" i="16" s="1"/>
  <c r="C708" i="16"/>
  <c r="D708" i="16" s="1"/>
  <c r="C709" i="16"/>
  <c r="D709" i="16" s="1"/>
  <c r="C710" i="16"/>
  <c r="D710" i="16" s="1"/>
  <c r="C711" i="16"/>
  <c r="D711" i="16" s="1"/>
  <c r="C712" i="16"/>
  <c r="D712" i="16" s="1"/>
  <c r="C713" i="16"/>
  <c r="D713" i="16" s="1"/>
  <c r="C714" i="16"/>
  <c r="D714" i="16" s="1"/>
  <c r="C715" i="16"/>
  <c r="D715" i="16" s="1"/>
  <c r="C716" i="16"/>
  <c r="D716" i="16" s="1"/>
  <c r="C717" i="16"/>
  <c r="D717" i="16" s="1"/>
  <c r="C718" i="16"/>
  <c r="D718" i="16" s="1"/>
  <c r="C719" i="16"/>
  <c r="D719" i="16" s="1"/>
  <c r="C720" i="16"/>
  <c r="D720" i="16" s="1"/>
  <c r="C721" i="16"/>
  <c r="D721" i="16" s="1"/>
  <c r="C722" i="16"/>
  <c r="D722" i="16" s="1"/>
  <c r="C723" i="16"/>
  <c r="D723" i="16" s="1"/>
  <c r="C724" i="16"/>
  <c r="D724" i="16" s="1"/>
  <c r="C725" i="16"/>
  <c r="D725" i="16" s="1"/>
  <c r="C726" i="16"/>
  <c r="D726" i="16" s="1"/>
  <c r="C727" i="16"/>
  <c r="D727" i="16" s="1"/>
  <c r="C728" i="16"/>
  <c r="D728" i="16" s="1"/>
  <c r="C729" i="16"/>
  <c r="D729" i="16" s="1"/>
  <c r="C730" i="16"/>
  <c r="D730" i="16" s="1"/>
  <c r="C731" i="16"/>
  <c r="D731" i="16" s="1"/>
  <c r="C732" i="16"/>
  <c r="D732" i="16" s="1"/>
  <c r="C733" i="16"/>
  <c r="D733" i="16" s="1"/>
  <c r="C2" i="16"/>
  <c r="D2" i="16" s="1"/>
  <c r="X18" i="16" s="1"/>
  <c r="G3" i="16"/>
  <c r="H3" i="16" s="1"/>
  <c r="Y3" i="16" s="1"/>
  <c r="G4" i="16"/>
  <c r="H4" i="16" s="1"/>
  <c r="Y4" i="16" s="1"/>
  <c r="G5" i="16"/>
  <c r="H5" i="16" s="1"/>
  <c r="Y5" i="16" s="1"/>
  <c r="G6" i="16"/>
  <c r="H6" i="16" s="1"/>
  <c r="Y6" i="16" s="1"/>
  <c r="G7" i="16"/>
  <c r="H7" i="16" s="1"/>
  <c r="Y7" i="16" s="1"/>
  <c r="G8" i="16"/>
  <c r="H8" i="16" s="1"/>
  <c r="Y8" i="16" s="1"/>
  <c r="G9" i="16"/>
  <c r="H9" i="16" s="1"/>
  <c r="Y9" i="16" s="1"/>
  <c r="G10" i="16"/>
  <c r="H10" i="16" s="1"/>
  <c r="Y10" i="16" s="1"/>
  <c r="G11" i="16"/>
  <c r="H11" i="16" s="1"/>
  <c r="Y11" i="16" s="1"/>
  <c r="G12" i="16"/>
  <c r="H12" i="16" s="1"/>
  <c r="Y12" i="16" s="1"/>
  <c r="G13" i="16"/>
  <c r="H13" i="16" s="1"/>
  <c r="Y13" i="16" s="1"/>
  <c r="G14" i="16"/>
  <c r="H14" i="16" s="1"/>
  <c r="Y14" i="16" s="1"/>
  <c r="G15" i="16"/>
  <c r="H15" i="16" s="1"/>
  <c r="Y15" i="16" s="1"/>
  <c r="G16" i="16"/>
  <c r="H16" i="16" s="1"/>
  <c r="Y16" i="16" s="1"/>
  <c r="G17" i="16"/>
  <c r="H17" i="16" s="1"/>
  <c r="Y17" i="16" s="1"/>
  <c r="G18" i="16"/>
  <c r="H18" i="16" s="1"/>
  <c r="Y18" i="16" s="1"/>
  <c r="G19" i="16"/>
  <c r="H19" i="16" s="1"/>
  <c r="Y19" i="16" s="1"/>
  <c r="G20" i="16"/>
  <c r="H20" i="16" s="1"/>
  <c r="Y20" i="16" s="1"/>
  <c r="G21" i="16"/>
  <c r="H21" i="16" s="1"/>
  <c r="Y21" i="16" s="1"/>
  <c r="G22" i="16"/>
  <c r="H22" i="16" s="1"/>
  <c r="Y22" i="16" s="1"/>
  <c r="G23" i="16"/>
  <c r="H23" i="16" s="1"/>
  <c r="Y23" i="16" s="1"/>
  <c r="G24" i="16"/>
  <c r="H24" i="16" s="1"/>
  <c r="Y24" i="16" s="1"/>
  <c r="G25" i="16"/>
  <c r="H25" i="16" s="1"/>
  <c r="Y25" i="16" s="1"/>
  <c r="G26" i="16"/>
  <c r="H26" i="16" s="1"/>
  <c r="Y26" i="16" s="1"/>
  <c r="G27" i="16"/>
  <c r="H27" i="16" s="1"/>
  <c r="Y27" i="16" s="1"/>
  <c r="G28" i="16"/>
  <c r="H28" i="16" s="1"/>
  <c r="Y28" i="16" s="1"/>
  <c r="G29" i="16"/>
  <c r="H29" i="16" s="1"/>
  <c r="Y29" i="16" s="1"/>
  <c r="G30" i="16"/>
  <c r="H30" i="16" s="1"/>
  <c r="Y30" i="16" s="1"/>
  <c r="G31" i="16"/>
  <c r="H31" i="16" s="1"/>
  <c r="Y31" i="16" s="1"/>
  <c r="G32" i="16"/>
  <c r="H32" i="16" s="1"/>
  <c r="Y32" i="16" s="1"/>
  <c r="G33" i="16"/>
  <c r="H33" i="16" s="1"/>
  <c r="Y33" i="16" s="1"/>
  <c r="G34" i="16"/>
  <c r="H34" i="16" s="1"/>
  <c r="Y34" i="16" s="1"/>
  <c r="G35" i="16"/>
  <c r="H35" i="16" s="1"/>
  <c r="Y35" i="16" s="1"/>
  <c r="G36" i="16"/>
  <c r="H36" i="16" s="1"/>
  <c r="Y36" i="16" s="1"/>
  <c r="G37" i="16"/>
  <c r="H37" i="16" s="1"/>
  <c r="Y37" i="16" s="1"/>
  <c r="G38" i="16"/>
  <c r="H38" i="16" s="1"/>
  <c r="Y38" i="16" s="1"/>
  <c r="G39" i="16"/>
  <c r="H39" i="16" s="1"/>
  <c r="Y39" i="16" s="1"/>
  <c r="G40" i="16"/>
  <c r="H40" i="16" s="1"/>
  <c r="Y40" i="16" s="1"/>
  <c r="G41" i="16"/>
  <c r="H41" i="16" s="1"/>
  <c r="Y41" i="16" s="1"/>
  <c r="G42" i="16"/>
  <c r="H42" i="16" s="1"/>
  <c r="Y42" i="16" s="1"/>
  <c r="G43" i="16"/>
  <c r="H43" i="16" s="1"/>
  <c r="Y43" i="16" s="1"/>
  <c r="G44" i="16"/>
  <c r="H44" i="16" s="1"/>
  <c r="Y44" i="16" s="1"/>
  <c r="G45" i="16"/>
  <c r="H45" i="16" s="1"/>
  <c r="Y45" i="16" s="1"/>
  <c r="G46" i="16"/>
  <c r="H46" i="16" s="1"/>
  <c r="Y46" i="16" s="1"/>
  <c r="G47" i="16"/>
  <c r="H47" i="16" s="1"/>
  <c r="Y47" i="16" s="1"/>
  <c r="G48" i="16"/>
  <c r="H48" i="16" s="1"/>
  <c r="Y48" i="16" s="1"/>
  <c r="G49" i="16"/>
  <c r="H49" i="16" s="1"/>
  <c r="Y49" i="16" s="1"/>
  <c r="G50" i="16"/>
  <c r="H50" i="16" s="1"/>
  <c r="Y50" i="16" s="1"/>
  <c r="G51" i="16"/>
  <c r="H51" i="16" s="1"/>
  <c r="Y51" i="16" s="1"/>
  <c r="G52" i="16"/>
  <c r="H52" i="16" s="1"/>
  <c r="Y52" i="16" s="1"/>
  <c r="G53" i="16"/>
  <c r="H53" i="16" s="1"/>
  <c r="Y53" i="16" s="1"/>
  <c r="G54" i="16"/>
  <c r="H54" i="16" s="1"/>
  <c r="Y54" i="16" s="1"/>
  <c r="G55" i="16"/>
  <c r="H55" i="16" s="1"/>
  <c r="Y55" i="16" s="1"/>
  <c r="G56" i="16"/>
  <c r="H56" i="16" s="1"/>
  <c r="Y56" i="16" s="1"/>
  <c r="G57" i="16"/>
  <c r="H57" i="16" s="1"/>
  <c r="Y57" i="16" s="1"/>
  <c r="G58" i="16"/>
  <c r="H58" i="16" s="1"/>
  <c r="Y58" i="16" s="1"/>
  <c r="G59" i="16"/>
  <c r="H59" i="16" s="1"/>
  <c r="Y59" i="16" s="1"/>
  <c r="G60" i="16"/>
  <c r="H60" i="16" s="1"/>
  <c r="Y60" i="16" s="1"/>
  <c r="G61" i="16"/>
  <c r="H61" i="16" s="1"/>
  <c r="Y61" i="16" s="1"/>
  <c r="G62" i="16"/>
  <c r="H62" i="16" s="1"/>
  <c r="Y62" i="16" s="1"/>
  <c r="G63" i="16"/>
  <c r="H63" i="16" s="1"/>
  <c r="Y63" i="16" s="1"/>
  <c r="G64" i="16"/>
  <c r="H64" i="16" s="1"/>
  <c r="Y64" i="16" s="1"/>
  <c r="G65" i="16"/>
  <c r="H65" i="16" s="1"/>
  <c r="Y65" i="16" s="1"/>
  <c r="G66" i="16"/>
  <c r="H66" i="16" s="1"/>
  <c r="Y66" i="16" s="1"/>
  <c r="G67" i="16"/>
  <c r="H67" i="16" s="1"/>
  <c r="Y67" i="16" s="1"/>
  <c r="G68" i="16"/>
  <c r="H68" i="16" s="1"/>
  <c r="Y68" i="16" s="1"/>
  <c r="G69" i="16"/>
  <c r="H69" i="16" s="1"/>
  <c r="Y69" i="16" s="1"/>
  <c r="G70" i="16"/>
  <c r="H70" i="16" s="1"/>
  <c r="Y70" i="16" s="1"/>
  <c r="G71" i="16"/>
  <c r="H71" i="16" s="1"/>
  <c r="Y71" i="16" s="1"/>
  <c r="G72" i="16"/>
  <c r="H72" i="16" s="1"/>
  <c r="Y72" i="16" s="1"/>
  <c r="G73" i="16"/>
  <c r="H73" i="16" s="1"/>
  <c r="Y73" i="16" s="1"/>
  <c r="G74" i="16"/>
  <c r="H74" i="16" s="1"/>
  <c r="Y74" i="16" s="1"/>
  <c r="G75" i="16"/>
  <c r="H75" i="16" s="1"/>
  <c r="Y75" i="16" s="1"/>
  <c r="G76" i="16"/>
  <c r="H76" i="16" s="1"/>
  <c r="Y76" i="16" s="1"/>
  <c r="G77" i="16"/>
  <c r="H77" i="16" s="1"/>
  <c r="Y77" i="16" s="1"/>
  <c r="G78" i="16"/>
  <c r="H78" i="16" s="1"/>
  <c r="Y78" i="16" s="1"/>
  <c r="G79" i="16"/>
  <c r="H79" i="16" s="1"/>
  <c r="Y79" i="16" s="1"/>
  <c r="G80" i="16"/>
  <c r="H80" i="16" s="1"/>
  <c r="Y80" i="16" s="1"/>
  <c r="G81" i="16"/>
  <c r="H81" i="16" s="1"/>
  <c r="Y81" i="16" s="1"/>
  <c r="G82" i="16"/>
  <c r="H82" i="16" s="1"/>
  <c r="Y82" i="16" s="1"/>
  <c r="G83" i="16"/>
  <c r="H83" i="16" s="1"/>
  <c r="Y83" i="16" s="1"/>
  <c r="G84" i="16"/>
  <c r="H84" i="16" s="1"/>
  <c r="Y84" i="16" s="1"/>
  <c r="G85" i="16"/>
  <c r="H85" i="16" s="1"/>
  <c r="Y85" i="16" s="1"/>
  <c r="G86" i="16"/>
  <c r="H86" i="16" s="1"/>
  <c r="Y86" i="16" s="1"/>
  <c r="G87" i="16"/>
  <c r="H87" i="16" s="1"/>
  <c r="Y87" i="16" s="1"/>
  <c r="G88" i="16"/>
  <c r="H88" i="16" s="1"/>
  <c r="Y88" i="16" s="1"/>
  <c r="G89" i="16"/>
  <c r="H89" i="16" s="1"/>
  <c r="Y89" i="16" s="1"/>
  <c r="G90" i="16"/>
  <c r="H90" i="16" s="1"/>
  <c r="Y90" i="16" s="1"/>
  <c r="G91" i="16"/>
  <c r="H91" i="16" s="1"/>
  <c r="Y91" i="16" s="1"/>
  <c r="G92" i="16"/>
  <c r="H92" i="16" s="1"/>
  <c r="Y92" i="16" s="1"/>
  <c r="G93" i="16"/>
  <c r="H93" i="16" s="1"/>
  <c r="Y93" i="16" s="1"/>
  <c r="G94" i="16"/>
  <c r="H94" i="16" s="1"/>
  <c r="Y94" i="16" s="1"/>
  <c r="G95" i="16"/>
  <c r="H95" i="16" s="1"/>
  <c r="Y95" i="16" s="1"/>
  <c r="G96" i="16"/>
  <c r="H96" i="16" s="1"/>
  <c r="Y96" i="16" s="1"/>
  <c r="G97" i="16"/>
  <c r="H97" i="16" s="1"/>
  <c r="Y97" i="16" s="1"/>
  <c r="G98" i="16"/>
  <c r="H98" i="16" s="1"/>
  <c r="Y98" i="16" s="1"/>
  <c r="G99" i="16"/>
  <c r="H99" i="16" s="1"/>
  <c r="Y99" i="16" s="1"/>
  <c r="G100" i="16"/>
  <c r="H100" i="16" s="1"/>
  <c r="Y100" i="16" s="1"/>
  <c r="G101" i="16"/>
  <c r="H101" i="16" s="1"/>
  <c r="Y101" i="16" s="1"/>
  <c r="G102" i="16"/>
  <c r="H102" i="16" s="1"/>
  <c r="Y102" i="16" s="1"/>
  <c r="G103" i="16"/>
  <c r="H103" i="16" s="1"/>
  <c r="Y103" i="16" s="1"/>
  <c r="G104" i="16"/>
  <c r="H104" i="16" s="1"/>
  <c r="Y104" i="16" s="1"/>
  <c r="G105" i="16"/>
  <c r="H105" i="16" s="1"/>
  <c r="Y105" i="16" s="1"/>
  <c r="G106" i="16"/>
  <c r="H106" i="16" s="1"/>
  <c r="Y106" i="16" s="1"/>
  <c r="G107" i="16"/>
  <c r="H107" i="16" s="1"/>
  <c r="Y107" i="16" s="1"/>
  <c r="G108" i="16"/>
  <c r="H108" i="16" s="1"/>
  <c r="Y108" i="16" s="1"/>
  <c r="G109" i="16"/>
  <c r="H109" i="16" s="1"/>
  <c r="Y109" i="16" s="1"/>
  <c r="G110" i="16"/>
  <c r="H110" i="16" s="1"/>
  <c r="Y110" i="16" s="1"/>
  <c r="G111" i="16"/>
  <c r="H111" i="16" s="1"/>
  <c r="Y111" i="16" s="1"/>
  <c r="G112" i="16"/>
  <c r="H112" i="16" s="1"/>
  <c r="Y112" i="16" s="1"/>
  <c r="G113" i="16"/>
  <c r="H113" i="16" s="1"/>
  <c r="Y113" i="16" s="1"/>
  <c r="G114" i="16"/>
  <c r="H114" i="16" s="1"/>
  <c r="Y114" i="16" s="1"/>
  <c r="G115" i="16"/>
  <c r="H115" i="16" s="1"/>
  <c r="Y115" i="16" s="1"/>
  <c r="G116" i="16"/>
  <c r="H116" i="16" s="1"/>
  <c r="Y116" i="16" s="1"/>
  <c r="G117" i="16"/>
  <c r="H117" i="16" s="1"/>
  <c r="Y117" i="16" s="1"/>
  <c r="G118" i="16"/>
  <c r="H118" i="16" s="1"/>
  <c r="Y118" i="16" s="1"/>
  <c r="G119" i="16"/>
  <c r="H119" i="16" s="1"/>
  <c r="Y119" i="16" s="1"/>
  <c r="G120" i="16"/>
  <c r="H120" i="16" s="1"/>
  <c r="Y120" i="16" s="1"/>
  <c r="G121" i="16"/>
  <c r="H121" i="16" s="1"/>
  <c r="Y121" i="16" s="1"/>
  <c r="G122" i="16"/>
  <c r="H122" i="16" s="1"/>
  <c r="Y122" i="16" s="1"/>
  <c r="G123" i="16"/>
  <c r="H123" i="16" s="1"/>
  <c r="Y123" i="16" s="1"/>
  <c r="G124" i="16"/>
  <c r="H124" i="16" s="1"/>
  <c r="Y124" i="16" s="1"/>
  <c r="G125" i="16"/>
  <c r="H125" i="16" s="1"/>
  <c r="Y125" i="16" s="1"/>
  <c r="G126" i="16"/>
  <c r="H126" i="16" s="1"/>
  <c r="Y126" i="16" s="1"/>
  <c r="G127" i="16"/>
  <c r="H127" i="16" s="1"/>
  <c r="Y127" i="16" s="1"/>
  <c r="G128" i="16"/>
  <c r="H128" i="16" s="1"/>
  <c r="Y128" i="16" s="1"/>
  <c r="G129" i="16"/>
  <c r="H129" i="16" s="1"/>
  <c r="Y129" i="16" s="1"/>
  <c r="G130" i="16"/>
  <c r="H130" i="16" s="1"/>
  <c r="Y130" i="16" s="1"/>
  <c r="G131" i="16"/>
  <c r="H131" i="16" s="1"/>
  <c r="Y131" i="16" s="1"/>
  <c r="G132" i="16"/>
  <c r="H132" i="16" s="1"/>
  <c r="Y132" i="16" s="1"/>
  <c r="G133" i="16"/>
  <c r="H133" i="16" s="1"/>
  <c r="Y133" i="16" s="1"/>
  <c r="G134" i="16"/>
  <c r="H134" i="16" s="1"/>
  <c r="Y134" i="16" s="1"/>
  <c r="G135" i="16"/>
  <c r="H135" i="16" s="1"/>
  <c r="Y135" i="16" s="1"/>
  <c r="G136" i="16"/>
  <c r="H136" i="16" s="1"/>
  <c r="Y136" i="16" s="1"/>
  <c r="G137" i="16"/>
  <c r="H137" i="16" s="1"/>
  <c r="Y137" i="16" s="1"/>
  <c r="G138" i="16"/>
  <c r="H138" i="16" s="1"/>
  <c r="Y138" i="16" s="1"/>
  <c r="G139" i="16"/>
  <c r="H139" i="16" s="1"/>
  <c r="Y139" i="16" s="1"/>
  <c r="G140" i="16"/>
  <c r="H140" i="16" s="1"/>
  <c r="Y140" i="16" s="1"/>
  <c r="G141" i="16"/>
  <c r="H141" i="16" s="1"/>
  <c r="Y141" i="16" s="1"/>
  <c r="G142" i="16"/>
  <c r="H142" i="16" s="1"/>
  <c r="Y142" i="16" s="1"/>
  <c r="G143" i="16"/>
  <c r="H143" i="16" s="1"/>
  <c r="Y143" i="16" s="1"/>
  <c r="G144" i="16"/>
  <c r="H144" i="16" s="1"/>
  <c r="Y144" i="16" s="1"/>
  <c r="G145" i="16"/>
  <c r="H145" i="16" s="1"/>
  <c r="Y145" i="16" s="1"/>
  <c r="G146" i="16"/>
  <c r="H146" i="16" s="1"/>
  <c r="Y146" i="16" s="1"/>
  <c r="G147" i="16"/>
  <c r="H147" i="16" s="1"/>
  <c r="Y147" i="16" s="1"/>
  <c r="G148" i="16"/>
  <c r="H148" i="16" s="1"/>
  <c r="Y148" i="16" s="1"/>
  <c r="G149" i="16"/>
  <c r="H149" i="16" s="1"/>
  <c r="Y149" i="16" s="1"/>
  <c r="G150" i="16"/>
  <c r="H150" i="16" s="1"/>
  <c r="Y150" i="16" s="1"/>
  <c r="G151" i="16"/>
  <c r="H151" i="16" s="1"/>
  <c r="Y151" i="16" s="1"/>
  <c r="G152" i="16"/>
  <c r="H152" i="16" s="1"/>
  <c r="Y152" i="16" s="1"/>
  <c r="G153" i="16"/>
  <c r="H153" i="16" s="1"/>
  <c r="Y153" i="16" s="1"/>
  <c r="G154" i="16"/>
  <c r="H154" i="16" s="1"/>
  <c r="Y154" i="16" s="1"/>
  <c r="G155" i="16"/>
  <c r="H155" i="16" s="1"/>
  <c r="Y155" i="16" s="1"/>
  <c r="G156" i="16"/>
  <c r="H156" i="16" s="1"/>
  <c r="Y156" i="16" s="1"/>
  <c r="G157" i="16"/>
  <c r="H157" i="16" s="1"/>
  <c r="Y157" i="16" s="1"/>
  <c r="G158" i="16"/>
  <c r="H158" i="16" s="1"/>
  <c r="Y158" i="16" s="1"/>
  <c r="G159" i="16"/>
  <c r="H159" i="16" s="1"/>
  <c r="Y159" i="16" s="1"/>
  <c r="G160" i="16"/>
  <c r="H160" i="16" s="1"/>
  <c r="Y160" i="16" s="1"/>
  <c r="G161" i="16"/>
  <c r="H161" i="16" s="1"/>
  <c r="Y161" i="16" s="1"/>
  <c r="G162" i="16"/>
  <c r="H162" i="16" s="1"/>
  <c r="Y162" i="16" s="1"/>
  <c r="G163" i="16"/>
  <c r="H163" i="16" s="1"/>
  <c r="Y163" i="16" s="1"/>
  <c r="G164" i="16"/>
  <c r="H164" i="16" s="1"/>
  <c r="Y164" i="16" s="1"/>
  <c r="G165" i="16"/>
  <c r="H165" i="16" s="1"/>
  <c r="Y165" i="16" s="1"/>
  <c r="G166" i="16"/>
  <c r="H166" i="16" s="1"/>
  <c r="Y166" i="16" s="1"/>
  <c r="G167" i="16"/>
  <c r="H167" i="16" s="1"/>
  <c r="Y167" i="16" s="1"/>
  <c r="G168" i="16"/>
  <c r="H168" i="16" s="1"/>
  <c r="Y168" i="16" s="1"/>
  <c r="G169" i="16"/>
  <c r="H169" i="16" s="1"/>
  <c r="Y169" i="16" s="1"/>
  <c r="G170" i="16"/>
  <c r="H170" i="16" s="1"/>
  <c r="Y170" i="16" s="1"/>
  <c r="G171" i="16"/>
  <c r="H171" i="16" s="1"/>
  <c r="Y171" i="16" s="1"/>
  <c r="G172" i="16"/>
  <c r="H172" i="16" s="1"/>
  <c r="Y172" i="16" s="1"/>
  <c r="G173" i="16"/>
  <c r="H173" i="16" s="1"/>
  <c r="Y173" i="16" s="1"/>
  <c r="G174" i="16"/>
  <c r="H174" i="16" s="1"/>
  <c r="Y174" i="16" s="1"/>
  <c r="G175" i="16"/>
  <c r="H175" i="16" s="1"/>
  <c r="Y175" i="16" s="1"/>
  <c r="G176" i="16"/>
  <c r="H176" i="16" s="1"/>
  <c r="Y176" i="16" s="1"/>
  <c r="G177" i="16"/>
  <c r="H177" i="16" s="1"/>
  <c r="Y177" i="16" s="1"/>
  <c r="G178" i="16"/>
  <c r="H178" i="16" s="1"/>
  <c r="Y178" i="16" s="1"/>
  <c r="G179" i="16"/>
  <c r="H179" i="16" s="1"/>
  <c r="Y179" i="16" s="1"/>
  <c r="G180" i="16"/>
  <c r="H180" i="16" s="1"/>
  <c r="Y180" i="16" s="1"/>
  <c r="G181" i="16"/>
  <c r="H181" i="16" s="1"/>
  <c r="Y181" i="16" s="1"/>
  <c r="G182" i="16"/>
  <c r="H182" i="16" s="1"/>
  <c r="Y182" i="16" s="1"/>
  <c r="G183" i="16"/>
  <c r="H183" i="16" s="1"/>
  <c r="Y183" i="16" s="1"/>
  <c r="G184" i="16"/>
  <c r="H184" i="16" s="1"/>
  <c r="Y184" i="16" s="1"/>
  <c r="G185" i="16"/>
  <c r="H185" i="16" s="1"/>
  <c r="Y185" i="16" s="1"/>
  <c r="G186" i="16"/>
  <c r="H186" i="16" s="1"/>
  <c r="Y186" i="16" s="1"/>
  <c r="G187" i="16"/>
  <c r="H187" i="16" s="1"/>
  <c r="Y187" i="16" s="1"/>
  <c r="G188" i="16"/>
  <c r="H188" i="16" s="1"/>
  <c r="Y188" i="16" s="1"/>
  <c r="G189" i="16"/>
  <c r="H189" i="16" s="1"/>
  <c r="Y189" i="16" s="1"/>
  <c r="G190" i="16"/>
  <c r="H190" i="16" s="1"/>
  <c r="Y190" i="16" s="1"/>
  <c r="G191" i="16"/>
  <c r="H191" i="16" s="1"/>
  <c r="Y191" i="16" s="1"/>
  <c r="G192" i="16"/>
  <c r="H192" i="16" s="1"/>
  <c r="Y192" i="16" s="1"/>
  <c r="G193" i="16"/>
  <c r="H193" i="16" s="1"/>
  <c r="Y193" i="16" s="1"/>
  <c r="G194" i="16"/>
  <c r="H194" i="16" s="1"/>
  <c r="Y194" i="16" s="1"/>
  <c r="G195" i="16"/>
  <c r="H195" i="16" s="1"/>
  <c r="Y195" i="16" s="1"/>
  <c r="G196" i="16"/>
  <c r="H196" i="16" s="1"/>
  <c r="Y196" i="16" s="1"/>
  <c r="G197" i="16"/>
  <c r="H197" i="16" s="1"/>
  <c r="Y197" i="16" s="1"/>
  <c r="G198" i="16"/>
  <c r="H198" i="16" s="1"/>
  <c r="Y198" i="16" s="1"/>
  <c r="G199" i="16"/>
  <c r="H199" i="16" s="1"/>
  <c r="Y199" i="16" s="1"/>
  <c r="G200" i="16"/>
  <c r="H200" i="16" s="1"/>
  <c r="Y200" i="16" s="1"/>
  <c r="G201" i="16"/>
  <c r="H201" i="16" s="1"/>
  <c r="Y201" i="16" s="1"/>
  <c r="G202" i="16"/>
  <c r="H202" i="16" s="1"/>
  <c r="Y202" i="16" s="1"/>
  <c r="G203" i="16"/>
  <c r="H203" i="16" s="1"/>
  <c r="Y203" i="16" s="1"/>
  <c r="G204" i="16"/>
  <c r="H204" i="16" s="1"/>
  <c r="Y204" i="16" s="1"/>
  <c r="G205" i="16"/>
  <c r="H205" i="16" s="1"/>
  <c r="Y205" i="16" s="1"/>
  <c r="G206" i="16"/>
  <c r="H206" i="16" s="1"/>
  <c r="Y206" i="16" s="1"/>
  <c r="G207" i="16"/>
  <c r="H207" i="16" s="1"/>
  <c r="Y207" i="16" s="1"/>
  <c r="G208" i="16"/>
  <c r="H208" i="16" s="1"/>
  <c r="Y208" i="16" s="1"/>
  <c r="G209" i="16"/>
  <c r="H209" i="16" s="1"/>
  <c r="Y209" i="16" s="1"/>
  <c r="G210" i="16"/>
  <c r="H210" i="16" s="1"/>
  <c r="Y210" i="16" s="1"/>
  <c r="G211" i="16"/>
  <c r="H211" i="16" s="1"/>
  <c r="Y211" i="16" s="1"/>
  <c r="G212" i="16"/>
  <c r="H212" i="16" s="1"/>
  <c r="Y212" i="16" s="1"/>
  <c r="G213" i="16"/>
  <c r="H213" i="16" s="1"/>
  <c r="Y213" i="16" s="1"/>
  <c r="G214" i="16"/>
  <c r="H214" i="16" s="1"/>
  <c r="Y214" i="16" s="1"/>
  <c r="G215" i="16"/>
  <c r="H215" i="16" s="1"/>
  <c r="Y215" i="16" s="1"/>
  <c r="G216" i="16"/>
  <c r="H216" i="16" s="1"/>
  <c r="Y216" i="16" s="1"/>
  <c r="G217" i="16"/>
  <c r="H217" i="16" s="1"/>
  <c r="Y217" i="16" s="1"/>
  <c r="G218" i="16"/>
  <c r="H218" i="16" s="1"/>
  <c r="Y218" i="16" s="1"/>
  <c r="G219" i="16"/>
  <c r="H219" i="16" s="1"/>
  <c r="Y219" i="16" s="1"/>
  <c r="G220" i="16"/>
  <c r="H220" i="16" s="1"/>
  <c r="Y220" i="16" s="1"/>
  <c r="G221" i="16"/>
  <c r="H221" i="16" s="1"/>
  <c r="Y221" i="16" s="1"/>
  <c r="G222" i="16"/>
  <c r="H222" i="16" s="1"/>
  <c r="Y222" i="16" s="1"/>
  <c r="G223" i="16"/>
  <c r="H223" i="16" s="1"/>
  <c r="Y223" i="16" s="1"/>
  <c r="G224" i="16"/>
  <c r="H224" i="16" s="1"/>
  <c r="Y224" i="16" s="1"/>
  <c r="G225" i="16"/>
  <c r="H225" i="16" s="1"/>
  <c r="Y225" i="16" s="1"/>
  <c r="G226" i="16"/>
  <c r="H226" i="16" s="1"/>
  <c r="Y226" i="16" s="1"/>
  <c r="G227" i="16"/>
  <c r="H227" i="16" s="1"/>
  <c r="Y227" i="16" s="1"/>
  <c r="G228" i="16"/>
  <c r="H228" i="16" s="1"/>
  <c r="Y228" i="16" s="1"/>
  <c r="G229" i="16"/>
  <c r="H229" i="16" s="1"/>
  <c r="Y229" i="16" s="1"/>
  <c r="G230" i="16"/>
  <c r="H230" i="16" s="1"/>
  <c r="Y230" i="16" s="1"/>
  <c r="G231" i="16"/>
  <c r="H231" i="16" s="1"/>
  <c r="Y231" i="16" s="1"/>
  <c r="G232" i="16"/>
  <c r="H232" i="16" s="1"/>
  <c r="Y232" i="16" s="1"/>
  <c r="G233" i="16"/>
  <c r="H233" i="16" s="1"/>
  <c r="Y233" i="16" s="1"/>
  <c r="G234" i="16"/>
  <c r="H234" i="16" s="1"/>
  <c r="Y234" i="16" s="1"/>
  <c r="G235" i="16"/>
  <c r="H235" i="16" s="1"/>
  <c r="Y235" i="16" s="1"/>
  <c r="G236" i="16"/>
  <c r="H236" i="16" s="1"/>
  <c r="Y236" i="16" s="1"/>
  <c r="G237" i="16"/>
  <c r="H237" i="16" s="1"/>
  <c r="Y237" i="16" s="1"/>
  <c r="G238" i="16"/>
  <c r="H238" i="16" s="1"/>
  <c r="Y238" i="16" s="1"/>
  <c r="G239" i="16"/>
  <c r="H239" i="16" s="1"/>
  <c r="Y239" i="16" s="1"/>
  <c r="G240" i="16"/>
  <c r="H240" i="16" s="1"/>
  <c r="Y240" i="16" s="1"/>
  <c r="G241" i="16"/>
  <c r="H241" i="16" s="1"/>
  <c r="Y241" i="16" s="1"/>
  <c r="G242" i="16"/>
  <c r="H242" i="16" s="1"/>
  <c r="Y242" i="16" s="1"/>
  <c r="G243" i="16"/>
  <c r="H243" i="16" s="1"/>
  <c r="Y243" i="16" s="1"/>
  <c r="G244" i="16"/>
  <c r="H244" i="16" s="1"/>
  <c r="Y244" i="16" s="1"/>
  <c r="G245" i="16"/>
  <c r="H245" i="16" s="1"/>
  <c r="Y245" i="16" s="1"/>
  <c r="G246" i="16"/>
  <c r="H246" i="16" s="1"/>
  <c r="Y246" i="16" s="1"/>
  <c r="G247" i="16"/>
  <c r="H247" i="16" s="1"/>
  <c r="Y247" i="16" s="1"/>
  <c r="G248" i="16"/>
  <c r="H248" i="16" s="1"/>
  <c r="Y248" i="16" s="1"/>
  <c r="G249" i="16"/>
  <c r="H249" i="16" s="1"/>
  <c r="Y249" i="16" s="1"/>
  <c r="G250" i="16"/>
  <c r="H250" i="16" s="1"/>
  <c r="Y250" i="16" s="1"/>
  <c r="G251" i="16"/>
  <c r="H251" i="16" s="1"/>
  <c r="Y251" i="16" s="1"/>
  <c r="G252" i="16"/>
  <c r="H252" i="16" s="1"/>
  <c r="Y252" i="16" s="1"/>
  <c r="G253" i="16"/>
  <c r="H253" i="16" s="1"/>
  <c r="Y253" i="16" s="1"/>
  <c r="G254" i="16"/>
  <c r="H254" i="16" s="1"/>
  <c r="Y254" i="16" s="1"/>
  <c r="G255" i="16"/>
  <c r="H255" i="16" s="1"/>
  <c r="Y255" i="16" s="1"/>
  <c r="G256" i="16"/>
  <c r="H256" i="16" s="1"/>
  <c r="Y256" i="16" s="1"/>
  <c r="G257" i="16"/>
  <c r="H257" i="16" s="1"/>
  <c r="Y257" i="16" s="1"/>
  <c r="G258" i="16"/>
  <c r="H258" i="16" s="1"/>
  <c r="Y258" i="16" s="1"/>
  <c r="G259" i="16"/>
  <c r="H259" i="16" s="1"/>
  <c r="Y259" i="16" s="1"/>
  <c r="G260" i="16"/>
  <c r="H260" i="16" s="1"/>
  <c r="Y260" i="16" s="1"/>
  <c r="G261" i="16"/>
  <c r="H261" i="16" s="1"/>
  <c r="Y261" i="16" s="1"/>
  <c r="G262" i="16"/>
  <c r="H262" i="16" s="1"/>
  <c r="Y262" i="16" s="1"/>
  <c r="G263" i="16"/>
  <c r="H263" i="16" s="1"/>
  <c r="Y263" i="16" s="1"/>
  <c r="G264" i="16"/>
  <c r="H264" i="16" s="1"/>
  <c r="Y264" i="16" s="1"/>
  <c r="G265" i="16"/>
  <c r="H265" i="16" s="1"/>
  <c r="Y265" i="16" s="1"/>
  <c r="G266" i="16"/>
  <c r="H266" i="16" s="1"/>
  <c r="Y266" i="16" s="1"/>
  <c r="G267" i="16"/>
  <c r="H267" i="16" s="1"/>
  <c r="Y267" i="16" s="1"/>
  <c r="G268" i="16"/>
  <c r="H268" i="16" s="1"/>
  <c r="Y268" i="16" s="1"/>
  <c r="G269" i="16"/>
  <c r="H269" i="16" s="1"/>
  <c r="Y269" i="16" s="1"/>
  <c r="G270" i="16"/>
  <c r="H270" i="16" s="1"/>
  <c r="Y270" i="16" s="1"/>
  <c r="G271" i="16"/>
  <c r="H271" i="16" s="1"/>
  <c r="Y271" i="16" s="1"/>
  <c r="G272" i="16"/>
  <c r="H272" i="16" s="1"/>
  <c r="Y272" i="16" s="1"/>
  <c r="G273" i="16"/>
  <c r="H273" i="16" s="1"/>
  <c r="Y273" i="16" s="1"/>
  <c r="G274" i="16"/>
  <c r="H274" i="16" s="1"/>
  <c r="Y274" i="16" s="1"/>
  <c r="G275" i="16"/>
  <c r="H275" i="16" s="1"/>
  <c r="Y275" i="16" s="1"/>
  <c r="G276" i="16"/>
  <c r="H276" i="16" s="1"/>
  <c r="Y276" i="16" s="1"/>
  <c r="G277" i="16"/>
  <c r="H277" i="16" s="1"/>
  <c r="Y277" i="16" s="1"/>
  <c r="G278" i="16"/>
  <c r="H278" i="16" s="1"/>
  <c r="Y278" i="16" s="1"/>
  <c r="G279" i="16"/>
  <c r="H279" i="16" s="1"/>
  <c r="Y279" i="16" s="1"/>
  <c r="G280" i="16"/>
  <c r="H280" i="16" s="1"/>
  <c r="Y280" i="16" s="1"/>
  <c r="G281" i="16"/>
  <c r="H281" i="16" s="1"/>
  <c r="Y281" i="16" s="1"/>
  <c r="G282" i="16"/>
  <c r="H282" i="16" s="1"/>
  <c r="Y282" i="16" s="1"/>
  <c r="G283" i="16"/>
  <c r="H283" i="16" s="1"/>
  <c r="Y283" i="16" s="1"/>
  <c r="G284" i="16"/>
  <c r="H284" i="16" s="1"/>
  <c r="Y284" i="16" s="1"/>
  <c r="G285" i="16"/>
  <c r="H285" i="16" s="1"/>
  <c r="Y285" i="16" s="1"/>
  <c r="G286" i="16"/>
  <c r="H286" i="16" s="1"/>
  <c r="Y286" i="16" s="1"/>
  <c r="G287" i="16"/>
  <c r="H287" i="16" s="1"/>
  <c r="Y287" i="16" s="1"/>
  <c r="G288" i="16"/>
  <c r="H288" i="16" s="1"/>
  <c r="Y288" i="16" s="1"/>
  <c r="G289" i="16"/>
  <c r="H289" i="16" s="1"/>
  <c r="Y289" i="16" s="1"/>
  <c r="G290" i="16"/>
  <c r="H290" i="16" s="1"/>
  <c r="Y290" i="16" s="1"/>
  <c r="G291" i="16"/>
  <c r="H291" i="16" s="1"/>
  <c r="Y291" i="16" s="1"/>
  <c r="G292" i="16"/>
  <c r="H292" i="16" s="1"/>
  <c r="Y292" i="16" s="1"/>
  <c r="G293" i="16"/>
  <c r="H293" i="16" s="1"/>
  <c r="Y293" i="16" s="1"/>
  <c r="G294" i="16"/>
  <c r="H294" i="16" s="1"/>
  <c r="Y294" i="16" s="1"/>
  <c r="G295" i="16"/>
  <c r="H295" i="16" s="1"/>
  <c r="Y295" i="16" s="1"/>
  <c r="G296" i="16"/>
  <c r="H296" i="16" s="1"/>
  <c r="Y296" i="16" s="1"/>
  <c r="G297" i="16"/>
  <c r="H297" i="16" s="1"/>
  <c r="Y297" i="16" s="1"/>
  <c r="G298" i="16"/>
  <c r="H298" i="16" s="1"/>
  <c r="Y298" i="16" s="1"/>
  <c r="G299" i="16"/>
  <c r="H299" i="16" s="1"/>
  <c r="Y299" i="16" s="1"/>
  <c r="G300" i="16"/>
  <c r="H300" i="16" s="1"/>
  <c r="Y300" i="16" s="1"/>
  <c r="G301" i="16"/>
  <c r="H301" i="16" s="1"/>
  <c r="Y301" i="16" s="1"/>
  <c r="G302" i="16"/>
  <c r="H302" i="16" s="1"/>
  <c r="Y302" i="16" s="1"/>
  <c r="G303" i="16"/>
  <c r="H303" i="16" s="1"/>
  <c r="Y303" i="16" s="1"/>
  <c r="G304" i="16"/>
  <c r="H304" i="16" s="1"/>
  <c r="Y304" i="16" s="1"/>
  <c r="G305" i="16"/>
  <c r="H305" i="16" s="1"/>
  <c r="Y305" i="16" s="1"/>
  <c r="G306" i="16"/>
  <c r="H306" i="16" s="1"/>
  <c r="Y306" i="16" s="1"/>
  <c r="G307" i="16"/>
  <c r="H307" i="16" s="1"/>
  <c r="Y307" i="16" s="1"/>
  <c r="G308" i="16"/>
  <c r="H308" i="16" s="1"/>
  <c r="Y308" i="16" s="1"/>
  <c r="G309" i="16"/>
  <c r="H309" i="16" s="1"/>
  <c r="Y309" i="16" s="1"/>
  <c r="G310" i="16"/>
  <c r="H310" i="16" s="1"/>
  <c r="Y310" i="16" s="1"/>
  <c r="G311" i="16"/>
  <c r="H311" i="16" s="1"/>
  <c r="Y311" i="16" s="1"/>
  <c r="G312" i="16"/>
  <c r="H312" i="16" s="1"/>
  <c r="Y312" i="16" s="1"/>
  <c r="G313" i="16"/>
  <c r="H313" i="16" s="1"/>
  <c r="Y313" i="16" s="1"/>
  <c r="G314" i="16"/>
  <c r="H314" i="16" s="1"/>
  <c r="Y314" i="16" s="1"/>
  <c r="G315" i="16"/>
  <c r="H315" i="16" s="1"/>
  <c r="Y315" i="16" s="1"/>
  <c r="G316" i="16"/>
  <c r="H316" i="16" s="1"/>
  <c r="Y316" i="16" s="1"/>
  <c r="G317" i="16"/>
  <c r="H317" i="16" s="1"/>
  <c r="Y317" i="16" s="1"/>
  <c r="G318" i="16"/>
  <c r="H318" i="16" s="1"/>
  <c r="Y318" i="16" s="1"/>
  <c r="G319" i="16"/>
  <c r="H319" i="16" s="1"/>
  <c r="Y319" i="16" s="1"/>
  <c r="G320" i="16"/>
  <c r="H320" i="16" s="1"/>
  <c r="Y320" i="16" s="1"/>
  <c r="G321" i="16"/>
  <c r="H321" i="16" s="1"/>
  <c r="Y321" i="16" s="1"/>
  <c r="G322" i="16"/>
  <c r="H322" i="16" s="1"/>
  <c r="Y322" i="16" s="1"/>
  <c r="G323" i="16"/>
  <c r="H323" i="16" s="1"/>
  <c r="Y323" i="16" s="1"/>
  <c r="G324" i="16"/>
  <c r="H324" i="16" s="1"/>
  <c r="Y324" i="16" s="1"/>
  <c r="G325" i="16"/>
  <c r="H325" i="16" s="1"/>
  <c r="Y325" i="16" s="1"/>
  <c r="G326" i="16"/>
  <c r="H326" i="16" s="1"/>
  <c r="Y326" i="16" s="1"/>
  <c r="G327" i="16"/>
  <c r="H327" i="16" s="1"/>
  <c r="Y327" i="16" s="1"/>
  <c r="G328" i="16"/>
  <c r="H328" i="16" s="1"/>
  <c r="Y328" i="16" s="1"/>
  <c r="G329" i="16"/>
  <c r="H329" i="16" s="1"/>
  <c r="Y329" i="16" s="1"/>
  <c r="G330" i="16"/>
  <c r="H330" i="16" s="1"/>
  <c r="Y330" i="16" s="1"/>
  <c r="G331" i="16"/>
  <c r="H331" i="16" s="1"/>
  <c r="Y331" i="16" s="1"/>
  <c r="G332" i="16"/>
  <c r="H332" i="16" s="1"/>
  <c r="Y332" i="16" s="1"/>
  <c r="G333" i="16"/>
  <c r="H333" i="16" s="1"/>
  <c r="Y333" i="16" s="1"/>
  <c r="G334" i="16"/>
  <c r="H334" i="16" s="1"/>
  <c r="Y334" i="16" s="1"/>
  <c r="G335" i="16"/>
  <c r="H335" i="16" s="1"/>
  <c r="Y335" i="16" s="1"/>
  <c r="G336" i="16"/>
  <c r="H336" i="16" s="1"/>
  <c r="Y336" i="16" s="1"/>
  <c r="G337" i="16"/>
  <c r="H337" i="16" s="1"/>
  <c r="Y337" i="16" s="1"/>
  <c r="G338" i="16"/>
  <c r="H338" i="16" s="1"/>
  <c r="Y338" i="16" s="1"/>
  <c r="G339" i="16"/>
  <c r="H339" i="16" s="1"/>
  <c r="Y339" i="16" s="1"/>
  <c r="G340" i="16"/>
  <c r="H340" i="16" s="1"/>
  <c r="Y340" i="16" s="1"/>
  <c r="G341" i="16"/>
  <c r="H341" i="16" s="1"/>
  <c r="Y341" i="16" s="1"/>
  <c r="G342" i="16"/>
  <c r="H342" i="16" s="1"/>
  <c r="Y342" i="16" s="1"/>
  <c r="G343" i="16"/>
  <c r="H343" i="16" s="1"/>
  <c r="Y343" i="16" s="1"/>
  <c r="G344" i="16"/>
  <c r="H344" i="16" s="1"/>
  <c r="Y344" i="16" s="1"/>
  <c r="G345" i="16"/>
  <c r="H345" i="16" s="1"/>
  <c r="Y345" i="16" s="1"/>
  <c r="G346" i="16"/>
  <c r="H346" i="16" s="1"/>
  <c r="Y346" i="16" s="1"/>
  <c r="G347" i="16"/>
  <c r="H347" i="16" s="1"/>
  <c r="Y347" i="16" s="1"/>
  <c r="G348" i="16"/>
  <c r="H348" i="16" s="1"/>
  <c r="Y348" i="16" s="1"/>
  <c r="G349" i="16"/>
  <c r="H349" i="16" s="1"/>
  <c r="Y349" i="16" s="1"/>
  <c r="G350" i="16"/>
  <c r="H350" i="16" s="1"/>
  <c r="Y350" i="16" s="1"/>
  <c r="G351" i="16"/>
  <c r="H351" i="16" s="1"/>
  <c r="Y351" i="16" s="1"/>
  <c r="G352" i="16"/>
  <c r="H352" i="16" s="1"/>
  <c r="Y352" i="16" s="1"/>
  <c r="G353" i="16"/>
  <c r="H353" i="16" s="1"/>
  <c r="Y353" i="16" s="1"/>
  <c r="G354" i="16"/>
  <c r="H354" i="16" s="1"/>
  <c r="Y354" i="16" s="1"/>
  <c r="G355" i="16"/>
  <c r="H355" i="16" s="1"/>
  <c r="Y355" i="16" s="1"/>
  <c r="G356" i="16"/>
  <c r="H356" i="16" s="1"/>
  <c r="Y356" i="16" s="1"/>
  <c r="G357" i="16"/>
  <c r="H357" i="16" s="1"/>
  <c r="Y357" i="16" s="1"/>
  <c r="G358" i="16"/>
  <c r="H358" i="16" s="1"/>
  <c r="Y358" i="16" s="1"/>
  <c r="G359" i="16"/>
  <c r="H359" i="16" s="1"/>
  <c r="Y359" i="16" s="1"/>
  <c r="G360" i="16"/>
  <c r="H360" i="16" s="1"/>
  <c r="Y360" i="16" s="1"/>
  <c r="G361" i="16"/>
  <c r="H361" i="16" s="1"/>
  <c r="Y361" i="16" s="1"/>
  <c r="G362" i="16"/>
  <c r="H362" i="16" s="1"/>
  <c r="Y362" i="16" s="1"/>
  <c r="G363" i="16"/>
  <c r="H363" i="16" s="1"/>
  <c r="Y363" i="16" s="1"/>
  <c r="G364" i="16"/>
  <c r="H364" i="16" s="1"/>
  <c r="Y364" i="16" s="1"/>
  <c r="G365" i="16"/>
  <c r="H365" i="16" s="1"/>
  <c r="Y365" i="16" s="1"/>
  <c r="G366" i="16"/>
  <c r="H366" i="16" s="1"/>
  <c r="Y366" i="16" s="1"/>
  <c r="G367" i="16"/>
  <c r="H367" i="16" s="1"/>
  <c r="Y367" i="16" s="1"/>
  <c r="G368" i="16"/>
  <c r="H368" i="16" s="1"/>
  <c r="Y368" i="16" s="1"/>
  <c r="G369" i="16"/>
  <c r="H369" i="16" s="1"/>
  <c r="Y369" i="16" s="1"/>
  <c r="G370" i="16"/>
  <c r="H370" i="16" s="1"/>
  <c r="Y370" i="16" s="1"/>
  <c r="G371" i="16"/>
  <c r="H371" i="16" s="1"/>
  <c r="Y371" i="16" s="1"/>
  <c r="G372" i="16"/>
  <c r="H372" i="16" s="1"/>
  <c r="Y372" i="16" s="1"/>
  <c r="G373" i="16"/>
  <c r="H373" i="16" s="1"/>
  <c r="Y373" i="16" s="1"/>
  <c r="G374" i="16"/>
  <c r="H374" i="16" s="1"/>
  <c r="Y374" i="16" s="1"/>
  <c r="G375" i="16"/>
  <c r="H375" i="16" s="1"/>
  <c r="Y375" i="16" s="1"/>
  <c r="G376" i="16"/>
  <c r="H376" i="16" s="1"/>
  <c r="Y376" i="16" s="1"/>
  <c r="G377" i="16"/>
  <c r="H377" i="16" s="1"/>
  <c r="Y377" i="16" s="1"/>
  <c r="G378" i="16"/>
  <c r="H378" i="16" s="1"/>
  <c r="Y378" i="16" s="1"/>
  <c r="G379" i="16"/>
  <c r="H379" i="16" s="1"/>
  <c r="Y379" i="16" s="1"/>
  <c r="G380" i="16"/>
  <c r="H380" i="16" s="1"/>
  <c r="Y380" i="16" s="1"/>
  <c r="G381" i="16"/>
  <c r="H381" i="16" s="1"/>
  <c r="Y381" i="16" s="1"/>
  <c r="G382" i="16"/>
  <c r="H382" i="16" s="1"/>
  <c r="Y382" i="16" s="1"/>
  <c r="G383" i="16"/>
  <c r="H383" i="16" s="1"/>
  <c r="Y383" i="16" s="1"/>
  <c r="G384" i="16"/>
  <c r="H384" i="16" s="1"/>
  <c r="Y384" i="16" s="1"/>
  <c r="G385" i="16"/>
  <c r="H385" i="16" s="1"/>
  <c r="Y385" i="16" s="1"/>
  <c r="G386" i="16"/>
  <c r="H386" i="16" s="1"/>
  <c r="Y386" i="16" s="1"/>
  <c r="G387" i="16"/>
  <c r="H387" i="16" s="1"/>
  <c r="Y387" i="16" s="1"/>
  <c r="G388" i="16"/>
  <c r="H388" i="16" s="1"/>
  <c r="Y388" i="16" s="1"/>
  <c r="G389" i="16"/>
  <c r="H389" i="16" s="1"/>
  <c r="Y389" i="16" s="1"/>
  <c r="G390" i="16"/>
  <c r="H390" i="16" s="1"/>
  <c r="Y390" i="16" s="1"/>
  <c r="G391" i="16"/>
  <c r="H391" i="16" s="1"/>
  <c r="Y391" i="16" s="1"/>
  <c r="G392" i="16"/>
  <c r="H392" i="16" s="1"/>
  <c r="Y392" i="16" s="1"/>
  <c r="G393" i="16"/>
  <c r="H393" i="16" s="1"/>
  <c r="Y393" i="16" s="1"/>
  <c r="G394" i="16"/>
  <c r="H394" i="16" s="1"/>
  <c r="Y394" i="16" s="1"/>
  <c r="G395" i="16"/>
  <c r="H395" i="16" s="1"/>
  <c r="Y395" i="16" s="1"/>
  <c r="G396" i="16"/>
  <c r="H396" i="16" s="1"/>
  <c r="Y396" i="16" s="1"/>
  <c r="G397" i="16"/>
  <c r="H397" i="16" s="1"/>
  <c r="Y397" i="16" s="1"/>
  <c r="G398" i="16"/>
  <c r="H398" i="16" s="1"/>
  <c r="Y398" i="16" s="1"/>
  <c r="G399" i="16"/>
  <c r="H399" i="16" s="1"/>
  <c r="Y399" i="16" s="1"/>
  <c r="G400" i="16"/>
  <c r="H400" i="16" s="1"/>
  <c r="Y400" i="16" s="1"/>
  <c r="G401" i="16"/>
  <c r="H401" i="16" s="1"/>
  <c r="Y401" i="16" s="1"/>
  <c r="G402" i="16"/>
  <c r="H402" i="16" s="1"/>
  <c r="Y402" i="16" s="1"/>
  <c r="G403" i="16"/>
  <c r="H403" i="16" s="1"/>
  <c r="Y403" i="16" s="1"/>
  <c r="G404" i="16"/>
  <c r="H404" i="16" s="1"/>
  <c r="Y404" i="16" s="1"/>
  <c r="G405" i="16"/>
  <c r="H405" i="16" s="1"/>
  <c r="Y405" i="16" s="1"/>
  <c r="G406" i="16"/>
  <c r="H406" i="16" s="1"/>
  <c r="Y406" i="16" s="1"/>
  <c r="G407" i="16"/>
  <c r="H407" i="16" s="1"/>
  <c r="Y407" i="16" s="1"/>
  <c r="G408" i="16"/>
  <c r="H408" i="16" s="1"/>
  <c r="Y408" i="16" s="1"/>
  <c r="G409" i="16"/>
  <c r="H409" i="16" s="1"/>
  <c r="Y409" i="16" s="1"/>
  <c r="G410" i="16"/>
  <c r="H410" i="16" s="1"/>
  <c r="Y410" i="16" s="1"/>
  <c r="G411" i="16"/>
  <c r="H411" i="16" s="1"/>
  <c r="Y411" i="16" s="1"/>
  <c r="G412" i="16"/>
  <c r="H412" i="16" s="1"/>
  <c r="Y412" i="16" s="1"/>
  <c r="G413" i="16"/>
  <c r="H413" i="16" s="1"/>
  <c r="Y413" i="16" s="1"/>
  <c r="G414" i="16"/>
  <c r="H414" i="16" s="1"/>
  <c r="Y414" i="16" s="1"/>
  <c r="G415" i="16"/>
  <c r="H415" i="16" s="1"/>
  <c r="Y415" i="16" s="1"/>
  <c r="G416" i="16"/>
  <c r="H416" i="16" s="1"/>
  <c r="Y416" i="16" s="1"/>
  <c r="G417" i="16"/>
  <c r="H417" i="16" s="1"/>
  <c r="Y417" i="16" s="1"/>
  <c r="G418" i="16"/>
  <c r="H418" i="16" s="1"/>
  <c r="Y418" i="16" s="1"/>
  <c r="G419" i="16"/>
  <c r="H419" i="16" s="1"/>
  <c r="Y419" i="16" s="1"/>
  <c r="G420" i="16"/>
  <c r="H420" i="16" s="1"/>
  <c r="Y420" i="16" s="1"/>
  <c r="G421" i="16"/>
  <c r="H421" i="16" s="1"/>
  <c r="Y421" i="16" s="1"/>
  <c r="G422" i="16"/>
  <c r="H422" i="16" s="1"/>
  <c r="Y422" i="16" s="1"/>
  <c r="G423" i="16"/>
  <c r="H423" i="16" s="1"/>
  <c r="Y423" i="16" s="1"/>
  <c r="G424" i="16"/>
  <c r="H424" i="16" s="1"/>
  <c r="Y424" i="16" s="1"/>
  <c r="G425" i="16"/>
  <c r="H425" i="16" s="1"/>
  <c r="Y425" i="16" s="1"/>
  <c r="G426" i="16"/>
  <c r="H426" i="16" s="1"/>
  <c r="Y426" i="16" s="1"/>
  <c r="G427" i="16"/>
  <c r="H427" i="16" s="1"/>
  <c r="Y427" i="16" s="1"/>
  <c r="G428" i="16"/>
  <c r="H428" i="16" s="1"/>
  <c r="Y428" i="16" s="1"/>
  <c r="G429" i="16"/>
  <c r="H429" i="16" s="1"/>
  <c r="Y429" i="16" s="1"/>
  <c r="G430" i="16"/>
  <c r="H430" i="16" s="1"/>
  <c r="Y430" i="16" s="1"/>
  <c r="G431" i="16"/>
  <c r="H431" i="16" s="1"/>
  <c r="Y431" i="16" s="1"/>
  <c r="G432" i="16"/>
  <c r="H432" i="16" s="1"/>
  <c r="Y432" i="16" s="1"/>
  <c r="G433" i="16"/>
  <c r="H433" i="16" s="1"/>
  <c r="Y433" i="16" s="1"/>
  <c r="G434" i="16"/>
  <c r="H434" i="16" s="1"/>
  <c r="Y434" i="16" s="1"/>
  <c r="G435" i="16"/>
  <c r="H435" i="16" s="1"/>
  <c r="Y435" i="16" s="1"/>
  <c r="G436" i="16"/>
  <c r="H436" i="16" s="1"/>
  <c r="Y436" i="16" s="1"/>
  <c r="G437" i="16"/>
  <c r="H437" i="16" s="1"/>
  <c r="Y437" i="16" s="1"/>
  <c r="G438" i="16"/>
  <c r="H438" i="16" s="1"/>
  <c r="Y438" i="16" s="1"/>
  <c r="G439" i="16"/>
  <c r="H439" i="16" s="1"/>
  <c r="Y439" i="16" s="1"/>
  <c r="G440" i="16"/>
  <c r="H440" i="16" s="1"/>
  <c r="Y440" i="16" s="1"/>
  <c r="G441" i="16"/>
  <c r="H441" i="16" s="1"/>
  <c r="Y441" i="16" s="1"/>
  <c r="G442" i="16"/>
  <c r="H442" i="16" s="1"/>
  <c r="Y442" i="16" s="1"/>
  <c r="G443" i="16"/>
  <c r="H443" i="16" s="1"/>
  <c r="Y443" i="16" s="1"/>
  <c r="G444" i="16"/>
  <c r="H444" i="16" s="1"/>
  <c r="Y444" i="16" s="1"/>
  <c r="G445" i="16"/>
  <c r="H445" i="16" s="1"/>
  <c r="Y445" i="16" s="1"/>
  <c r="G446" i="16"/>
  <c r="H446" i="16" s="1"/>
  <c r="Y446" i="16" s="1"/>
  <c r="G447" i="16"/>
  <c r="H447" i="16" s="1"/>
  <c r="Y447" i="16" s="1"/>
  <c r="G448" i="16"/>
  <c r="H448" i="16" s="1"/>
  <c r="Y448" i="16" s="1"/>
  <c r="G449" i="16"/>
  <c r="H449" i="16" s="1"/>
  <c r="Y449" i="16" s="1"/>
  <c r="G450" i="16"/>
  <c r="H450" i="16" s="1"/>
  <c r="Y450" i="16" s="1"/>
  <c r="G451" i="16"/>
  <c r="H451" i="16" s="1"/>
  <c r="Y451" i="16" s="1"/>
  <c r="G452" i="16"/>
  <c r="H452" i="16" s="1"/>
  <c r="Y452" i="16" s="1"/>
  <c r="G453" i="16"/>
  <c r="H453" i="16" s="1"/>
  <c r="Y453" i="16" s="1"/>
  <c r="G454" i="16"/>
  <c r="H454" i="16" s="1"/>
  <c r="Y454" i="16" s="1"/>
  <c r="G455" i="16"/>
  <c r="H455" i="16" s="1"/>
  <c r="Y455" i="16" s="1"/>
  <c r="G456" i="16"/>
  <c r="H456" i="16" s="1"/>
  <c r="Y456" i="16" s="1"/>
  <c r="G457" i="16"/>
  <c r="H457" i="16" s="1"/>
  <c r="Y457" i="16" s="1"/>
  <c r="G458" i="16"/>
  <c r="H458" i="16" s="1"/>
  <c r="Y458" i="16" s="1"/>
  <c r="G459" i="16"/>
  <c r="H459" i="16" s="1"/>
  <c r="Y459" i="16" s="1"/>
  <c r="G460" i="16"/>
  <c r="H460" i="16" s="1"/>
  <c r="Y460" i="16" s="1"/>
  <c r="G461" i="16"/>
  <c r="H461" i="16" s="1"/>
  <c r="Y461" i="16" s="1"/>
  <c r="G462" i="16"/>
  <c r="H462" i="16" s="1"/>
  <c r="Y462" i="16" s="1"/>
  <c r="G463" i="16"/>
  <c r="H463" i="16" s="1"/>
  <c r="Y463" i="16" s="1"/>
  <c r="G464" i="16"/>
  <c r="H464" i="16" s="1"/>
  <c r="Y464" i="16" s="1"/>
  <c r="G465" i="16"/>
  <c r="H465" i="16" s="1"/>
  <c r="Y465" i="16" s="1"/>
  <c r="G466" i="16"/>
  <c r="H466" i="16" s="1"/>
  <c r="Y466" i="16" s="1"/>
  <c r="G467" i="16"/>
  <c r="H467" i="16" s="1"/>
  <c r="Y467" i="16" s="1"/>
  <c r="G468" i="16"/>
  <c r="H468" i="16" s="1"/>
  <c r="Y468" i="16" s="1"/>
  <c r="G469" i="16"/>
  <c r="H469" i="16" s="1"/>
  <c r="Y469" i="16" s="1"/>
  <c r="G470" i="16"/>
  <c r="H470" i="16" s="1"/>
  <c r="Y470" i="16" s="1"/>
  <c r="G471" i="16"/>
  <c r="H471" i="16" s="1"/>
  <c r="Y471" i="16" s="1"/>
  <c r="G472" i="16"/>
  <c r="H472" i="16" s="1"/>
  <c r="Y472" i="16" s="1"/>
  <c r="G473" i="16"/>
  <c r="H473" i="16" s="1"/>
  <c r="Y473" i="16" s="1"/>
  <c r="G474" i="16"/>
  <c r="H474" i="16" s="1"/>
  <c r="Y474" i="16" s="1"/>
  <c r="G475" i="16"/>
  <c r="H475" i="16" s="1"/>
  <c r="Y475" i="16" s="1"/>
  <c r="G476" i="16"/>
  <c r="H476" i="16" s="1"/>
  <c r="Y476" i="16" s="1"/>
  <c r="G477" i="16"/>
  <c r="H477" i="16" s="1"/>
  <c r="Y477" i="16" s="1"/>
  <c r="G478" i="16"/>
  <c r="H478" i="16" s="1"/>
  <c r="Y478" i="16" s="1"/>
  <c r="G479" i="16"/>
  <c r="H479" i="16" s="1"/>
  <c r="Y479" i="16" s="1"/>
  <c r="G480" i="16"/>
  <c r="H480" i="16" s="1"/>
  <c r="Y480" i="16" s="1"/>
  <c r="G481" i="16"/>
  <c r="H481" i="16" s="1"/>
  <c r="Y481" i="16" s="1"/>
  <c r="G482" i="16"/>
  <c r="H482" i="16" s="1"/>
  <c r="Y482" i="16" s="1"/>
  <c r="G483" i="16"/>
  <c r="H483" i="16" s="1"/>
  <c r="Y483" i="16" s="1"/>
  <c r="G484" i="16"/>
  <c r="H484" i="16" s="1"/>
  <c r="Y484" i="16" s="1"/>
  <c r="G485" i="16"/>
  <c r="H485" i="16" s="1"/>
  <c r="Y485" i="16" s="1"/>
  <c r="G486" i="16"/>
  <c r="H486" i="16" s="1"/>
  <c r="Y486" i="16" s="1"/>
  <c r="G487" i="16"/>
  <c r="H487" i="16" s="1"/>
  <c r="Y487" i="16" s="1"/>
  <c r="G488" i="16"/>
  <c r="H488" i="16" s="1"/>
  <c r="Y488" i="16" s="1"/>
  <c r="G489" i="16"/>
  <c r="H489" i="16" s="1"/>
  <c r="Y489" i="16" s="1"/>
  <c r="G490" i="16"/>
  <c r="H490" i="16" s="1"/>
  <c r="Y490" i="16" s="1"/>
  <c r="G491" i="16"/>
  <c r="H491" i="16" s="1"/>
  <c r="Y491" i="16" s="1"/>
  <c r="G492" i="16"/>
  <c r="H492" i="16" s="1"/>
  <c r="Y492" i="16" s="1"/>
  <c r="G493" i="16"/>
  <c r="H493" i="16" s="1"/>
  <c r="Y493" i="16" s="1"/>
  <c r="G494" i="16"/>
  <c r="H494" i="16" s="1"/>
  <c r="Y494" i="16" s="1"/>
  <c r="G495" i="16"/>
  <c r="H495" i="16" s="1"/>
  <c r="Y495" i="16" s="1"/>
  <c r="G496" i="16"/>
  <c r="H496" i="16" s="1"/>
  <c r="Y496" i="16" s="1"/>
  <c r="G497" i="16"/>
  <c r="H497" i="16" s="1"/>
  <c r="Y497" i="16" s="1"/>
  <c r="G498" i="16"/>
  <c r="H498" i="16" s="1"/>
  <c r="Y498" i="16" s="1"/>
  <c r="G499" i="16"/>
  <c r="H499" i="16" s="1"/>
  <c r="Y499" i="16" s="1"/>
  <c r="G500" i="16"/>
  <c r="H500" i="16" s="1"/>
  <c r="Y500" i="16" s="1"/>
  <c r="G501" i="16"/>
  <c r="H501" i="16" s="1"/>
  <c r="Y501" i="16" s="1"/>
  <c r="G502" i="16"/>
  <c r="H502" i="16" s="1"/>
  <c r="Y502" i="16" s="1"/>
  <c r="G503" i="16"/>
  <c r="H503" i="16" s="1"/>
  <c r="Y503" i="16" s="1"/>
  <c r="G504" i="16"/>
  <c r="H504" i="16" s="1"/>
  <c r="Y504" i="16" s="1"/>
  <c r="G505" i="16"/>
  <c r="H505" i="16" s="1"/>
  <c r="Y505" i="16" s="1"/>
  <c r="G506" i="16"/>
  <c r="H506" i="16" s="1"/>
  <c r="Y506" i="16" s="1"/>
  <c r="G507" i="16"/>
  <c r="H507" i="16" s="1"/>
  <c r="Y507" i="16" s="1"/>
  <c r="G508" i="16"/>
  <c r="H508" i="16" s="1"/>
  <c r="Y508" i="16" s="1"/>
  <c r="G509" i="16"/>
  <c r="H509" i="16" s="1"/>
  <c r="Y509" i="16" s="1"/>
  <c r="G510" i="16"/>
  <c r="H510" i="16" s="1"/>
  <c r="Y510" i="16" s="1"/>
  <c r="G511" i="16"/>
  <c r="H511" i="16" s="1"/>
  <c r="Y511" i="16" s="1"/>
  <c r="G512" i="16"/>
  <c r="H512" i="16" s="1"/>
  <c r="Y512" i="16" s="1"/>
  <c r="G513" i="16"/>
  <c r="H513" i="16" s="1"/>
  <c r="Y513" i="16" s="1"/>
  <c r="G514" i="16"/>
  <c r="H514" i="16" s="1"/>
  <c r="Y514" i="16" s="1"/>
  <c r="G515" i="16"/>
  <c r="H515" i="16" s="1"/>
  <c r="Y515" i="16" s="1"/>
  <c r="G516" i="16"/>
  <c r="H516" i="16" s="1"/>
  <c r="Y516" i="16" s="1"/>
  <c r="G517" i="16"/>
  <c r="H517" i="16" s="1"/>
  <c r="Y517" i="16" s="1"/>
  <c r="G518" i="16"/>
  <c r="H518" i="16" s="1"/>
  <c r="Y518" i="16" s="1"/>
  <c r="G519" i="16"/>
  <c r="H519" i="16" s="1"/>
  <c r="Y519" i="16" s="1"/>
  <c r="G520" i="16"/>
  <c r="H520" i="16" s="1"/>
  <c r="Y520" i="16" s="1"/>
  <c r="G521" i="16"/>
  <c r="H521" i="16" s="1"/>
  <c r="Y521" i="16" s="1"/>
  <c r="G522" i="16"/>
  <c r="H522" i="16" s="1"/>
  <c r="Y522" i="16" s="1"/>
  <c r="G523" i="16"/>
  <c r="H523" i="16" s="1"/>
  <c r="Y523" i="16" s="1"/>
  <c r="G524" i="16"/>
  <c r="H524" i="16" s="1"/>
  <c r="Y524" i="16" s="1"/>
  <c r="G525" i="16"/>
  <c r="H525" i="16" s="1"/>
  <c r="Y525" i="16" s="1"/>
  <c r="G526" i="16"/>
  <c r="H526" i="16" s="1"/>
  <c r="Y526" i="16" s="1"/>
  <c r="G527" i="16"/>
  <c r="H527" i="16" s="1"/>
  <c r="Y527" i="16" s="1"/>
  <c r="G528" i="16"/>
  <c r="H528" i="16" s="1"/>
  <c r="Y528" i="16" s="1"/>
  <c r="G529" i="16"/>
  <c r="H529" i="16" s="1"/>
  <c r="Y529" i="16" s="1"/>
  <c r="G530" i="16"/>
  <c r="H530" i="16" s="1"/>
  <c r="Y530" i="16" s="1"/>
  <c r="G531" i="16"/>
  <c r="H531" i="16" s="1"/>
  <c r="Y531" i="16" s="1"/>
  <c r="G532" i="16"/>
  <c r="H532" i="16" s="1"/>
  <c r="Y532" i="16" s="1"/>
  <c r="G533" i="16"/>
  <c r="H533" i="16" s="1"/>
  <c r="Y533" i="16" s="1"/>
  <c r="G534" i="16"/>
  <c r="H534" i="16" s="1"/>
  <c r="Y534" i="16" s="1"/>
  <c r="G535" i="16"/>
  <c r="H535" i="16" s="1"/>
  <c r="Y535" i="16" s="1"/>
  <c r="G536" i="16"/>
  <c r="H536" i="16" s="1"/>
  <c r="Y536" i="16" s="1"/>
  <c r="G537" i="16"/>
  <c r="H537" i="16" s="1"/>
  <c r="Y537" i="16" s="1"/>
  <c r="G538" i="16"/>
  <c r="H538" i="16" s="1"/>
  <c r="Y538" i="16" s="1"/>
  <c r="G539" i="16"/>
  <c r="H539" i="16" s="1"/>
  <c r="Y539" i="16" s="1"/>
  <c r="G540" i="16"/>
  <c r="H540" i="16" s="1"/>
  <c r="Y540" i="16" s="1"/>
  <c r="G541" i="16"/>
  <c r="H541" i="16" s="1"/>
  <c r="Y541" i="16" s="1"/>
  <c r="G542" i="16"/>
  <c r="H542" i="16" s="1"/>
  <c r="Y542" i="16" s="1"/>
  <c r="G543" i="16"/>
  <c r="H543" i="16" s="1"/>
  <c r="Y543" i="16" s="1"/>
  <c r="G544" i="16"/>
  <c r="H544" i="16" s="1"/>
  <c r="Y544" i="16" s="1"/>
  <c r="G545" i="16"/>
  <c r="H545" i="16" s="1"/>
  <c r="Y545" i="16" s="1"/>
  <c r="G546" i="16"/>
  <c r="H546" i="16" s="1"/>
  <c r="Y546" i="16" s="1"/>
  <c r="G547" i="16"/>
  <c r="H547" i="16" s="1"/>
  <c r="Y547" i="16" s="1"/>
  <c r="G548" i="16"/>
  <c r="H548" i="16" s="1"/>
  <c r="Y548" i="16" s="1"/>
  <c r="G549" i="16"/>
  <c r="H549" i="16" s="1"/>
  <c r="Y549" i="16" s="1"/>
  <c r="G550" i="16"/>
  <c r="H550" i="16" s="1"/>
  <c r="Y550" i="16" s="1"/>
  <c r="G551" i="16"/>
  <c r="H551" i="16" s="1"/>
  <c r="Y551" i="16" s="1"/>
  <c r="G552" i="16"/>
  <c r="H552" i="16" s="1"/>
  <c r="Y552" i="16" s="1"/>
  <c r="G553" i="16"/>
  <c r="H553" i="16" s="1"/>
  <c r="Y553" i="16" s="1"/>
  <c r="G554" i="16"/>
  <c r="H554" i="16" s="1"/>
  <c r="Y554" i="16" s="1"/>
  <c r="G555" i="16"/>
  <c r="H555" i="16" s="1"/>
  <c r="Y555" i="16" s="1"/>
  <c r="G556" i="16"/>
  <c r="H556" i="16" s="1"/>
  <c r="Y556" i="16" s="1"/>
  <c r="G557" i="16"/>
  <c r="H557" i="16" s="1"/>
  <c r="Y557" i="16" s="1"/>
  <c r="G558" i="16"/>
  <c r="H558" i="16" s="1"/>
  <c r="Y558" i="16" s="1"/>
  <c r="G559" i="16"/>
  <c r="H559" i="16" s="1"/>
  <c r="Y559" i="16" s="1"/>
  <c r="G560" i="16"/>
  <c r="H560" i="16" s="1"/>
  <c r="Y560" i="16" s="1"/>
  <c r="G561" i="16"/>
  <c r="H561" i="16" s="1"/>
  <c r="Y561" i="16" s="1"/>
  <c r="G562" i="16"/>
  <c r="H562" i="16" s="1"/>
  <c r="Y562" i="16" s="1"/>
  <c r="G563" i="16"/>
  <c r="H563" i="16" s="1"/>
  <c r="Y563" i="16" s="1"/>
  <c r="G564" i="16"/>
  <c r="H564" i="16" s="1"/>
  <c r="Y564" i="16" s="1"/>
  <c r="G565" i="16"/>
  <c r="H565" i="16" s="1"/>
  <c r="Y565" i="16" s="1"/>
  <c r="G566" i="16"/>
  <c r="H566" i="16" s="1"/>
  <c r="Y566" i="16" s="1"/>
  <c r="G567" i="16"/>
  <c r="H567" i="16" s="1"/>
  <c r="Y567" i="16" s="1"/>
  <c r="G568" i="16"/>
  <c r="H568" i="16" s="1"/>
  <c r="Y568" i="16" s="1"/>
  <c r="G569" i="16"/>
  <c r="H569" i="16" s="1"/>
  <c r="Y569" i="16" s="1"/>
  <c r="G570" i="16"/>
  <c r="H570" i="16" s="1"/>
  <c r="Y570" i="16" s="1"/>
  <c r="G571" i="16"/>
  <c r="H571" i="16" s="1"/>
  <c r="Y571" i="16" s="1"/>
  <c r="G572" i="16"/>
  <c r="H572" i="16" s="1"/>
  <c r="Y572" i="16" s="1"/>
  <c r="G573" i="16"/>
  <c r="H573" i="16" s="1"/>
  <c r="Y573" i="16" s="1"/>
  <c r="G574" i="16"/>
  <c r="H574" i="16" s="1"/>
  <c r="Y574" i="16" s="1"/>
  <c r="G575" i="16"/>
  <c r="H575" i="16" s="1"/>
  <c r="Y575" i="16" s="1"/>
  <c r="G576" i="16"/>
  <c r="H576" i="16" s="1"/>
  <c r="Y576" i="16" s="1"/>
  <c r="G577" i="16"/>
  <c r="H577" i="16" s="1"/>
  <c r="Y577" i="16" s="1"/>
  <c r="G578" i="16"/>
  <c r="H578" i="16" s="1"/>
  <c r="Y578" i="16" s="1"/>
  <c r="G579" i="16"/>
  <c r="H579" i="16" s="1"/>
  <c r="Y579" i="16" s="1"/>
  <c r="G580" i="16"/>
  <c r="H580" i="16" s="1"/>
  <c r="Y580" i="16" s="1"/>
  <c r="G581" i="16"/>
  <c r="H581" i="16" s="1"/>
  <c r="Y581" i="16" s="1"/>
  <c r="G582" i="16"/>
  <c r="H582" i="16" s="1"/>
  <c r="Y582" i="16" s="1"/>
  <c r="G583" i="16"/>
  <c r="H583" i="16" s="1"/>
  <c r="Y583" i="16" s="1"/>
  <c r="G584" i="16"/>
  <c r="H584" i="16" s="1"/>
  <c r="Y584" i="16" s="1"/>
  <c r="G585" i="16"/>
  <c r="H585" i="16" s="1"/>
  <c r="Y585" i="16" s="1"/>
  <c r="G586" i="16"/>
  <c r="H586" i="16" s="1"/>
  <c r="Y586" i="16" s="1"/>
  <c r="G587" i="16"/>
  <c r="H587" i="16" s="1"/>
  <c r="Y587" i="16" s="1"/>
  <c r="G588" i="16"/>
  <c r="H588" i="16" s="1"/>
  <c r="Y588" i="16" s="1"/>
  <c r="G589" i="16"/>
  <c r="H589" i="16" s="1"/>
  <c r="Y589" i="16" s="1"/>
  <c r="G590" i="16"/>
  <c r="H590" i="16" s="1"/>
  <c r="Y590" i="16" s="1"/>
  <c r="G591" i="16"/>
  <c r="H591" i="16" s="1"/>
  <c r="Y591" i="16" s="1"/>
  <c r="G592" i="16"/>
  <c r="H592" i="16" s="1"/>
  <c r="Y592" i="16" s="1"/>
  <c r="G593" i="16"/>
  <c r="H593" i="16" s="1"/>
  <c r="Y593" i="16" s="1"/>
  <c r="G594" i="16"/>
  <c r="H594" i="16" s="1"/>
  <c r="Y594" i="16" s="1"/>
  <c r="G595" i="16"/>
  <c r="H595" i="16" s="1"/>
  <c r="Y595" i="16" s="1"/>
  <c r="G596" i="16"/>
  <c r="H596" i="16" s="1"/>
  <c r="Y596" i="16" s="1"/>
  <c r="G597" i="16"/>
  <c r="H597" i="16" s="1"/>
  <c r="Y597" i="16" s="1"/>
  <c r="G598" i="16"/>
  <c r="H598" i="16" s="1"/>
  <c r="Y598" i="16" s="1"/>
  <c r="G599" i="16"/>
  <c r="H599" i="16" s="1"/>
  <c r="Y599" i="16" s="1"/>
  <c r="G600" i="16"/>
  <c r="H600" i="16" s="1"/>
  <c r="Y600" i="16" s="1"/>
  <c r="G601" i="16"/>
  <c r="H601" i="16" s="1"/>
  <c r="Y601" i="16" s="1"/>
  <c r="G602" i="16"/>
  <c r="H602" i="16" s="1"/>
  <c r="Y602" i="16" s="1"/>
  <c r="G603" i="16"/>
  <c r="H603" i="16" s="1"/>
  <c r="Y603" i="16" s="1"/>
  <c r="G604" i="16"/>
  <c r="H604" i="16" s="1"/>
  <c r="Y604" i="16" s="1"/>
  <c r="G605" i="16"/>
  <c r="H605" i="16" s="1"/>
  <c r="Y605" i="16" s="1"/>
  <c r="G606" i="16"/>
  <c r="H606" i="16" s="1"/>
  <c r="Y606" i="16" s="1"/>
  <c r="G607" i="16"/>
  <c r="H607" i="16" s="1"/>
  <c r="Y607" i="16" s="1"/>
  <c r="G608" i="16"/>
  <c r="H608" i="16" s="1"/>
  <c r="Y608" i="16" s="1"/>
  <c r="G609" i="16"/>
  <c r="H609" i="16" s="1"/>
  <c r="Y609" i="16" s="1"/>
  <c r="G610" i="16"/>
  <c r="H610" i="16" s="1"/>
  <c r="Y610" i="16" s="1"/>
  <c r="G611" i="16"/>
  <c r="H611" i="16" s="1"/>
  <c r="Y611" i="16" s="1"/>
  <c r="G612" i="16"/>
  <c r="H612" i="16" s="1"/>
  <c r="Y612" i="16" s="1"/>
  <c r="G613" i="16"/>
  <c r="H613" i="16" s="1"/>
  <c r="Y613" i="16" s="1"/>
  <c r="G614" i="16"/>
  <c r="H614" i="16" s="1"/>
  <c r="Y614" i="16" s="1"/>
  <c r="G615" i="16"/>
  <c r="H615" i="16" s="1"/>
  <c r="Y615" i="16" s="1"/>
  <c r="G616" i="16"/>
  <c r="H616" i="16" s="1"/>
  <c r="Y616" i="16" s="1"/>
  <c r="G617" i="16"/>
  <c r="H617" i="16" s="1"/>
  <c r="Y617" i="16" s="1"/>
  <c r="G618" i="16"/>
  <c r="H618" i="16" s="1"/>
  <c r="Y618" i="16" s="1"/>
  <c r="G619" i="16"/>
  <c r="H619" i="16" s="1"/>
  <c r="Y619" i="16" s="1"/>
  <c r="G620" i="16"/>
  <c r="H620" i="16" s="1"/>
  <c r="Y620" i="16" s="1"/>
  <c r="G621" i="16"/>
  <c r="H621" i="16" s="1"/>
  <c r="Y621" i="16" s="1"/>
  <c r="G622" i="16"/>
  <c r="H622" i="16" s="1"/>
  <c r="Y622" i="16" s="1"/>
  <c r="G623" i="16"/>
  <c r="H623" i="16" s="1"/>
  <c r="Y623" i="16" s="1"/>
  <c r="G624" i="16"/>
  <c r="H624" i="16" s="1"/>
  <c r="Y624" i="16" s="1"/>
  <c r="G625" i="16"/>
  <c r="H625" i="16" s="1"/>
  <c r="Y625" i="16" s="1"/>
  <c r="G626" i="16"/>
  <c r="H626" i="16" s="1"/>
  <c r="Y626" i="16" s="1"/>
  <c r="G627" i="16"/>
  <c r="H627" i="16" s="1"/>
  <c r="Y627" i="16" s="1"/>
  <c r="G628" i="16"/>
  <c r="H628" i="16" s="1"/>
  <c r="Y628" i="16" s="1"/>
  <c r="G629" i="16"/>
  <c r="H629" i="16" s="1"/>
  <c r="Y629" i="16" s="1"/>
  <c r="G630" i="16"/>
  <c r="H630" i="16" s="1"/>
  <c r="Y630" i="16" s="1"/>
  <c r="G631" i="16"/>
  <c r="H631" i="16" s="1"/>
  <c r="Y631" i="16" s="1"/>
  <c r="G632" i="16"/>
  <c r="H632" i="16" s="1"/>
  <c r="Y632" i="16" s="1"/>
  <c r="G633" i="16"/>
  <c r="H633" i="16" s="1"/>
  <c r="Y633" i="16" s="1"/>
  <c r="G634" i="16"/>
  <c r="H634" i="16" s="1"/>
  <c r="Y634" i="16" s="1"/>
  <c r="G635" i="16"/>
  <c r="H635" i="16" s="1"/>
  <c r="Y635" i="16" s="1"/>
  <c r="G636" i="16"/>
  <c r="H636" i="16" s="1"/>
  <c r="Y636" i="16" s="1"/>
  <c r="G637" i="16"/>
  <c r="H637" i="16" s="1"/>
  <c r="Y637" i="16" s="1"/>
  <c r="G638" i="16"/>
  <c r="H638" i="16" s="1"/>
  <c r="Y638" i="16" s="1"/>
  <c r="G639" i="16"/>
  <c r="H639" i="16" s="1"/>
  <c r="Y639" i="16" s="1"/>
  <c r="G640" i="16"/>
  <c r="H640" i="16" s="1"/>
  <c r="Y640" i="16" s="1"/>
  <c r="G641" i="16"/>
  <c r="H641" i="16" s="1"/>
  <c r="Y641" i="16" s="1"/>
  <c r="G642" i="16"/>
  <c r="H642" i="16" s="1"/>
  <c r="Y642" i="16" s="1"/>
  <c r="G643" i="16"/>
  <c r="H643" i="16" s="1"/>
  <c r="Y643" i="16" s="1"/>
  <c r="G644" i="16"/>
  <c r="H644" i="16" s="1"/>
  <c r="Y644" i="16" s="1"/>
  <c r="G645" i="16"/>
  <c r="H645" i="16" s="1"/>
  <c r="Y645" i="16" s="1"/>
  <c r="G646" i="16"/>
  <c r="H646" i="16" s="1"/>
  <c r="Y646" i="16" s="1"/>
  <c r="G647" i="16"/>
  <c r="H647" i="16" s="1"/>
  <c r="Y647" i="16" s="1"/>
  <c r="G648" i="16"/>
  <c r="H648" i="16" s="1"/>
  <c r="Y648" i="16" s="1"/>
  <c r="G649" i="16"/>
  <c r="H649" i="16" s="1"/>
  <c r="Y649" i="16" s="1"/>
  <c r="G650" i="16"/>
  <c r="H650" i="16" s="1"/>
  <c r="Y650" i="16" s="1"/>
  <c r="G651" i="16"/>
  <c r="H651" i="16" s="1"/>
  <c r="Y651" i="16" s="1"/>
  <c r="G652" i="16"/>
  <c r="H652" i="16" s="1"/>
  <c r="Y652" i="16" s="1"/>
  <c r="G653" i="16"/>
  <c r="H653" i="16" s="1"/>
  <c r="Y653" i="16" s="1"/>
  <c r="G654" i="16"/>
  <c r="H654" i="16" s="1"/>
  <c r="Y654" i="16" s="1"/>
  <c r="G655" i="16"/>
  <c r="H655" i="16" s="1"/>
  <c r="Y655" i="16" s="1"/>
  <c r="G656" i="16"/>
  <c r="H656" i="16" s="1"/>
  <c r="Y656" i="16" s="1"/>
  <c r="G657" i="16"/>
  <c r="H657" i="16" s="1"/>
  <c r="Y657" i="16" s="1"/>
  <c r="G658" i="16"/>
  <c r="H658" i="16" s="1"/>
  <c r="Y658" i="16" s="1"/>
  <c r="G659" i="16"/>
  <c r="H659" i="16" s="1"/>
  <c r="Y659" i="16" s="1"/>
  <c r="G660" i="16"/>
  <c r="H660" i="16" s="1"/>
  <c r="Y660" i="16" s="1"/>
  <c r="G661" i="16"/>
  <c r="H661" i="16" s="1"/>
  <c r="Y661" i="16" s="1"/>
  <c r="G662" i="16"/>
  <c r="H662" i="16" s="1"/>
  <c r="Y662" i="16" s="1"/>
  <c r="G663" i="16"/>
  <c r="H663" i="16" s="1"/>
  <c r="Y663" i="16" s="1"/>
  <c r="G664" i="16"/>
  <c r="H664" i="16" s="1"/>
  <c r="Y664" i="16" s="1"/>
  <c r="G665" i="16"/>
  <c r="H665" i="16" s="1"/>
  <c r="Y665" i="16" s="1"/>
  <c r="G666" i="16"/>
  <c r="H666" i="16" s="1"/>
  <c r="Y666" i="16" s="1"/>
  <c r="G667" i="16"/>
  <c r="H667" i="16" s="1"/>
  <c r="Y667" i="16" s="1"/>
  <c r="G668" i="16"/>
  <c r="H668" i="16" s="1"/>
  <c r="Y668" i="16" s="1"/>
  <c r="G669" i="16"/>
  <c r="H669" i="16" s="1"/>
  <c r="Y669" i="16" s="1"/>
  <c r="G670" i="16"/>
  <c r="H670" i="16" s="1"/>
  <c r="Y670" i="16" s="1"/>
  <c r="G671" i="16"/>
  <c r="H671" i="16" s="1"/>
  <c r="Y671" i="16" s="1"/>
  <c r="G672" i="16"/>
  <c r="H672" i="16" s="1"/>
  <c r="Y672" i="16" s="1"/>
  <c r="G673" i="16"/>
  <c r="H673" i="16" s="1"/>
  <c r="Y673" i="16" s="1"/>
  <c r="G674" i="16"/>
  <c r="H674" i="16" s="1"/>
  <c r="Y674" i="16" s="1"/>
  <c r="G675" i="16"/>
  <c r="H675" i="16" s="1"/>
  <c r="Y675" i="16" s="1"/>
  <c r="G676" i="16"/>
  <c r="H676" i="16" s="1"/>
  <c r="Y676" i="16" s="1"/>
  <c r="G677" i="16"/>
  <c r="H677" i="16" s="1"/>
  <c r="Y677" i="16" s="1"/>
  <c r="G678" i="16"/>
  <c r="H678" i="16" s="1"/>
  <c r="Y678" i="16" s="1"/>
  <c r="G679" i="16"/>
  <c r="H679" i="16" s="1"/>
  <c r="Y679" i="16" s="1"/>
  <c r="G680" i="16"/>
  <c r="H680" i="16" s="1"/>
  <c r="Y680" i="16" s="1"/>
  <c r="G681" i="16"/>
  <c r="H681" i="16" s="1"/>
  <c r="Y681" i="16" s="1"/>
  <c r="G682" i="16"/>
  <c r="H682" i="16" s="1"/>
  <c r="Y682" i="16" s="1"/>
  <c r="G683" i="16"/>
  <c r="H683" i="16" s="1"/>
  <c r="Y683" i="16" s="1"/>
  <c r="G684" i="16"/>
  <c r="H684" i="16" s="1"/>
  <c r="Y684" i="16" s="1"/>
  <c r="G685" i="16"/>
  <c r="H685" i="16" s="1"/>
  <c r="Y685" i="16" s="1"/>
  <c r="G686" i="16"/>
  <c r="H686" i="16" s="1"/>
  <c r="Y686" i="16" s="1"/>
  <c r="G687" i="16"/>
  <c r="H687" i="16" s="1"/>
  <c r="Y687" i="16" s="1"/>
  <c r="G688" i="16"/>
  <c r="H688" i="16" s="1"/>
  <c r="Y688" i="16" s="1"/>
  <c r="G689" i="16"/>
  <c r="H689" i="16" s="1"/>
  <c r="Y689" i="16" s="1"/>
  <c r="G690" i="16"/>
  <c r="H690" i="16" s="1"/>
  <c r="Y690" i="16" s="1"/>
  <c r="G691" i="16"/>
  <c r="H691" i="16" s="1"/>
  <c r="Y691" i="16" s="1"/>
  <c r="G692" i="16"/>
  <c r="H692" i="16" s="1"/>
  <c r="Y692" i="16" s="1"/>
  <c r="G693" i="16"/>
  <c r="H693" i="16" s="1"/>
  <c r="Y693" i="16" s="1"/>
  <c r="G694" i="16"/>
  <c r="H694" i="16" s="1"/>
  <c r="Y694" i="16" s="1"/>
  <c r="G695" i="16"/>
  <c r="H695" i="16" s="1"/>
  <c r="Y695" i="16" s="1"/>
  <c r="G696" i="16"/>
  <c r="H696" i="16" s="1"/>
  <c r="Y696" i="16" s="1"/>
  <c r="G697" i="16"/>
  <c r="H697" i="16" s="1"/>
  <c r="Y697" i="16" s="1"/>
  <c r="G698" i="16"/>
  <c r="H698" i="16" s="1"/>
  <c r="Y698" i="16" s="1"/>
  <c r="G699" i="16"/>
  <c r="H699" i="16" s="1"/>
  <c r="Y699" i="16" s="1"/>
  <c r="G700" i="16"/>
  <c r="H700" i="16" s="1"/>
  <c r="Y700" i="16" s="1"/>
  <c r="G701" i="16"/>
  <c r="H701" i="16" s="1"/>
  <c r="Y701" i="16" s="1"/>
  <c r="G702" i="16"/>
  <c r="H702" i="16" s="1"/>
  <c r="Y702" i="16" s="1"/>
  <c r="G703" i="16"/>
  <c r="H703" i="16" s="1"/>
  <c r="Y703" i="16" s="1"/>
  <c r="G704" i="16"/>
  <c r="H704" i="16" s="1"/>
  <c r="Y704" i="16" s="1"/>
  <c r="G705" i="16"/>
  <c r="H705" i="16" s="1"/>
  <c r="Y705" i="16" s="1"/>
  <c r="G706" i="16"/>
  <c r="H706" i="16" s="1"/>
  <c r="Y706" i="16" s="1"/>
  <c r="G707" i="16"/>
  <c r="H707" i="16" s="1"/>
  <c r="Y707" i="16" s="1"/>
  <c r="G708" i="16"/>
  <c r="H708" i="16" s="1"/>
  <c r="Y708" i="16" s="1"/>
  <c r="G709" i="16"/>
  <c r="H709" i="16" s="1"/>
  <c r="Y709" i="16" s="1"/>
  <c r="G710" i="16"/>
  <c r="H710" i="16" s="1"/>
  <c r="Y710" i="16" s="1"/>
  <c r="G711" i="16"/>
  <c r="H711" i="16" s="1"/>
  <c r="Y711" i="16" s="1"/>
  <c r="G712" i="16"/>
  <c r="H712" i="16" s="1"/>
  <c r="Y712" i="16" s="1"/>
  <c r="G713" i="16"/>
  <c r="H713" i="16" s="1"/>
  <c r="Y713" i="16" s="1"/>
  <c r="G714" i="16"/>
  <c r="H714" i="16" s="1"/>
  <c r="Y714" i="16" s="1"/>
  <c r="G715" i="16"/>
  <c r="H715" i="16" s="1"/>
  <c r="Y715" i="16" s="1"/>
  <c r="G716" i="16"/>
  <c r="H716" i="16" s="1"/>
  <c r="Y716" i="16" s="1"/>
  <c r="G717" i="16"/>
  <c r="H717" i="16" s="1"/>
  <c r="Y717" i="16" s="1"/>
  <c r="G718" i="16"/>
  <c r="H718" i="16" s="1"/>
  <c r="Y718" i="16" s="1"/>
  <c r="G719" i="16"/>
  <c r="H719" i="16" s="1"/>
  <c r="Y719" i="16" s="1"/>
  <c r="G720" i="16"/>
  <c r="H720" i="16" s="1"/>
  <c r="Y720" i="16" s="1"/>
  <c r="G721" i="16"/>
  <c r="H721" i="16" s="1"/>
  <c r="Y721" i="16" s="1"/>
  <c r="G722" i="16"/>
  <c r="H722" i="16" s="1"/>
  <c r="Y722" i="16" s="1"/>
  <c r="G723" i="16"/>
  <c r="H723" i="16" s="1"/>
  <c r="Y723" i="16" s="1"/>
  <c r="G724" i="16"/>
  <c r="H724" i="16" s="1"/>
  <c r="Y724" i="16" s="1"/>
  <c r="G725" i="16"/>
  <c r="H725" i="16" s="1"/>
  <c r="Y725" i="16" s="1"/>
  <c r="G726" i="16"/>
  <c r="H726" i="16" s="1"/>
  <c r="Y726" i="16" s="1"/>
  <c r="G727" i="16"/>
  <c r="H727" i="16" s="1"/>
  <c r="Y727" i="16" s="1"/>
  <c r="G728" i="16"/>
  <c r="H728" i="16" s="1"/>
  <c r="Y728" i="16" s="1"/>
  <c r="G729" i="16"/>
  <c r="H729" i="16" s="1"/>
  <c r="Y729" i="16" s="1"/>
  <c r="G730" i="16"/>
  <c r="H730" i="16" s="1"/>
  <c r="Y730" i="16" s="1"/>
  <c r="G731" i="16"/>
  <c r="H731" i="16" s="1"/>
  <c r="Y731" i="16" s="1"/>
  <c r="G732" i="16"/>
  <c r="H732" i="16" s="1"/>
  <c r="Y732" i="16" s="1"/>
  <c r="G733" i="16"/>
  <c r="H733" i="16" s="1"/>
  <c r="Y733" i="16" s="1"/>
  <c r="G2" i="16"/>
  <c r="H2" i="16" s="1"/>
  <c r="Y2" i="16" s="1"/>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F186" i="16"/>
  <c r="F187" i="16"/>
  <c r="F188" i="16"/>
  <c r="F189" i="16"/>
  <c r="F190" i="16"/>
  <c r="F191" i="16"/>
  <c r="F192" i="16"/>
  <c r="F193" i="16"/>
  <c r="F194" i="16"/>
  <c r="F195" i="16"/>
  <c r="F196" i="16"/>
  <c r="F197" i="16"/>
  <c r="F198" i="16"/>
  <c r="F199" i="16"/>
  <c r="F200" i="16"/>
  <c r="F201" i="16"/>
  <c r="F202" i="16"/>
  <c r="F203" i="16"/>
  <c r="F204" i="16"/>
  <c r="F205" i="16"/>
  <c r="F206" i="16"/>
  <c r="F207" i="16"/>
  <c r="F208" i="16"/>
  <c r="F209" i="16"/>
  <c r="F210" i="16"/>
  <c r="F211" i="16"/>
  <c r="F212" i="16"/>
  <c r="F213" i="16"/>
  <c r="F214" i="16"/>
  <c r="F215" i="16"/>
  <c r="F216" i="16"/>
  <c r="F217" i="16"/>
  <c r="F218" i="16"/>
  <c r="F219" i="16"/>
  <c r="F220" i="16"/>
  <c r="F221" i="16"/>
  <c r="F222" i="16"/>
  <c r="F223" i="16"/>
  <c r="F224" i="16"/>
  <c r="F225" i="16"/>
  <c r="F226" i="16"/>
  <c r="F227" i="16"/>
  <c r="F228" i="16"/>
  <c r="F229" i="16"/>
  <c r="F230" i="16"/>
  <c r="F231" i="16"/>
  <c r="F232" i="16"/>
  <c r="F233" i="16"/>
  <c r="F234" i="16"/>
  <c r="F235" i="16"/>
  <c r="F236" i="16"/>
  <c r="F237" i="16"/>
  <c r="F238" i="16"/>
  <c r="F239" i="16"/>
  <c r="F240" i="16"/>
  <c r="F241" i="16"/>
  <c r="F242" i="16"/>
  <c r="F243" i="16"/>
  <c r="F244" i="16"/>
  <c r="F245" i="16"/>
  <c r="F246" i="16"/>
  <c r="F247" i="16"/>
  <c r="F248" i="16"/>
  <c r="F249" i="16"/>
  <c r="F250" i="16"/>
  <c r="F251" i="16"/>
  <c r="F252" i="16"/>
  <c r="F253" i="16"/>
  <c r="F254" i="16"/>
  <c r="F255" i="16"/>
  <c r="F256" i="16"/>
  <c r="F257" i="16"/>
  <c r="F258" i="16"/>
  <c r="F259" i="16"/>
  <c r="F260" i="16"/>
  <c r="F261" i="16"/>
  <c r="F262" i="16"/>
  <c r="F263" i="16"/>
  <c r="F264" i="16"/>
  <c r="F265" i="16"/>
  <c r="F266" i="16"/>
  <c r="F267" i="16"/>
  <c r="F268" i="16"/>
  <c r="F269" i="16"/>
  <c r="F270" i="16"/>
  <c r="F271" i="16"/>
  <c r="F272" i="16"/>
  <c r="F273" i="16"/>
  <c r="F274" i="16"/>
  <c r="F275" i="16"/>
  <c r="F276" i="16"/>
  <c r="F277" i="16"/>
  <c r="F278" i="16"/>
  <c r="F279" i="16"/>
  <c r="F280" i="16"/>
  <c r="F281" i="16"/>
  <c r="F282" i="16"/>
  <c r="F283" i="16"/>
  <c r="F284" i="16"/>
  <c r="F285" i="16"/>
  <c r="F286" i="16"/>
  <c r="F287" i="16"/>
  <c r="F288" i="16"/>
  <c r="F289" i="16"/>
  <c r="F290" i="16"/>
  <c r="F291" i="16"/>
  <c r="F292" i="16"/>
  <c r="F293" i="16"/>
  <c r="F294" i="16"/>
  <c r="F295" i="16"/>
  <c r="F296" i="16"/>
  <c r="F297" i="16"/>
  <c r="F298" i="16"/>
  <c r="F299" i="16"/>
  <c r="F300" i="16"/>
  <c r="F301" i="16"/>
  <c r="F302" i="16"/>
  <c r="F303" i="16"/>
  <c r="F304" i="16"/>
  <c r="F305" i="16"/>
  <c r="F306" i="16"/>
  <c r="F307" i="16"/>
  <c r="F308" i="16"/>
  <c r="F309" i="16"/>
  <c r="F310" i="16"/>
  <c r="F311" i="16"/>
  <c r="F312" i="16"/>
  <c r="F313" i="16"/>
  <c r="F314" i="16"/>
  <c r="F315" i="16"/>
  <c r="F316" i="16"/>
  <c r="F317" i="16"/>
  <c r="F318" i="16"/>
  <c r="F319" i="16"/>
  <c r="F320" i="16"/>
  <c r="F321" i="16"/>
  <c r="F322" i="16"/>
  <c r="F323" i="16"/>
  <c r="F324" i="16"/>
  <c r="F325" i="16"/>
  <c r="F326" i="16"/>
  <c r="F327" i="16"/>
  <c r="F328" i="16"/>
  <c r="F329" i="16"/>
  <c r="F330" i="16"/>
  <c r="F331" i="16"/>
  <c r="F332" i="16"/>
  <c r="F333" i="16"/>
  <c r="F334" i="16"/>
  <c r="F335" i="16"/>
  <c r="F336" i="16"/>
  <c r="F337" i="16"/>
  <c r="F338" i="16"/>
  <c r="F339" i="16"/>
  <c r="F340" i="16"/>
  <c r="F341" i="16"/>
  <c r="F342" i="16"/>
  <c r="F343" i="16"/>
  <c r="F344" i="16"/>
  <c r="F345" i="16"/>
  <c r="F346" i="16"/>
  <c r="F347" i="16"/>
  <c r="F348" i="16"/>
  <c r="F349" i="16"/>
  <c r="F350" i="16"/>
  <c r="F351" i="16"/>
  <c r="F352" i="16"/>
  <c r="F353" i="16"/>
  <c r="F354" i="16"/>
  <c r="F355" i="16"/>
  <c r="F356" i="16"/>
  <c r="F357" i="16"/>
  <c r="F358" i="16"/>
  <c r="F359" i="16"/>
  <c r="F360" i="16"/>
  <c r="F361" i="16"/>
  <c r="F362" i="16"/>
  <c r="F363" i="16"/>
  <c r="F364" i="16"/>
  <c r="F365" i="16"/>
  <c r="F366" i="16"/>
  <c r="F367" i="16"/>
  <c r="F368" i="16"/>
  <c r="F369" i="16"/>
  <c r="F370" i="16"/>
  <c r="F371" i="16"/>
  <c r="F372" i="16"/>
  <c r="F373" i="16"/>
  <c r="F374" i="16"/>
  <c r="F375" i="16"/>
  <c r="F376" i="16"/>
  <c r="F377" i="16"/>
  <c r="F378" i="16"/>
  <c r="F379" i="16"/>
  <c r="F380" i="16"/>
  <c r="F381" i="16"/>
  <c r="F382" i="16"/>
  <c r="F383" i="16"/>
  <c r="F384" i="16"/>
  <c r="F385" i="16"/>
  <c r="F386" i="16"/>
  <c r="F387" i="16"/>
  <c r="F388" i="16"/>
  <c r="F389" i="16"/>
  <c r="F390" i="16"/>
  <c r="F391" i="16"/>
  <c r="F392" i="16"/>
  <c r="F393" i="16"/>
  <c r="F394" i="16"/>
  <c r="F395" i="16"/>
  <c r="F396" i="16"/>
  <c r="F397" i="16"/>
  <c r="F398" i="16"/>
  <c r="F399" i="16"/>
  <c r="F400" i="16"/>
  <c r="F401" i="16"/>
  <c r="F402" i="16"/>
  <c r="F403" i="16"/>
  <c r="F404" i="16"/>
  <c r="F405" i="16"/>
  <c r="F406" i="16"/>
  <c r="F407" i="16"/>
  <c r="F408" i="16"/>
  <c r="F409" i="16"/>
  <c r="F410" i="16"/>
  <c r="F411" i="16"/>
  <c r="F412" i="16"/>
  <c r="F413" i="16"/>
  <c r="F414" i="16"/>
  <c r="F415" i="16"/>
  <c r="F416" i="16"/>
  <c r="F417" i="16"/>
  <c r="F418" i="16"/>
  <c r="F419" i="16"/>
  <c r="F420" i="16"/>
  <c r="F421" i="16"/>
  <c r="F422" i="16"/>
  <c r="F423" i="16"/>
  <c r="F424" i="16"/>
  <c r="F425" i="16"/>
  <c r="F426" i="16"/>
  <c r="F427" i="16"/>
  <c r="F428" i="16"/>
  <c r="F429" i="16"/>
  <c r="F430" i="16"/>
  <c r="F431" i="16"/>
  <c r="F432" i="16"/>
  <c r="F433" i="16"/>
  <c r="F434" i="16"/>
  <c r="F435" i="16"/>
  <c r="F436" i="16"/>
  <c r="F437" i="16"/>
  <c r="F438" i="16"/>
  <c r="F439" i="16"/>
  <c r="F440" i="16"/>
  <c r="F441" i="16"/>
  <c r="F442" i="16"/>
  <c r="F443" i="16"/>
  <c r="F444" i="16"/>
  <c r="F445" i="16"/>
  <c r="F446" i="16"/>
  <c r="F447" i="16"/>
  <c r="F448" i="16"/>
  <c r="F449" i="16"/>
  <c r="F450" i="16"/>
  <c r="F451" i="16"/>
  <c r="F452" i="16"/>
  <c r="F453" i="16"/>
  <c r="F454" i="16"/>
  <c r="F455" i="16"/>
  <c r="F456" i="16"/>
  <c r="F457" i="16"/>
  <c r="F458" i="16"/>
  <c r="F459" i="16"/>
  <c r="F460" i="16"/>
  <c r="F461" i="16"/>
  <c r="F462" i="16"/>
  <c r="F463" i="16"/>
  <c r="F464" i="16"/>
  <c r="F465" i="16"/>
  <c r="F466" i="16"/>
  <c r="F467" i="16"/>
  <c r="F468" i="16"/>
  <c r="F469" i="16"/>
  <c r="F470" i="16"/>
  <c r="F471" i="16"/>
  <c r="F472" i="16"/>
  <c r="F473" i="16"/>
  <c r="F474" i="16"/>
  <c r="F475" i="16"/>
  <c r="F476" i="16"/>
  <c r="F477" i="16"/>
  <c r="F478" i="16"/>
  <c r="F479" i="16"/>
  <c r="F480" i="16"/>
  <c r="F481" i="16"/>
  <c r="F482" i="16"/>
  <c r="F483" i="16"/>
  <c r="F484" i="16"/>
  <c r="F485" i="16"/>
  <c r="F486" i="16"/>
  <c r="F487" i="16"/>
  <c r="F488" i="16"/>
  <c r="F489" i="16"/>
  <c r="F490" i="16"/>
  <c r="F491" i="16"/>
  <c r="F492" i="16"/>
  <c r="F493" i="16"/>
  <c r="F494" i="16"/>
  <c r="F495" i="16"/>
  <c r="F496" i="16"/>
  <c r="F497" i="16"/>
  <c r="F498" i="16"/>
  <c r="F499" i="16"/>
  <c r="F500" i="16"/>
  <c r="F501" i="16"/>
  <c r="F502" i="16"/>
  <c r="F503" i="16"/>
  <c r="F504" i="16"/>
  <c r="F505" i="16"/>
  <c r="F506" i="16"/>
  <c r="F507" i="16"/>
  <c r="F508" i="16"/>
  <c r="F509" i="16"/>
  <c r="F510" i="16"/>
  <c r="F511" i="16"/>
  <c r="F512" i="16"/>
  <c r="F513" i="16"/>
  <c r="F514" i="16"/>
  <c r="F515" i="16"/>
  <c r="F516" i="16"/>
  <c r="F517" i="16"/>
  <c r="F518" i="16"/>
  <c r="F519" i="16"/>
  <c r="F520" i="16"/>
  <c r="F521" i="16"/>
  <c r="F522" i="16"/>
  <c r="F523" i="16"/>
  <c r="F524" i="16"/>
  <c r="F525" i="16"/>
  <c r="F526" i="16"/>
  <c r="F527" i="16"/>
  <c r="F528" i="16"/>
  <c r="F529" i="16"/>
  <c r="F530" i="16"/>
  <c r="F531" i="16"/>
  <c r="F532" i="16"/>
  <c r="F533" i="16"/>
  <c r="F534" i="16"/>
  <c r="F535" i="16"/>
  <c r="F536" i="16"/>
  <c r="F537" i="16"/>
  <c r="F538" i="16"/>
  <c r="F539" i="16"/>
  <c r="F540" i="16"/>
  <c r="F541" i="16"/>
  <c r="F542" i="16"/>
  <c r="F543" i="16"/>
  <c r="F544" i="16"/>
  <c r="F545" i="16"/>
  <c r="F546" i="16"/>
  <c r="F547" i="16"/>
  <c r="F548" i="16"/>
  <c r="F549" i="16"/>
  <c r="F550" i="16"/>
  <c r="F551" i="16"/>
  <c r="F552" i="16"/>
  <c r="F553" i="16"/>
  <c r="F554" i="16"/>
  <c r="F555" i="16"/>
  <c r="F556" i="16"/>
  <c r="F557" i="16"/>
  <c r="F558" i="16"/>
  <c r="F559" i="16"/>
  <c r="F560" i="16"/>
  <c r="F561" i="16"/>
  <c r="F562" i="16"/>
  <c r="F563" i="16"/>
  <c r="F564" i="16"/>
  <c r="F565" i="16"/>
  <c r="F566" i="16"/>
  <c r="F567" i="16"/>
  <c r="F568" i="16"/>
  <c r="F569" i="16"/>
  <c r="F570" i="16"/>
  <c r="F571" i="16"/>
  <c r="F572" i="16"/>
  <c r="F573" i="16"/>
  <c r="F574" i="16"/>
  <c r="F575" i="16"/>
  <c r="F576" i="16"/>
  <c r="F577" i="16"/>
  <c r="F578" i="16"/>
  <c r="F579" i="16"/>
  <c r="F580" i="16"/>
  <c r="F581" i="16"/>
  <c r="F582" i="16"/>
  <c r="F583" i="16"/>
  <c r="F584" i="16"/>
  <c r="F585" i="16"/>
  <c r="F586" i="16"/>
  <c r="F587" i="16"/>
  <c r="F588" i="16"/>
  <c r="F589" i="16"/>
  <c r="F590" i="16"/>
  <c r="F591" i="16"/>
  <c r="F592" i="16"/>
  <c r="F593" i="16"/>
  <c r="F594" i="16"/>
  <c r="F595" i="16"/>
  <c r="F596" i="16"/>
  <c r="F597" i="16"/>
  <c r="F598" i="16"/>
  <c r="F599" i="16"/>
  <c r="F600" i="16"/>
  <c r="F601" i="16"/>
  <c r="F602" i="16"/>
  <c r="F603" i="16"/>
  <c r="F604" i="16"/>
  <c r="F605" i="16"/>
  <c r="F606" i="16"/>
  <c r="F607" i="16"/>
  <c r="F608" i="16"/>
  <c r="F609" i="16"/>
  <c r="F610" i="16"/>
  <c r="F611" i="16"/>
  <c r="F612" i="16"/>
  <c r="F613" i="16"/>
  <c r="F614" i="16"/>
  <c r="F615" i="16"/>
  <c r="F616" i="16"/>
  <c r="F617" i="16"/>
  <c r="F618" i="16"/>
  <c r="F619" i="16"/>
  <c r="F620" i="16"/>
  <c r="F621" i="16"/>
  <c r="F622" i="16"/>
  <c r="F623" i="16"/>
  <c r="F624" i="16"/>
  <c r="F625" i="16"/>
  <c r="F626" i="16"/>
  <c r="F627" i="16"/>
  <c r="F628" i="16"/>
  <c r="F629" i="16"/>
  <c r="F630" i="16"/>
  <c r="F631" i="16"/>
  <c r="F632" i="16"/>
  <c r="F633" i="16"/>
  <c r="F634" i="16"/>
  <c r="F635" i="16"/>
  <c r="F636" i="16"/>
  <c r="F637" i="16"/>
  <c r="F638" i="16"/>
  <c r="F639" i="16"/>
  <c r="F640" i="16"/>
  <c r="F641" i="16"/>
  <c r="F642" i="16"/>
  <c r="F643" i="16"/>
  <c r="F644" i="16"/>
  <c r="F645" i="16"/>
  <c r="F646" i="16"/>
  <c r="F647" i="16"/>
  <c r="F648" i="16"/>
  <c r="F649" i="16"/>
  <c r="F650" i="16"/>
  <c r="F651" i="16"/>
  <c r="F652" i="16"/>
  <c r="F653" i="16"/>
  <c r="F654" i="16"/>
  <c r="F655" i="16"/>
  <c r="F656" i="16"/>
  <c r="F657" i="16"/>
  <c r="F658" i="16"/>
  <c r="F659" i="16"/>
  <c r="F660" i="16"/>
  <c r="F661" i="16"/>
  <c r="F662" i="16"/>
  <c r="F663" i="16"/>
  <c r="F664" i="16"/>
  <c r="F665" i="16"/>
  <c r="F666" i="16"/>
  <c r="F667" i="16"/>
  <c r="F668" i="16"/>
  <c r="F669" i="16"/>
  <c r="F670" i="16"/>
  <c r="F671" i="16"/>
  <c r="F672" i="16"/>
  <c r="F673" i="16"/>
  <c r="F674" i="16"/>
  <c r="F675" i="16"/>
  <c r="F676" i="16"/>
  <c r="F677" i="16"/>
  <c r="F678" i="16"/>
  <c r="F679" i="16"/>
  <c r="F680" i="16"/>
  <c r="F681" i="16"/>
  <c r="F682" i="16"/>
  <c r="F683" i="16"/>
  <c r="F684" i="16"/>
  <c r="F685" i="16"/>
  <c r="F686" i="16"/>
  <c r="F687" i="16"/>
  <c r="F688" i="16"/>
  <c r="F689" i="16"/>
  <c r="F690" i="16"/>
  <c r="F691" i="16"/>
  <c r="F692" i="16"/>
  <c r="F693" i="16"/>
  <c r="F694" i="16"/>
  <c r="F695" i="16"/>
  <c r="F696" i="16"/>
  <c r="F697" i="16"/>
  <c r="F698" i="16"/>
  <c r="F699" i="16"/>
  <c r="F700" i="16"/>
  <c r="F701" i="16"/>
  <c r="F702" i="16"/>
  <c r="F703" i="16"/>
  <c r="F704" i="16"/>
  <c r="F705" i="16"/>
  <c r="F706" i="16"/>
  <c r="F707" i="16"/>
  <c r="F708" i="16"/>
  <c r="F709" i="16"/>
  <c r="F710" i="16"/>
  <c r="F711" i="16"/>
  <c r="F712" i="16"/>
  <c r="F713" i="16"/>
  <c r="F714" i="16"/>
  <c r="F715" i="16"/>
  <c r="F716" i="16"/>
  <c r="F717" i="16"/>
  <c r="F718" i="16"/>
  <c r="F719" i="16"/>
  <c r="F720" i="16"/>
  <c r="F721" i="16"/>
  <c r="F722" i="16"/>
  <c r="F723" i="16"/>
  <c r="F724" i="16"/>
  <c r="F725" i="16"/>
  <c r="F726" i="16"/>
  <c r="F727" i="16"/>
  <c r="F728" i="16"/>
  <c r="F729" i="16"/>
  <c r="F730" i="16"/>
  <c r="F731" i="16"/>
  <c r="F732" i="16"/>
  <c r="F733" i="16"/>
  <c r="F2" i="16"/>
  <c r="X17" i="16" l="1"/>
  <c r="X5" i="16"/>
  <c r="X7" i="16"/>
  <c r="X6" i="16"/>
  <c r="X8"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EA8CEC-2751-E341-A078-0FAC597320FF}" name="sentimentdataset1" type="6" refreshedVersion="8" background="1" saveData="1">
    <textPr fileType="mac" sourceFile="/Users/Nena/Downloads/sentimentdataset.csv" tab="0" comma="1">
      <textFields count="15">
        <textField/>
        <textField/>
        <textField/>
        <textField/>
        <textField type="DMY"/>
        <textField/>
        <textField/>
        <textField/>
        <textField/>
        <textField/>
        <textField/>
        <textField/>
        <textField/>
        <textField/>
        <textField/>
      </textFields>
    </textPr>
  </connection>
</connections>
</file>

<file path=xl/sharedStrings.xml><?xml version="1.0" encoding="utf-8"?>
<sst xmlns="http://schemas.openxmlformats.org/spreadsheetml/2006/main" count="4798" uniqueCount="2691">
  <si>
    <t>Text</t>
  </si>
  <si>
    <t>Sentiment</t>
  </si>
  <si>
    <t>Timestamp</t>
  </si>
  <si>
    <t>User</t>
  </si>
  <si>
    <t>Platform</t>
  </si>
  <si>
    <t>Hashtags</t>
  </si>
  <si>
    <t>Retweets</t>
  </si>
  <si>
    <t>Likes</t>
  </si>
  <si>
    <t>Country</t>
  </si>
  <si>
    <t>Year</t>
  </si>
  <si>
    <t>Month</t>
  </si>
  <si>
    <t>Day</t>
  </si>
  <si>
    <t>Hour</t>
  </si>
  <si>
    <t xml:space="preserve"> Enjoying a beautiful day at the park!              </t>
  </si>
  <si>
    <t xml:space="preserve"> Positive  </t>
  </si>
  <si>
    <t xml:space="preserve"> User123      </t>
  </si>
  <si>
    <t xml:space="preserve"> Twitter  </t>
  </si>
  <si>
    <t xml:space="preserve"> #Nature #Park                            </t>
  </si>
  <si>
    <t xml:space="preserve"> USA      </t>
  </si>
  <si>
    <t xml:space="preserve"> Traffic was terrible this morning.                 </t>
  </si>
  <si>
    <t xml:space="preserve"> Negative  </t>
  </si>
  <si>
    <t xml:space="preserve"> CommuterX    </t>
  </si>
  <si>
    <t xml:space="preserve"> #Traffic #Morning                        </t>
  </si>
  <si>
    <t xml:space="preserve"> Canada   </t>
  </si>
  <si>
    <t xml:space="preserve"> Just finished an amazing workout! üí™               </t>
  </si>
  <si>
    <t xml:space="preserve"> FitnessFan   </t>
  </si>
  <si>
    <t xml:space="preserve"> Instagram </t>
  </si>
  <si>
    <t xml:space="preserve"> #Fitness #Workout                        </t>
  </si>
  <si>
    <t xml:space="preserve"> USA        </t>
  </si>
  <si>
    <t xml:space="preserve"> Excited about the upcoming weekend getaway!        </t>
  </si>
  <si>
    <t xml:space="preserve"> AdventureX   </t>
  </si>
  <si>
    <t xml:space="preserve"> Facebook </t>
  </si>
  <si>
    <t xml:space="preserve"> #Travel #Adventure                       </t>
  </si>
  <si>
    <t xml:space="preserve"> UK       </t>
  </si>
  <si>
    <t xml:space="preserve"> Trying out a new recipe for dinner tonight.        </t>
  </si>
  <si>
    <t xml:space="preserve"> Neutral   </t>
  </si>
  <si>
    <t xml:space="preserve"> ChefCook     </t>
  </si>
  <si>
    <t xml:space="preserve"> #Cooking #Food                           </t>
  </si>
  <si>
    <t xml:space="preserve"> Australia </t>
  </si>
  <si>
    <t xml:space="preserve"> Feeling grateful for the little things in life.    </t>
  </si>
  <si>
    <t xml:space="preserve"> GratitudeNow </t>
  </si>
  <si>
    <t xml:space="preserve"> #Gratitude #PositiveVibes              </t>
  </si>
  <si>
    <t xml:space="preserve"> India    </t>
  </si>
  <si>
    <t xml:space="preserve"> Rainy days call for cozy blankets and hot cocoa.   </t>
  </si>
  <si>
    <t xml:space="preserve"> RainyDays    </t>
  </si>
  <si>
    <t xml:space="preserve"> #RainyDays #Cozy                         </t>
  </si>
  <si>
    <t xml:space="preserve"> The new movie release is a must-watch!             </t>
  </si>
  <si>
    <t xml:space="preserve"> MovieBuff    </t>
  </si>
  <si>
    <t xml:space="preserve"> #MovieNight #MustWatch                  </t>
  </si>
  <si>
    <t xml:space="preserve"> USA    </t>
  </si>
  <si>
    <t xml:space="preserve"> Political discussions heating up on the timeline.  </t>
  </si>
  <si>
    <t xml:space="preserve"> DebateTalk   </t>
  </si>
  <si>
    <t xml:space="preserve"> #Politics #Debate                       </t>
  </si>
  <si>
    <t xml:space="preserve"> Missing summer vibes and beach days.               </t>
  </si>
  <si>
    <t xml:space="preserve"> BeachLover   </t>
  </si>
  <si>
    <t xml:space="preserve"> #Summer #BeachDays                      </t>
  </si>
  <si>
    <t xml:space="preserve"> Just published a new blog post. Check it out!      </t>
  </si>
  <si>
    <t xml:space="preserve"> BloggerX     </t>
  </si>
  <si>
    <t xml:space="preserve"> #Blogging #NewPost                      </t>
  </si>
  <si>
    <t>USA</t>
  </si>
  <si>
    <t xml:space="preserve"> Feeling a bit under the weather today.             </t>
  </si>
  <si>
    <t xml:space="preserve"> WellnessCheck</t>
  </si>
  <si>
    <t xml:space="preserve"> #SickDay #Health                        </t>
  </si>
  <si>
    <t xml:space="preserve"> Exploring the city's hidden gems.                  </t>
  </si>
  <si>
    <t xml:space="preserve"> UrbanExplorer</t>
  </si>
  <si>
    <t xml:space="preserve"> #CityExplore #HiddenGems                </t>
  </si>
  <si>
    <t xml:space="preserve"> New year, new fitness goals! üí™                    </t>
  </si>
  <si>
    <t xml:space="preserve"> FitJourney   </t>
  </si>
  <si>
    <t xml:space="preserve"> #NewYear #FitnessGoals                  </t>
  </si>
  <si>
    <t xml:space="preserve"> Technology is changing the way we live.            </t>
  </si>
  <si>
    <t xml:space="preserve"> TechEnthusiast</t>
  </si>
  <si>
    <t xml:space="preserve"> #Tech #Innovation                       </t>
  </si>
  <si>
    <t xml:space="preserve"> Reflecting on the past and looking ahead.          </t>
  </si>
  <si>
    <t xml:space="preserve"> Reflections  </t>
  </si>
  <si>
    <t xml:space="preserve"> #Reflection #Future                     </t>
  </si>
  <si>
    <t xml:space="preserve"> Just adopted a cute furry friend! üêæ              </t>
  </si>
  <si>
    <t xml:space="preserve"> PetAdopter   </t>
  </si>
  <si>
    <t xml:space="preserve"> #PetAdoption #FurryFriend               </t>
  </si>
  <si>
    <t xml:space="preserve"> Canada    </t>
  </si>
  <si>
    <t xml:space="preserve"> Late-night gaming session with friends.            </t>
  </si>
  <si>
    <t xml:space="preserve"> GamerX       </t>
  </si>
  <si>
    <t xml:space="preserve"> #Gaming #LateNight                      </t>
  </si>
  <si>
    <t xml:space="preserve"> Attending a virtual conference on AI.              </t>
  </si>
  <si>
    <t xml:space="preserve"> TechConference</t>
  </si>
  <si>
    <t xml:space="preserve"> #AI #TechConference                     </t>
  </si>
  <si>
    <t xml:space="preserve"> Winter blues got me feeling low.                   </t>
  </si>
  <si>
    <t xml:space="preserve"> WinterBlues  </t>
  </si>
  <si>
    <t xml:space="preserve"> #WinterBlues #Mood                      </t>
  </si>
  <si>
    <t xml:space="preserve"> USA       </t>
  </si>
  <si>
    <t xml:space="preserve"> Sipping coffee and enjoying a good book.           </t>
  </si>
  <si>
    <t xml:space="preserve"> Bookworm     </t>
  </si>
  <si>
    <t xml:space="preserve"> #Reading #CoffeeTime                    </t>
  </si>
  <si>
    <t xml:space="preserve"> Exploring the world of virtual reality.            </t>
  </si>
  <si>
    <t xml:space="preserve"> VRExplorer   </t>
  </si>
  <si>
    <t xml:space="preserve"> #VR #VirtualReality                     </t>
  </si>
  <si>
    <t xml:space="preserve"> Productive day ticking off my to-do list.          </t>
  </si>
  <si>
    <t xml:space="preserve"> ProductivityPro</t>
  </si>
  <si>
    <t xml:space="preserve"> #Productivity #WorkFromHome           </t>
  </si>
  <si>
    <t xml:space="preserve"> USA </t>
  </si>
  <si>
    <t xml:space="preserve"> Just finished a challenging workout routine.       </t>
  </si>
  <si>
    <t xml:space="preserve"> FitnessWarrior</t>
  </si>
  <si>
    <t xml:space="preserve"> #Fitness #ChallengeAccepted             </t>
  </si>
  <si>
    <t xml:space="preserve"> Celebrating a milestone at work! üéâ               </t>
  </si>
  <si>
    <t xml:space="preserve"> CareerMilestone</t>
  </si>
  <si>
    <t xml:space="preserve"> #Career #Milestone                      </t>
  </si>
  <si>
    <t xml:space="preserve"> Canada  </t>
  </si>
  <si>
    <t xml:space="preserve"> Sunday brunch with friends.                        </t>
  </si>
  <si>
    <t xml:space="preserve"> BrunchBuddy  </t>
  </si>
  <si>
    <t xml:space="preserve"> #Brunch #Friends                       </t>
  </si>
  <si>
    <t xml:space="preserve"> UK </t>
  </si>
  <si>
    <t xml:space="preserve"> Learning a new language for personal growth.       </t>
  </si>
  <si>
    <t xml:space="preserve"> LanguageLearner</t>
  </si>
  <si>
    <t xml:space="preserve"> #LanguageLearning #PersonalGrowth       </t>
  </si>
  <si>
    <t xml:space="preserve"> India     </t>
  </si>
  <si>
    <t xml:space="preserve"> Quiet evening with a good book.                    </t>
  </si>
  <si>
    <t xml:space="preserve"> BookLover    </t>
  </si>
  <si>
    <t xml:space="preserve"> #Reading #QuietTime                     </t>
  </si>
  <si>
    <t xml:space="preserve"> Reflecting on the importance of mental health.     </t>
  </si>
  <si>
    <t xml:space="preserve"> MentalHealthMatters</t>
  </si>
  <si>
    <t xml:space="preserve"> #MentalHealth #SelfCare                 </t>
  </si>
  <si>
    <t xml:space="preserve"> New painting in progress! üé®                       </t>
  </si>
  <si>
    <t xml:space="preserve"> ArtistInAction</t>
  </si>
  <si>
    <t xml:space="preserve"> #Art #PaintingInProgress             </t>
  </si>
  <si>
    <t xml:space="preserve"> Canada </t>
  </si>
  <si>
    <t xml:space="preserve"> Weekend road trip to explore scenic views.         </t>
  </si>
  <si>
    <t xml:space="preserve"> RoadTripper  </t>
  </si>
  <si>
    <t xml:space="preserve"> #RoadTrip #ScenicViews                  </t>
  </si>
  <si>
    <t xml:space="preserve"> UK        </t>
  </si>
  <si>
    <t xml:space="preserve"> Enjoying a cup of tea and watching the sunset.     </t>
  </si>
  <si>
    <t xml:space="preserve"> SunsetWatcher</t>
  </si>
  <si>
    <t xml:space="preserve"> #TeaTime #Sunset                       </t>
  </si>
  <si>
    <t xml:space="preserve"> Coding a new project with enthusiasm.              </t>
  </si>
  <si>
    <t xml:space="preserve"> CodeEnthusiast</t>
  </si>
  <si>
    <t xml:space="preserve"> #Coding #Enthusiasm                   </t>
  </si>
  <si>
    <t xml:space="preserve"> Feeling inspired after attending a workshop.       </t>
  </si>
  <si>
    <t xml:space="preserve"> WorkshopAttendee</t>
  </si>
  <si>
    <t xml:space="preserve"> #Inspiration #Workshop                  </t>
  </si>
  <si>
    <t xml:space="preserve"> Winter sports day at the local park.               </t>
  </si>
  <si>
    <t xml:space="preserve"> WinterSports  </t>
  </si>
  <si>
    <t xml:space="preserve"> #WinterSports #Fun                     </t>
  </si>
  <si>
    <t xml:space="preserve"> Quality time with family this weekend.             </t>
  </si>
  <si>
    <t xml:space="preserve"> FamilyTime   </t>
  </si>
  <si>
    <t xml:space="preserve"> #FamilyTime #Weekend                    </t>
  </si>
  <si>
    <t xml:space="preserve"> Attending a live music concert tonight.            </t>
  </si>
  <si>
    <t xml:space="preserve"> MusicLover   </t>
  </si>
  <si>
    <t xml:space="preserve"> #Music #ConcertNight                  </t>
  </si>
  <si>
    <t xml:space="preserve"> Practicing mindfulness with meditation.            </t>
  </si>
  <si>
    <t xml:space="preserve"> MindfulMoments</t>
  </si>
  <si>
    <t xml:space="preserve"> #Mindfulness #Meditation               </t>
  </si>
  <si>
    <t xml:space="preserve"> Trying out a new dessert recipe.                   </t>
  </si>
  <si>
    <t xml:space="preserve"> DessertExplorer</t>
  </si>
  <si>
    <t xml:space="preserve"> #Dessert #Cooking                      </t>
  </si>
  <si>
    <t xml:space="preserve"> Excited about the upcoming gaming tournament.      </t>
  </si>
  <si>
    <t xml:space="preserve"> GamingEnthusiast</t>
  </si>
  <si>
    <t xml:space="preserve"> #Gaming #Tournament                     </t>
  </si>
  <si>
    <t xml:space="preserve"> Planning a garden makeover for spring.             </t>
  </si>
  <si>
    <t xml:space="preserve"> GardenPlanner </t>
  </si>
  <si>
    <t xml:space="preserve"> #Gardening #Spring                     </t>
  </si>
  <si>
    <t xml:space="preserve"> Celebrating a friend's birthday tonight! üéÇ       </t>
  </si>
  <si>
    <t xml:space="preserve"> BirthdayBash </t>
  </si>
  <si>
    <t xml:space="preserve"> #Birthday #Celebration                  </t>
  </si>
  <si>
    <t xml:space="preserve"> Feeling accomplished after a productive day.       </t>
  </si>
  <si>
    <t xml:space="preserve"> ProductivityWin</t>
  </si>
  <si>
    <t xml:space="preserve"> #Accomplished #Success               </t>
  </si>
  <si>
    <t xml:space="preserve"> India </t>
  </si>
  <si>
    <t xml:space="preserve"> A cozy evening with a good movie.                 </t>
  </si>
  <si>
    <t xml:space="preserve"> MovieNight   </t>
  </si>
  <si>
    <t xml:space="preserve"> #CozyNight #MovieTime                   </t>
  </si>
  <si>
    <t xml:space="preserve"> Exploring local art galleries this weekend.        </t>
  </si>
  <si>
    <t xml:space="preserve"> ArtExplorer  </t>
  </si>
  <si>
    <t xml:space="preserve"> #Art #GalleryExplore                    </t>
  </si>
  <si>
    <t xml:space="preserve"> New book release from my favorite author!          </t>
  </si>
  <si>
    <t xml:space="preserve"> BookwormX    </t>
  </si>
  <si>
    <t xml:space="preserve"> #BookRelease #FavoriteAuthor           </t>
  </si>
  <si>
    <t xml:space="preserve"> UK   </t>
  </si>
  <si>
    <t xml:space="preserve"> Attending a virtual reality meetup.                </t>
  </si>
  <si>
    <t xml:space="preserve"> VRMeetup     </t>
  </si>
  <si>
    <t xml:space="preserve"> #VRMeetup #VirtualReality               </t>
  </si>
  <si>
    <t xml:space="preserve"> Reflecting on the beauty of nature.                </t>
  </si>
  <si>
    <t xml:space="preserve"> NatureLover  </t>
  </si>
  <si>
    <t xml:space="preserve"> #Nature #Reflection                     </t>
  </si>
  <si>
    <t xml:space="preserve"> Cooking a special dinner for loved ones.           </t>
  </si>
  <si>
    <t xml:space="preserve"> ChefAtHome   </t>
  </si>
  <si>
    <t xml:space="preserve"> #Cooking #SpecialDinner                </t>
  </si>
  <si>
    <t xml:space="preserve"> Feeling optimistic about the week ahead.           </t>
  </si>
  <si>
    <t xml:space="preserve"> OptimisticMindset</t>
  </si>
  <si>
    <t xml:space="preserve"> #Optimism #NewWeek                     </t>
  </si>
  <si>
    <t xml:space="preserve"> Starting a new fitness challenge tomorrow! üí™     </t>
  </si>
  <si>
    <t xml:space="preserve"> FitnessChallenge</t>
  </si>
  <si>
    <t xml:space="preserve"> #FitnessChallenge #NewBeginnings       </t>
  </si>
  <si>
    <t xml:space="preserve"> UK         </t>
  </si>
  <si>
    <t xml:space="preserve"> Sunday bike ride through scenic trails.           </t>
  </si>
  <si>
    <t xml:space="preserve"> BikeExplorer  </t>
  </si>
  <si>
    <t xml:space="preserve"> #BikeRide #ScenicTrails                </t>
  </si>
  <si>
    <t xml:space="preserve"> USA     </t>
  </si>
  <si>
    <t xml:space="preserve"> Can't believe the injustice happening in our society.</t>
  </si>
  <si>
    <t xml:space="preserve"> Anger        </t>
  </si>
  <si>
    <t xml:space="preserve"> SocialJustice   </t>
  </si>
  <si>
    <t xml:space="preserve"> #Injustice #Angry                            </t>
  </si>
  <si>
    <t xml:space="preserve"> Canada     </t>
  </si>
  <si>
    <t xml:space="preserve"> Feeling a sense of fear after watching a thriller movie. </t>
  </si>
  <si>
    <t xml:space="preserve"> Fear         </t>
  </si>
  <si>
    <t xml:space="preserve"> ThrillerFan     </t>
  </si>
  <si>
    <t xml:space="preserve"> #Fear #ThrillerMovie                         </t>
  </si>
  <si>
    <t xml:space="preserve"> USA          </t>
  </si>
  <si>
    <t xml:space="preserve"> Heartbroken after hearing the news about a natural disaster. </t>
  </si>
  <si>
    <t xml:space="preserve"> Sadness      </t>
  </si>
  <si>
    <t xml:space="preserve"> EmpathyFirst    </t>
  </si>
  <si>
    <t xml:space="preserve"> #Sadness #NaturalDisaster                    </t>
  </si>
  <si>
    <t xml:space="preserve"> India      </t>
  </si>
  <si>
    <t xml:space="preserve"> The state of the world's environment is just disgusting. </t>
  </si>
  <si>
    <t xml:space="preserve"> Disgust      </t>
  </si>
  <si>
    <t xml:space="preserve"> EcoAwareness    </t>
  </si>
  <si>
    <t xml:space="preserve"> #Disgust #Environment                        </t>
  </si>
  <si>
    <t xml:space="preserve"> Pure happiness: celebrating a loved one's achievement! </t>
  </si>
  <si>
    <t xml:space="preserve"> Happiness    </t>
  </si>
  <si>
    <t xml:space="preserve"> ProudFriend     </t>
  </si>
  <si>
    <t xml:space="preserve"> #Happiness #Celebration                   </t>
  </si>
  <si>
    <t xml:space="preserve"> Laughter is the best medicine‚Äîenjoying a comedy show. </t>
  </si>
  <si>
    <t xml:space="preserve"> Joy          </t>
  </si>
  <si>
    <t xml:space="preserve"> ComedyFan       </t>
  </si>
  <si>
    <t xml:space="preserve"> #Joy #ComedyShow                             </t>
  </si>
  <si>
    <t xml:space="preserve"> Sharing love and positive vibes with everyone! ‚ù§Ô∏è      </t>
  </si>
  <si>
    <t xml:space="preserve"> Love         </t>
  </si>
  <si>
    <t xml:space="preserve"> LoveSpreader    </t>
  </si>
  <si>
    <t xml:space="preserve"> #Love #SpreadLove                            </t>
  </si>
  <si>
    <t xml:space="preserve"> Australia  </t>
  </si>
  <si>
    <t xml:space="preserve"> An amusing incident brightened up my day!               </t>
  </si>
  <si>
    <t xml:space="preserve"> Amusement    </t>
  </si>
  <si>
    <t xml:space="preserve"> AmusedSoul      </t>
  </si>
  <si>
    <t xml:space="preserve"> #Amusement #FunTimes                         </t>
  </si>
  <si>
    <t xml:space="preserve"> UK           </t>
  </si>
  <si>
    <t xml:space="preserve"> Enjoying a quiet evening with a book and some tea.      </t>
  </si>
  <si>
    <t xml:space="preserve"> Enjoyment    </t>
  </si>
  <si>
    <t xml:space="preserve"> BookLoverAgain  </t>
  </si>
  <si>
    <t xml:space="preserve"> #Enjoyment #BookTime                         </t>
  </si>
  <si>
    <t xml:space="preserve"> Canada       </t>
  </si>
  <si>
    <t xml:space="preserve"> Admiring the beauty of nature during a peaceful hike.   </t>
  </si>
  <si>
    <t xml:space="preserve"> Admiration   </t>
  </si>
  <si>
    <t xml:space="preserve"> NatureAdmirer   </t>
  </si>
  <si>
    <t xml:space="preserve"> #Admiration #Nature                         </t>
  </si>
  <si>
    <t xml:space="preserve"> Sending affectionate vibes to all my followers!          </t>
  </si>
  <si>
    <t xml:space="preserve"> Affection    </t>
  </si>
  <si>
    <t xml:space="preserve"> AffectionSender </t>
  </si>
  <si>
    <t xml:space="preserve"> #Affection #PositiveVibes                   </t>
  </si>
  <si>
    <t xml:space="preserve"> Experiencing awe at the breathtaking sunset.            </t>
  </si>
  <si>
    <t xml:space="preserve"> Awe          </t>
  </si>
  <si>
    <t xml:space="preserve"> AweStruck       </t>
  </si>
  <si>
    <t xml:space="preserve"> #Awe #Breathtaking                          </t>
  </si>
  <si>
    <t xml:space="preserve"> Australia   </t>
  </si>
  <si>
    <t xml:space="preserve"> Disappointed with the service at a local restaurant.    </t>
  </si>
  <si>
    <t xml:space="preserve"> Disappointed </t>
  </si>
  <si>
    <t xml:space="preserve"> FoodieGoneWrong </t>
  </si>
  <si>
    <t xml:space="preserve"> #Disappointed #BadService                   </t>
  </si>
  <si>
    <t xml:space="preserve"> A surprise gift from a friend made my day!              </t>
  </si>
  <si>
    <t xml:space="preserve"> Surprise     </t>
  </si>
  <si>
    <t xml:space="preserve"> HappySurprise   </t>
  </si>
  <si>
    <t xml:space="preserve"> #Surprise #Gift                              </t>
  </si>
  <si>
    <t xml:space="preserve"> Finding acceptance in the midst of life's challenges.   </t>
  </si>
  <si>
    <t xml:space="preserve"> Acceptance   </t>
  </si>
  <si>
    <t xml:space="preserve"> AcceptanceSeeker</t>
  </si>
  <si>
    <t xml:space="preserve"> #Acceptance #Challenges                     </t>
  </si>
  <si>
    <t xml:space="preserve"> Overflowing with adoration for my adorable pet! üêæ      </t>
  </si>
  <si>
    <t xml:space="preserve"> Adoration    </t>
  </si>
  <si>
    <t xml:space="preserve"> PetAdorer       </t>
  </si>
  <si>
    <t xml:space="preserve"> #Adoration #PetLove                         </t>
  </si>
  <si>
    <t xml:space="preserve"> Anticipating a thrilling adventure in the coming weeks. </t>
  </si>
  <si>
    <t xml:space="preserve"> Anticipation </t>
  </si>
  <si>
    <t xml:space="preserve"> AdventureAwaits  </t>
  </si>
  <si>
    <t xml:space="preserve"> #Anticipation #Adventure                    </t>
  </si>
  <si>
    <t xml:space="preserve"> A bitter experience turned into a valuable lesson.      </t>
  </si>
  <si>
    <t xml:space="preserve"> Bitter       </t>
  </si>
  <si>
    <t xml:space="preserve"> LearnFromBitter </t>
  </si>
  <si>
    <t xml:space="preserve"> #BitterLesson #Growth                      </t>
  </si>
  <si>
    <t xml:space="preserve"> Finding calmness in the midst of a busy day.            </t>
  </si>
  <si>
    <t xml:space="preserve"> Calmness     </t>
  </si>
  <si>
    <t xml:space="preserve"> ZenMaster       </t>
  </si>
  <si>
    <t xml:space="preserve"> #Calmness #PeacefulMind                    </t>
  </si>
  <si>
    <t xml:space="preserve"> Confusion clouds my mind as I navigate through decisions.</t>
  </si>
  <si>
    <t xml:space="preserve"> Confusion    </t>
  </si>
  <si>
    <t xml:space="preserve"> ConfusedMind    </t>
  </si>
  <si>
    <t xml:space="preserve"> #Confusion #DecisionMaking                 </t>
  </si>
  <si>
    <t xml:space="preserve"> Excitement building up for the upcoming vacation!       </t>
  </si>
  <si>
    <t xml:space="preserve"> Excitement   </t>
  </si>
  <si>
    <t xml:space="preserve"> VacationDreamer </t>
  </si>
  <si>
    <t xml:space="preserve"> #Excitement #TravelPlans                   </t>
  </si>
  <si>
    <t xml:space="preserve"> Kindness witnessed today restored my faith in humanity. </t>
  </si>
  <si>
    <t xml:space="preserve"> Kind         </t>
  </si>
  <si>
    <t xml:space="preserve"> KindnessPrevails</t>
  </si>
  <si>
    <t xml:space="preserve"> #Kindness #Humanity                        </t>
  </si>
  <si>
    <t xml:space="preserve"> Pride in achieving a personal milestone.               </t>
  </si>
  <si>
    <t xml:space="preserve"> Pride        </t>
  </si>
  <si>
    <t xml:space="preserve"> PersonalAchiever</t>
  </si>
  <si>
    <t xml:space="preserve"> #Pride #Milestone                           </t>
  </si>
  <si>
    <t xml:space="preserve"> Australia    </t>
  </si>
  <si>
    <t xml:space="preserve"> A moment of shame for not standing up against injustice. </t>
  </si>
  <si>
    <t xml:space="preserve"> Shame        </t>
  </si>
  <si>
    <t xml:space="preserve"> ReflectiveSelf  </t>
  </si>
  <si>
    <t xml:space="preserve"> #Shame #Injustice                           </t>
  </si>
  <si>
    <t xml:space="preserve"> Fuming with anger after a heated argument.            </t>
  </si>
  <si>
    <t xml:space="preserve"> AngryDebater    </t>
  </si>
  <si>
    <t xml:space="preserve"> #Anger #Argument                             </t>
  </si>
  <si>
    <t xml:space="preserve"> The fear of the unknown is keeping me up at night.    </t>
  </si>
  <si>
    <t xml:space="preserve"> FearfulDreamer  </t>
  </si>
  <si>
    <t xml:space="preserve"> #Fear #Unknown                               </t>
  </si>
  <si>
    <t xml:space="preserve"> Heartfelt sadness after bidding farewell to a dear friend. </t>
  </si>
  <si>
    <t xml:space="preserve"> FarewellHeart   </t>
  </si>
  <si>
    <t xml:space="preserve"> #Sadness #Farewell                          </t>
  </si>
  <si>
    <t xml:space="preserve"> The state of corruption in our society is utterly disgusting. </t>
  </si>
  <si>
    <t xml:space="preserve"> AntiCorruption  </t>
  </si>
  <si>
    <t xml:space="preserve"> #Disgust #Corruption                         </t>
  </si>
  <si>
    <t xml:space="preserve"> Overflowing happiness: welcoming a new family member!  </t>
  </si>
  <si>
    <t xml:space="preserve"> NewParentJoy    </t>
  </si>
  <si>
    <t xml:space="preserve"> #Happiness #NewFamilyMember                 </t>
  </si>
  <si>
    <t xml:space="preserve"> Laughter is the key to joy‚Äîattending a stand-up comedy show. </t>
  </si>
  <si>
    <t xml:space="preserve"> StandUpFan      </t>
  </si>
  <si>
    <t xml:space="preserve"> #Joy #StandUpComedy                         </t>
  </si>
  <si>
    <t xml:space="preserve"> Sending love to all my followers on this beautiful day! ‚ù§Ô∏è </t>
  </si>
  <si>
    <t xml:space="preserve"> LoveSender      </t>
  </si>
  <si>
    <t xml:space="preserve"> Amused by the antics of my pet‚Äîit's pure amusement!      </t>
  </si>
  <si>
    <t xml:space="preserve"> PetAmuser       </t>
  </si>
  <si>
    <t xml:space="preserve"> #Amusement #PetAntics                       </t>
  </si>
  <si>
    <t xml:space="preserve"> Enjoying every moment of this trip‚Äîpure enjoyment!      </t>
  </si>
  <si>
    <t xml:space="preserve"> TravelExplorer  </t>
  </si>
  <si>
    <t xml:space="preserve"> #Enjoyment #Travel                           </t>
  </si>
  <si>
    <t xml:space="preserve"> Admiring the dedication of volunteers at a local charity. </t>
  </si>
  <si>
    <t xml:space="preserve"> CharityAdmirer  </t>
  </si>
  <si>
    <t xml:space="preserve"> #Admiration #Volunteers                     </t>
  </si>
  <si>
    <t xml:space="preserve"> Sending affectionate vibes to friends and family.        </t>
  </si>
  <si>
    <t xml:space="preserve"> FamilyLover     </t>
  </si>
  <si>
    <t xml:space="preserve"> #Affection #FamilyLove                      </t>
  </si>
  <si>
    <t xml:space="preserve"> Awe-struck by the beauty of the night sky.               </t>
  </si>
  <si>
    <t xml:space="preserve"> Stargazer       </t>
  </si>
  <si>
    <t xml:space="preserve"> #Awe #StarryNight                        </t>
  </si>
  <si>
    <t xml:space="preserve"> Disappointed with the lack of progress in a personal project. </t>
  </si>
  <si>
    <t xml:space="preserve"> ProjectStruggle </t>
  </si>
  <si>
    <t xml:space="preserve"> #Disappointed #Project                     </t>
  </si>
  <si>
    <t xml:space="preserve"> A surprise visit from an old friend brought tears of joy. </t>
  </si>
  <si>
    <t xml:space="preserve"> JoyfulReunion   </t>
  </si>
  <si>
    <t xml:space="preserve"> #Surprise #OldFriends                       </t>
  </si>
  <si>
    <t xml:space="preserve"> Embracing acceptance of life's ups and downs.           </t>
  </si>
  <si>
    <t xml:space="preserve"> LifeAcceptance  </t>
  </si>
  <si>
    <t xml:space="preserve"> #Acceptance #LifeJourney                   </t>
  </si>
  <si>
    <t xml:space="preserve"> Overflowing adoration for a cute rescue puppy! üê∂       </t>
  </si>
  <si>
    <t xml:space="preserve"> PuppyAdmirer    </t>
  </si>
  <si>
    <t xml:space="preserve"> #Adoration #PuppyLove                       </t>
  </si>
  <si>
    <t xml:space="preserve"> Anticipating the release of a much-awaited movie.       </t>
  </si>
  <si>
    <t xml:space="preserve"> MovieBuff2      </t>
  </si>
  <si>
    <t xml:space="preserve"> #Anticipation #MovieRelease                 </t>
  </si>
  <si>
    <t xml:space="preserve"> Bitter experience at the customer service department.   </t>
  </si>
  <si>
    <t xml:space="preserve"> CustomerWoes    </t>
  </si>
  <si>
    <t xml:space="preserve"> #BitterExperience #CustomerService         </t>
  </si>
  <si>
    <t xml:space="preserve"> Finding calmness amidst the chaos of daily life.        </t>
  </si>
  <si>
    <t xml:space="preserve"> CalmSoul        </t>
  </si>
  <si>
    <t xml:space="preserve"> #Calmness #InnerPeace                      </t>
  </si>
  <si>
    <t xml:space="preserve"> Confusion reigns as I try to make sense of recent events.</t>
  </si>
  <si>
    <t xml:space="preserve"> ConfusedMind2   </t>
  </si>
  <si>
    <t xml:space="preserve"> #Confusion #MakingSense                    </t>
  </si>
  <si>
    <t xml:space="preserve"> Excitement building up for a surprise birthday party.   </t>
  </si>
  <si>
    <t xml:space="preserve"> BirthdayExcite  </t>
  </si>
  <si>
    <t xml:space="preserve"> #Excitement #SurpriseParty                 </t>
  </si>
  <si>
    <t xml:space="preserve"> Witnessed an act of kindness that made my day.          </t>
  </si>
  <si>
    <t xml:space="preserve"> KindnessObserver</t>
  </si>
  <si>
    <t xml:space="preserve"> #Kindness #ActsOfKindness                  </t>
  </si>
  <si>
    <t xml:space="preserve"> Pride in completing a challenging fitness challenge.    </t>
  </si>
  <si>
    <t xml:space="preserve"> FitAchiever     </t>
  </si>
  <si>
    <t xml:space="preserve"> #Pride #FitnessChallengeCompleted          </t>
  </si>
  <si>
    <t xml:space="preserve"> UK            </t>
  </si>
  <si>
    <t xml:space="preserve"> A moment of shame for not speaking up against injustice.</t>
  </si>
  <si>
    <t xml:space="preserve"> ReflectiveSelf2 </t>
  </si>
  <si>
    <t xml:space="preserve"> Reflecting on the beauty of diversity in our world.     </t>
  </si>
  <si>
    <t xml:space="preserve"> DiversityLover  </t>
  </si>
  <si>
    <t xml:space="preserve"> #Acceptance #Diversity                      </t>
  </si>
  <si>
    <t xml:space="preserve"> Excitement for a quiet evening with a good book.        </t>
  </si>
  <si>
    <t xml:space="preserve"> BookwormJoy     </t>
  </si>
  <si>
    <t xml:space="preserve"> #Excitement #BookTime                       </t>
  </si>
  <si>
    <t xml:space="preserve"> Feeling bitter about the unfairness in the workplace.   </t>
  </si>
  <si>
    <t xml:space="preserve"> WorkplaceWoes   </t>
  </si>
  <si>
    <t xml:space="preserve"> #Bitter #Unfairness                         </t>
  </si>
  <si>
    <t xml:space="preserve"> Calmness prevails as I practice mindfulness.            </t>
  </si>
  <si>
    <t xml:space="preserve"> MindfulMe       </t>
  </si>
  <si>
    <t xml:space="preserve"> #Calmness #Mindfulness                      </t>
  </si>
  <si>
    <t xml:space="preserve"> Confusion surrounds me as I navigate through life's choices. </t>
  </si>
  <si>
    <t xml:space="preserve"> Confusion </t>
  </si>
  <si>
    <t xml:space="preserve"> ConfusedMind3   </t>
  </si>
  <si>
    <t xml:space="preserve"> #Confusion #LifeChoices                     </t>
  </si>
  <si>
    <t xml:space="preserve"> USA   </t>
  </si>
  <si>
    <t xml:space="preserve"> Excitement for a weekend road trip to explore new places. </t>
  </si>
  <si>
    <t xml:space="preserve"> Excitement </t>
  </si>
  <si>
    <t xml:space="preserve"> RoadTripper2    </t>
  </si>
  <si>
    <t xml:space="preserve"> #Excitement #WeekendAdventure               </t>
  </si>
  <si>
    <t xml:space="preserve"> Kindness witnessed today restores my faith in humanity.  </t>
  </si>
  <si>
    <t xml:space="preserve"> KindnessPrevails2</t>
  </si>
  <si>
    <t xml:space="preserve"> #Kindness #HumanityRestored                 </t>
  </si>
  <si>
    <t xml:space="preserve"> Pride in accomplishing personal and professional goals.  </t>
  </si>
  <si>
    <t xml:space="preserve"> GoalAchiever    </t>
  </si>
  <si>
    <t xml:space="preserve"> #Pride #Accomplishments                     </t>
  </si>
  <si>
    <t xml:space="preserve"> Shame for not being true to my values in a difficult situation.</t>
  </si>
  <si>
    <t xml:space="preserve"> Shame </t>
  </si>
  <si>
    <t xml:space="preserve"> ReflectiveSelf3 </t>
  </si>
  <si>
    <t xml:space="preserve"> #Shame #Integrity                           </t>
  </si>
  <si>
    <t xml:space="preserve"> Revisiting old memories, feeling a sense of elation. </t>
  </si>
  <si>
    <t xml:space="preserve"> Elation       </t>
  </si>
  <si>
    <t xml:space="preserve"> NostalgiaFan    </t>
  </si>
  <si>
    <t xml:space="preserve"> #Elation #Memories                             </t>
  </si>
  <si>
    <t xml:space="preserve"> The victory of our team brought euphoria to the city. </t>
  </si>
  <si>
    <t xml:space="preserve"> Euphoria      </t>
  </si>
  <si>
    <t xml:space="preserve"> SportsFanatic   </t>
  </si>
  <si>
    <t xml:space="preserve"> #Euphoria #Victory                             </t>
  </si>
  <si>
    <t xml:space="preserve"> Embracing the beauty of nature, a moment of contentment. </t>
  </si>
  <si>
    <t xml:space="preserve"> Contentment   </t>
  </si>
  <si>
    <t xml:space="preserve"> NatureLover2    </t>
  </si>
  <si>
    <t xml:space="preserve"> #Contentment #Nature                           </t>
  </si>
  <si>
    <t xml:space="preserve"> India       </t>
  </si>
  <si>
    <t xml:space="preserve"> Meditating by the serene lake, finding inner peace.   </t>
  </si>
  <si>
    <t xml:space="preserve"> Serenity      </t>
  </si>
  <si>
    <t xml:space="preserve"> ZenMaster2      </t>
  </si>
  <si>
    <t xml:space="preserve"> #Serenity #Meditation                          </t>
  </si>
  <si>
    <t xml:space="preserve"> UK          </t>
  </si>
  <si>
    <t xml:space="preserve"> Overflowing with gratitude for life's blessings.      </t>
  </si>
  <si>
    <t xml:space="preserve"> Gratitude     </t>
  </si>
  <si>
    <t xml:space="preserve"> ThankfulHeart   </t>
  </si>
  <si>
    <t xml:space="preserve"> #Gratitude #Blessed                            </t>
  </si>
  <si>
    <t xml:space="preserve"> Hopeful for a brighter tomorrow, despite challenges.  </t>
  </si>
  <si>
    <t xml:space="preserve"> Hope          </t>
  </si>
  <si>
    <t xml:space="preserve"> OptimisticSoul  </t>
  </si>
  <si>
    <t xml:space="preserve"> #Hope #Optimism                                </t>
  </si>
  <si>
    <t xml:space="preserve"> Empowered to make a difference in my community.        </t>
  </si>
  <si>
    <t xml:space="preserve"> Empowerment   </t>
  </si>
  <si>
    <t xml:space="preserve"> CommunityLeader </t>
  </si>
  <si>
    <t xml:space="preserve"> #Empowerment #Community                        </t>
  </si>
  <si>
    <t xml:space="preserve"> Compassion in action: supporting a local charity event. </t>
  </si>
  <si>
    <t xml:space="preserve"> Compassion    </t>
  </si>
  <si>
    <t xml:space="preserve"> CharitySupporter</t>
  </si>
  <si>
    <t xml:space="preserve"> #Compassion #CharityEvent                   </t>
  </si>
  <si>
    <t xml:space="preserve"> A moment of tenderness, connecting with loved ones.    </t>
  </si>
  <si>
    <t xml:space="preserve"> Tenderness    </t>
  </si>
  <si>
    <t xml:space="preserve"> LovingHeart     </t>
  </si>
  <si>
    <t xml:space="preserve"> #Tenderness #FamilyTime                       </t>
  </si>
  <si>
    <t xml:space="preserve"> Arousal of excitement as I await a special announcement.</t>
  </si>
  <si>
    <t xml:space="preserve"> Arousal       </t>
  </si>
  <si>
    <t xml:space="preserve"> ExcitementFan   </t>
  </si>
  <si>
    <t xml:space="preserve"> #Arousal #Excitement                           </t>
  </si>
  <si>
    <t xml:space="preserve"> Enthusiastically diving into a new project.            </t>
  </si>
  <si>
    <t xml:space="preserve"> Enthusiasm    </t>
  </si>
  <si>
    <t xml:space="preserve"> ProjectEnthusiast</t>
  </si>
  <si>
    <t xml:space="preserve"> #Enthusiasm #NewProject                       </t>
  </si>
  <si>
    <t xml:space="preserve"> USA  </t>
  </si>
  <si>
    <t xml:space="preserve"> Feeling a sense of fulfillment after reaching a milestone.</t>
  </si>
  <si>
    <t xml:space="preserve"> Fulfillment  </t>
  </si>
  <si>
    <t xml:space="preserve"> MilestoneAchiever</t>
  </si>
  <si>
    <t xml:space="preserve"> #Fulfillment #Milestone                       </t>
  </si>
  <si>
    <t xml:space="preserve"> Reverence for the beauty of a historic landmark.       </t>
  </si>
  <si>
    <t xml:space="preserve"> Reverence     </t>
  </si>
  <si>
    <t xml:space="preserve"> HistoryLover    </t>
  </si>
  <si>
    <t xml:space="preserve"> #Reverence #History                           </t>
  </si>
  <si>
    <t xml:space="preserve"> UK      </t>
  </si>
  <si>
    <t xml:space="preserve"> Elation after a surprise reunion with old friends.    </t>
  </si>
  <si>
    <t xml:space="preserve"> JoyfulReunion2  </t>
  </si>
  <si>
    <t xml:space="preserve"> #Elation #OldFriends                          </t>
  </si>
  <si>
    <t xml:space="preserve"> Canada      </t>
  </si>
  <si>
    <t xml:space="preserve"> The euphoria of a live music concert under the stars.  </t>
  </si>
  <si>
    <t xml:space="preserve"> MusicEnthusiast </t>
  </si>
  <si>
    <t xml:space="preserve"> #Euphoria #LiveMusic                          </t>
  </si>
  <si>
    <t xml:space="preserve"> Contentment in the simplicity of a quiet Sunday.       </t>
  </si>
  <si>
    <t xml:space="preserve"> SimpleJoys      </t>
  </si>
  <si>
    <t xml:space="preserve"> #Contentment #SundayMood                      </t>
  </si>
  <si>
    <t xml:space="preserve"> Serenity found in the pages of a favorite book.        </t>
  </si>
  <si>
    <t xml:space="preserve"> BookLover3      </t>
  </si>
  <si>
    <t xml:space="preserve"> #Serenity #BookTime                           </t>
  </si>
  <si>
    <t xml:space="preserve"> Gratitude for the support received during tough times. </t>
  </si>
  <si>
    <t xml:space="preserve"> SupportiveFriend</t>
  </si>
  <si>
    <t xml:space="preserve"> #Gratitude #Supportive                        </t>
  </si>
  <si>
    <t xml:space="preserve"> Hopeful about the possibilities of a new journey.      </t>
  </si>
  <si>
    <t xml:space="preserve"> JourneyOptimist </t>
  </si>
  <si>
    <t xml:space="preserve"> #Hope #NewBeginnings                          </t>
  </si>
  <si>
    <t xml:space="preserve"> Empowerment through learning and personal growth.      </t>
  </si>
  <si>
    <t xml:space="preserve"> GrowthSeeker    </t>
  </si>
  <si>
    <t xml:space="preserve"> #Empowerment #PersonalGrowth                  </t>
  </si>
  <si>
    <t xml:space="preserve"> Compassion towards those in need during the holidays.  </t>
  </si>
  <si>
    <t xml:space="preserve"> HolidayHelper   </t>
  </si>
  <si>
    <t xml:space="preserve"> #Compassion #HolidaySupport                   </t>
  </si>
  <si>
    <t xml:space="preserve"> Tenderness in the warmth of a cozy winter evening.     </t>
  </si>
  <si>
    <t xml:space="preserve"> WinterWarmth    </t>
  </si>
  <si>
    <t xml:space="preserve"> #Tenderness #CozyEvening                     </t>
  </si>
  <si>
    <t xml:space="preserve"> Arousal of excitement for an upcoming adventure.       </t>
  </si>
  <si>
    <t xml:space="preserve"> AdventureAwaits </t>
  </si>
  <si>
    <t xml:space="preserve"> #Arousal #AdventureTime                       </t>
  </si>
  <si>
    <t xml:space="preserve"> Enthusiasm for a creative project in the making.       </t>
  </si>
  <si>
    <t xml:space="preserve"> CreativeSpirit  </t>
  </si>
  <si>
    <t xml:space="preserve"> #Enthusiasm #Creativity                       </t>
  </si>
  <si>
    <t xml:space="preserve"> Fulfillment in completing a challenging workout routine.</t>
  </si>
  <si>
    <t xml:space="preserve"> FitnessAchiever </t>
  </si>
  <si>
    <t xml:space="preserve"> #Fulfillment #FitnessGoals                   </t>
  </si>
  <si>
    <t xml:space="preserve"> Reverence for the artistry displayed in a museum.      </t>
  </si>
  <si>
    <t xml:space="preserve"> ArtAppreciator  </t>
  </si>
  <si>
    <t xml:space="preserve"> #Reverence #ArtAppreciation                  </t>
  </si>
  <si>
    <t xml:space="preserve"> Elation after achieving a personal goal.               </t>
  </si>
  <si>
    <t xml:space="preserve"> GoalAchiever2   </t>
  </si>
  <si>
    <t xml:space="preserve"> #Elation #PersonalAchievement                </t>
  </si>
  <si>
    <t xml:space="preserve"> Elation over discovering a hidden gem in the city.   </t>
  </si>
  <si>
    <t xml:space="preserve"> UrbanExplorer2  </t>
  </si>
  <si>
    <t xml:space="preserve"> #Elation #HiddenGem                            </t>
  </si>
  <si>
    <t xml:space="preserve"> The euphoria of a surprise birthday celebration.     </t>
  </si>
  <si>
    <t xml:space="preserve"> BirthdayJoy     </t>
  </si>
  <si>
    <t xml:space="preserve"> #Euphoria #BirthdaySurprise                   </t>
  </si>
  <si>
    <t xml:space="preserve"> Contentment in the simplicity of a home-cooked meal. </t>
  </si>
  <si>
    <t xml:space="preserve"> HomeChef        </t>
  </si>
  <si>
    <t xml:space="preserve"> #Contentment #HomeCooking                     </t>
  </si>
  <si>
    <t xml:space="preserve"> Serenity found in the melody of a peaceful piano.    </t>
  </si>
  <si>
    <t xml:space="preserve"> MusicLover4     </t>
  </si>
  <si>
    <t xml:space="preserve"> #Serenity #PeacefulMelody                    </t>
  </si>
  <si>
    <t xml:space="preserve"> Gratitude for the supportive community around me.    </t>
  </si>
  <si>
    <t xml:space="preserve"> CommunityLove   </t>
  </si>
  <si>
    <t xml:space="preserve"> #Gratitude #CommunitySupport                   </t>
  </si>
  <si>
    <t xml:space="preserve"> Hopeful about the prospects of a new business venture.</t>
  </si>
  <si>
    <t xml:space="preserve"> EntrepreneurHope</t>
  </si>
  <si>
    <t xml:space="preserve"> #Hope #BusinessVenture                        </t>
  </si>
  <si>
    <t xml:space="preserve"> Empowerment through mentoring and guiding others.    </t>
  </si>
  <si>
    <t xml:space="preserve"> MentorEmpower   </t>
  </si>
  <si>
    <t xml:space="preserve"> #Empowerment #Mentorship                      </t>
  </si>
  <si>
    <t xml:space="preserve"> Compassion shown through acts of kindness in the community.</t>
  </si>
  <si>
    <t xml:space="preserve"> Compassion</t>
  </si>
  <si>
    <t xml:space="preserve"> KindnessInAction</t>
  </si>
  <si>
    <t xml:space="preserve"> #Compassion #CommunityKindness               </t>
  </si>
  <si>
    <t xml:space="preserve"> Tenderness in a heartfelt message to a loved one.    </t>
  </si>
  <si>
    <t xml:space="preserve"> LoveExpress     </t>
  </si>
  <si>
    <t xml:space="preserve"> #Tenderness #LoveNote                         </t>
  </si>
  <si>
    <t xml:space="preserve"> Arousal of excitement before a much-awaited trip.    </t>
  </si>
  <si>
    <t xml:space="preserve"> TravelExcitement</t>
  </si>
  <si>
    <t xml:space="preserve"> #Arousal #TravelAdventure                     </t>
  </si>
  <si>
    <t xml:space="preserve"> Enthusiasm for a new artistic project in the works.  </t>
  </si>
  <si>
    <t xml:space="preserve"> ArtisticSpirit  </t>
  </si>
  <si>
    <t xml:space="preserve"> #Enthusiasm #ArtisticProject                 </t>
  </si>
  <si>
    <t xml:space="preserve"> Feeling a sense of fulfillment after helping others. </t>
  </si>
  <si>
    <t xml:space="preserve"> Fulfillment   </t>
  </si>
  <si>
    <t xml:space="preserve"> HelperHeart     </t>
  </si>
  <si>
    <t xml:space="preserve"> #Fulfillment #HelpingOthers                  </t>
  </si>
  <si>
    <t xml:space="preserve"> Reverence for the historical significance of a landmark.</t>
  </si>
  <si>
    <t xml:space="preserve"> Reverence </t>
  </si>
  <si>
    <t xml:space="preserve"> HistoryBuff     </t>
  </si>
  <si>
    <t xml:space="preserve"> #Reverence #HistoricalSite                   </t>
  </si>
  <si>
    <t xml:space="preserve"> Elation after achieving a fitness milestone.         </t>
  </si>
  <si>
    <t xml:space="preserve"> FitnessAchiever2</t>
  </si>
  <si>
    <t xml:space="preserve"> #Elation #FitnessMilestone                   </t>
  </si>
  <si>
    <t xml:space="preserve"> The euphoria of a successful product launch.         </t>
  </si>
  <si>
    <t xml:space="preserve"> ProductLaunchJoy</t>
  </si>
  <si>
    <t xml:space="preserve"> #Euphoria #ProductLaunchSuccess              </t>
  </si>
  <si>
    <t xml:space="preserve"> Contentment in the embrace of a loved one.           </t>
  </si>
  <si>
    <t xml:space="preserve"> LovingEmbrace   </t>
  </si>
  <si>
    <t xml:space="preserve"> #Contentment #Love                             </t>
  </si>
  <si>
    <t xml:space="preserve"> Serenity found in the beauty of a sunset by the sea.  </t>
  </si>
  <si>
    <t xml:space="preserve"> SunsetWatcher2  </t>
  </si>
  <si>
    <t xml:space="preserve"> #Serenity #SunsetViews                       </t>
  </si>
  <si>
    <t xml:space="preserve"> Gratitude for the small joys that each day brings.   </t>
  </si>
  <si>
    <t xml:space="preserve"> JoyfulHeart2    </t>
  </si>
  <si>
    <t xml:space="preserve"> #Gratitude #SmallJoys                        </t>
  </si>
  <si>
    <t xml:space="preserve"> Hopeful about the potential for personal growth.      </t>
  </si>
  <si>
    <t xml:space="preserve"> GrowthOptimist  </t>
  </si>
  <si>
    <t xml:space="preserve"> #Hope #PersonalDevelopment                    </t>
  </si>
  <si>
    <t xml:space="preserve"> Empowerment through learning a new skill.            </t>
  </si>
  <si>
    <t xml:space="preserve"> SkillEmpower    </t>
  </si>
  <si>
    <t xml:space="preserve"> #Empowerment #SkillBuilding                   </t>
  </si>
  <si>
    <t xml:space="preserve"> India   </t>
  </si>
  <si>
    <t xml:space="preserve"> Compassion in volunteering for a local charity.       </t>
  </si>
  <si>
    <t xml:space="preserve"> CharityVolunteer</t>
  </si>
  <si>
    <t xml:space="preserve"> #Compassion #VolunteerWork                   </t>
  </si>
  <si>
    <t xml:space="preserve"> Tenderness in a quiet moment shared with a pet.      </t>
  </si>
  <si>
    <t xml:space="preserve"> PetLove         </t>
  </si>
  <si>
    <t xml:space="preserve"> #Tenderness #PetLove                          </t>
  </si>
  <si>
    <t xml:space="preserve"> Arousal of excitement for an upcoming festival.       </t>
  </si>
  <si>
    <t xml:space="preserve"> FestivalFan     </t>
  </si>
  <si>
    <t xml:space="preserve"> #Arousal #FestivalExcitement               </t>
  </si>
  <si>
    <t xml:space="preserve"> Enthusiasm for a DIY home improvement project.       </t>
  </si>
  <si>
    <t xml:space="preserve"> DIYEnthusiast   </t>
  </si>
  <si>
    <t xml:space="preserve"> #Enthusiasm #HomeImprovement                 </t>
  </si>
  <si>
    <t xml:space="preserve"> Fulfillment in completing a challenging puzzle.      </t>
  </si>
  <si>
    <t xml:space="preserve"> PuzzleMaster    </t>
  </si>
  <si>
    <t xml:space="preserve"> #Fulfillment #PuzzleChallenge                </t>
  </si>
  <si>
    <t xml:space="preserve"> Reverence for the wonders of nature on a hiking trail.</t>
  </si>
  <si>
    <t xml:space="preserve"> #Reverence #NatureExploration                </t>
  </si>
  <si>
    <t xml:space="preserve"> Elation after a surprise reunion with a childhood friend.</t>
  </si>
  <si>
    <t xml:space="preserve"> Elation   </t>
  </si>
  <si>
    <t xml:space="preserve"> ChildhoodJoy    </t>
  </si>
  <si>
    <t xml:space="preserve"> #Elation #FriendshipReunion                  </t>
  </si>
  <si>
    <t xml:space="preserve"> Suffering from despair after another setback.      </t>
  </si>
  <si>
    <t xml:space="preserve"> Despair         </t>
  </si>
  <si>
    <t xml:space="preserve"> StrugglingSoul    </t>
  </si>
  <si>
    <t xml:space="preserve"> #Despair #Struggle                              </t>
  </si>
  <si>
    <t xml:space="preserve"> Overwhelmed by grief, missing a loved one dearly.  </t>
  </si>
  <si>
    <t xml:space="preserve"> Grief           </t>
  </si>
  <si>
    <t xml:space="preserve"> MourningHeart     </t>
  </si>
  <si>
    <t xml:space="preserve"> #Grief #Loss                                   </t>
  </si>
  <si>
    <t xml:space="preserve"> Canada          </t>
  </si>
  <si>
    <t xml:space="preserve"> Loneliness creeps in as the night grows colder.    </t>
  </si>
  <si>
    <t xml:space="preserve"> Loneliness      </t>
  </si>
  <si>
    <t xml:space="preserve"> SolitarySoul      </t>
  </si>
  <si>
    <t xml:space="preserve"> #Loneliness #Isolation                         </t>
  </si>
  <si>
    <t xml:space="preserve"> Jealousy consumes me as I witness others' success. </t>
  </si>
  <si>
    <t xml:space="preserve"> Jealousy        </t>
  </si>
  <si>
    <t xml:space="preserve"> EnviousObserver   </t>
  </si>
  <si>
    <t xml:space="preserve"> #Jealousy #Envy                               </t>
  </si>
  <si>
    <t xml:space="preserve"> India        </t>
  </si>
  <si>
    <t xml:space="preserve"> Resentment building up over past betrayals.        </t>
  </si>
  <si>
    <t xml:space="preserve"> Resentment      </t>
  </si>
  <si>
    <t xml:space="preserve"> BitterHeart       </t>
  </si>
  <si>
    <t xml:space="preserve"> #Resentment #Bitterness                       </t>
  </si>
  <si>
    <t xml:space="preserve"> Australia     </t>
  </si>
  <si>
    <t xml:space="preserve"> Frustration mounts as obstacles block my path.     </t>
  </si>
  <si>
    <t xml:space="preserve"> Frustration     </t>
  </si>
  <si>
    <t xml:space="preserve"> BlockedGoals      </t>
  </si>
  <si>
    <t xml:space="preserve"> #Frustration #Obstacles                       </t>
  </si>
  <si>
    <t xml:space="preserve"> Boredom sets in, the day feels endlessly dull.     </t>
  </si>
  <si>
    <t xml:space="preserve"> Boredom         </t>
  </si>
  <si>
    <t xml:space="preserve"> BoredMind         </t>
  </si>
  <si>
    <t xml:space="preserve"> #Boredom #LackOfInterest                     </t>
  </si>
  <si>
    <t xml:space="preserve"> Canada        </t>
  </si>
  <si>
    <t xml:space="preserve"> Anxiety grips my heart, worry clouds my thoughts.  </t>
  </si>
  <si>
    <t xml:space="preserve"> Anxiety         </t>
  </si>
  <si>
    <t xml:space="preserve"> WorriedMind       </t>
  </si>
  <si>
    <t xml:space="preserve"> #Anxiety #Worry                               </t>
  </si>
  <si>
    <t xml:space="preserve"> Intimidation by the unknown future ahead.          </t>
  </si>
  <si>
    <t xml:space="preserve"> Intimidation    </t>
  </si>
  <si>
    <t xml:space="preserve"> FearfulSoul       </t>
  </si>
  <si>
    <t xml:space="preserve"> #Intimidation #Fear                           </t>
  </si>
  <si>
    <t xml:space="preserve"> Helplessness sinks in as challenges pile up.       </t>
  </si>
  <si>
    <t xml:space="preserve"> Helplessness    </t>
  </si>
  <si>
    <t xml:space="preserve"> OverwhelmedHeart  </t>
  </si>
  <si>
    <t xml:space="preserve"> #Helplessness #Overwhelmed                    </t>
  </si>
  <si>
    <t xml:space="preserve"> Envy eats away at me as I see others' prosperity.  </t>
  </si>
  <si>
    <t xml:space="preserve"> Envy            </t>
  </si>
  <si>
    <t xml:space="preserve"> CovetousMind     </t>
  </si>
  <si>
    <t xml:space="preserve"> #Envy #Desire                                </t>
  </si>
  <si>
    <t xml:space="preserve"> Regret over missed opportunities haunts my thoughts.</t>
  </si>
  <si>
    <t xml:space="preserve"> Regret         </t>
  </si>
  <si>
    <t xml:space="preserve"> RemorsefulSoul   </t>
  </si>
  <si>
    <t xml:space="preserve"> #Regret #MissedChances                       </t>
  </si>
  <si>
    <t xml:space="preserve"> Disgust at the sight of injustice and cruelty.     </t>
  </si>
  <si>
    <t xml:space="preserve"> Disgust         </t>
  </si>
  <si>
    <t xml:space="preserve"> DisgustedHeart   </t>
  </si>
  <si>
    <t xml:space="preserve"> #Disgust #Injustice                          </t>
  </si>
  <si>
    <t xml:space="preserve"> Drowning in despair, hope slipping through my fingers.</t>
  </si>
  <si>
    <t xml:space="preserve"> Despair      </t>
  </si>
  <si>
    <t xml:space="preserve"> HopelessHeart    </t>
  </si>
  <si>
    <t xml:space="preserve"> #Despair #Hopeless                           </t>
  </si>
  <si>
    <t xml:space="preserve"> Grief weighs heavy, tears a constant companion.    </t>
  </si>
  <si>
    <t xml:space="preserve"> TearfulSoul      </t>
  </si>
  <si>
    <t xml:space="preserve"> #Grief #Tears                                </t>
  </si>
  <si>
    <t xml:space="preserve"> Loneliness in a crowded room, a silent cry for connection.</t>
  </si>
  <si>
    <t xml:space="preserve"> Loneliness </t>
  </si>
  <si>
    <t xml:space="preserve"> IsolatedMind     </t>
  </si>
  <si>
    <t xml:space="preserve"> #Loneliness #SeekingConnection              </t>
  </si>
  <si>
    <t xml:space="preserve"> Jealousy gnaws at my confidence, a toxic emotion.  </t>
  </si>
  <si>
    <t xml:space="preserve"> SelfDoubt        </t>
  </si>
  <si>
    <t xml:space="preserve"> #Jealousy #Insecurity                       </t>
  </si>
  <si>
    <t xml:space="preserve"> India         </t>
  </si>
  <si>
    <t xml:space="preserve"> Resentment festers, poisoning relationships.       </t>
  </si>
  <si>
    <t xml:space="preserve"> BrokenTrust      </t>
  </si>
  <si>
    <t xml:space="preserve"> #Resentment #BrokenTrust                     </t>
  </si>
  <si>
    <t xml:space="preserve"> Frustration boils over, a volcanic eruption of emotions.</t>
  </si>
  <si>
    <t xml:space="preserve"> Frustration </t>
  </si>
  <si>
    <t xml:space="preserve"> ExplosiveMind    </t>
  </si>
  <si>
    <t xml:space="preserve"> #Frustration #EmotionalOutburst             </t>
  </si>
  <si>
    <t xml:space="preserve"> Boredom settles like dust, life feels mundane.     </t>
  </si>
  <si>
    <t xml:space="preserve"> MundaneHeart     </t>
  </si>
  <si>
    <t xml:space="preserve"> #Boredom #Monotony                          </t>
  </si>
  <si>
    <t xml:space="preserve"> Anxiety grips my chest, a relentless grip on my thoughts.</t>
  </si>
  <si>
    <t xml:space="preserve"> Anxiety   </t>
  </si>
  <si>
    <t xml:space="preserve"> RestlessMind     </t>
  </si>
  <si>
    <t xml:space="preserve"> #Anxiety #Restlessness                      </t>
  </si>
  <si>
    <t xml:space="preserve"> Intimidation by the challenges ahead, fear takes hold.</t>
  </si>
  <si>
    <t xml:space="preserve"> Intimidation </t>
  </si>
  <si>
    <t xml:space="preserve"> FearfulJourney   </t>
  </si>
  <si>
    <t xml:space="preserve"> #Intimidation #FacingFear                   </t>
  </si>
  <si>
    <t xml:space="preserve"> Helplessness engulfs me, drowning in a sea of problems.</t>
  </si>
  <si>
    <t xml:space="preserve"> Helplessness </t>
  </si>
  <si>
    <t xml:space="preserve"> OverwhelmedSoul  </t>
  </si>
  <si>
    <t xml:space="preserve"> #Helplessness #Struggling                   </t>
  </si>
  <si>
    <t xml:space="preserve"> Envy poisons my thoughts, coveting others' success.</t>
  </si>
  <si>
    <t xml:space="preserve"> GreenEyedMonster </t>
  </si>
  <si>
    <t xml:space="preserve"> #Envy #Success                              </t>
  </si>
  <si>
    <t xml:space="preserve"> Regret for decisions that led to a painful present.</t>
  </si>
  <si>
    <t xml:space="preserve"> RegretfulMind    </t>
  </si>
  <si>
    <t xml:space="preserve"> #Regret #PastChoices                        </t>
  </si>
  <si>
    <t xml:space="preserve"> Disgust at the corruption that stains society.     </t>
  </si>
  <si>
    <t xml:space="preserve"> CorruptedHeart   </t>
  </si>
  <si>
    <t xml:space="preserve"> #Disgust #Corruption                        </t>
  </si>
  <si>
    <t xml:space="preserve"> Sinking in despair, each day darker than the last. </t>
  </si>
  <si>
    <t xml:space="preserve"> DrowningSoul     </t>
  </si>
  <si>
    <t xml:space="preserve"> #Despair #DarkDays                          </t>
  </si>
  <si>
    <t xml:space="preserve"> Grief overwhelms, a storm of emotions within.      </t>
  </si>
  <si>
    <t xml:space="preserve"> StormyHeart      </t>
  </si>
  <si>
    <t xml:space="preserve"> #Grief #EmotionalStorm                      </t>
  </si>
  <si>
    <t xml:space="preserve"> Loneliness echoes in empty spaces, yearning for connection.</t>
  </si>
  <si>
    <t xml:space="preserve"> EchoingSoul     </t>
  </si>
  <si>
    <t xml:space="preserve"> #Loneliness #YearningForConnection         </t>
  </si>
  <si>
    <t xml:space="preserve"> Jealousy poisons my thoughts, resentment brewing within.</t>
  </si>
  <si>
    <t xml:space="preserve"> Jealousy    </t>
  </si>
  <si>
    <t xml:space="preserve"> PoisonedMind    </t>
  </si>
  <si>
    <t xml:space="preserve"> #Jealousy #Resentment                       </t>
  </si>
  <si>
    <t xml:space="preserve"> USA           </t>
  </si>
  <si>
    <t xml:space="preserve"> Resentment festers, a wound that refuses to heal.  </t>
  </si>
  <si>
    <t xml:space="preserve"> UnforgivingSoul  </t>
  </si>
  <si>
    <t xml:space="preserve"> #Resentment #Unforgiving                    </t>
  </si>
  <si>
    <t xml:space="preserve"> Frustration escalates, a thunderstorm of emotions. </t>
  </si>
  <si>
    <t xml:space="preserve"> ThunderingMind   </t>
  </si>
  <si>
    <t xml:space="preserve"> #Frustration #EmotionalOutburst            </t>
  </si>
  <si>
    <t xml:space="preserve"> Boredom lingers, a stagnant pool of indifference.  </t>
  </si>
  <si>
    <t xml:space="preserve"> StagnantHeart    </t>
  </si>
  <si>
    <t xml:space="preserve"> #Boredom #Stagnation                        </t>
  </si>
  <si>
    <t xml:space="preserve"> Embarking on a journey of discovery, fueled by curiosity and a thirst for knowledge. </t>
  </si>
  <si>
    <t xml:space="preserve"> Curiosity       </t>
  </si>
  <si>
    <t xml:space="preserve"> InquisitiveMind   </t>
  </si>
  <si>
    <t xml:space="preserve"> #Curiosity #Learning                        </t>
  </si>
  <si>
    <t xml:space="preserve"> Lost in the vast sea of information, an indifferent wave in the digital ocean. </t>
  </si>
  <si>
    <t xml:space="preserve"> Indifference    </t>
  </si>
  <si>
    <t xml:space="preserve"> ApatheticObserver </t>
  </si>
  <si>
    <t xml:space="preserve"> #Indifference #DigitalOverload              </t>
  </si>
  <si>
    <t xml:space="preserve"> The complex puzzle of life leaves me in a state of perpetual confusion, seeking answers in the chaos. </t>
  </si>
  <si>
    <t xml:space="preserve"> Confusion       </t>
  </si>
  <si>
    <t xml:space="preserve"> SeekingClarity    </t>
  </si>
  <si>
    <t xml:space="preserve"> #Confusion #LifePuzzle                     </t>
  </si>
  <si>
    <t xml:space="preserve"> A numbness settles over me, a shield against the overwhelming emotions life throws my way. </t>
  </si>
  <si>
    <t xml:space="preserve"> Numbness        </t>
  </si>
  <si>
    <t xml:space="preserve"> EmotionallyDistant </t>
  </si>
  <si>
    <t xml:space="preserve"> #Numbness #EmotionalShield                 </t>
  </si>
  <si>
    <t xml:space="preserve"> Gazing at the sunset, a melancholic longing for moments that slip through the fingers of time. </t>
  </si>
  <si>
    <t xml:space="preserve"> Melancholy      </t>
  </si>
  <si>
    <t xml:space="preserve"> SunsetDreamer     </t>
  </si>
  <si>
    <t xml:space="preserve"> #Melancholy #SunsetMoments                 </t>
  </si>
  <si>
    <t xml:space="preserve"> Revisiting old photographs, caught in the embrace of nostalgia's bittersweet symphony. </t>
  </si>
  <si>
    <t xml:space="preserve"> Nostalgia       </t>
  </si>
  <si>
    <t xml:space="preserve"> MemoryLaneTraveler </t>
  </si>
  <si>
    <t xml:space="preserve"> #Nostalgia #MemoryLane                     </t>
  </si>
  <si>
    <t xml:space="preserve"> Torn between conflicting emotions, an ambivalence that paints my decisions in shades of uncertainty. </t>
  </si>
  <si>
    <t xml:space="preserve"> Ambivalence     </t>
  </si>
  <si>
    <t xml:space="preserve"> MixedFeelings     </t>
  </si>
  <si>
    <t xml:space="preserve"> #Ambivalence #UncertainChoices             </t>
  </si>
  <si>
    <t xml:space="preserve"> Embracing the ebb and flow of life, finding acceptance in the dance of existence. </t>
  </si>
  <si>
    <t xml:space="preserve"> Acceptance      </t>
  </si>
  <si>
    <t xml:space="preserve"> ZenLifestyle      </t>
  </si>
  <si>
    <t xml:space="preserve"> Facing challenges head-on, a determination that fuels the fire within to achieve the impossible. </t>
  </si>
  <si>
    <t xml:space="preserve"> Determination   </t>
  </si>
  <si>
    <t xml:space="preserve"> ResilientSpirit   </t>
  </si>
  <si>
    <t xml:space="preserve"> #Determination #AchieveTheImpossible       </t>
  </si>
  <si>
    <t xml:space="preserve"> Serenity found in the stillness of nature, a tranquil retreat from the chaos of the modern world. </t>
  </si>
  <si>
    <t xml:space="preserve"> Serenity        </t>
  </si>
  <si>
    <t xml:space="preserve"> NatureSoul        </t>
  </si>
  <si>
    <t xml:space="preserve"> #Serenity #NatureRetreat                   </t>
  </si>
  <si>
    <t xml:space="preserve"> Curiosity leading me down the rabbit hole of knowledge, a perpetual student in life's classroom. </t>
  </si>
  <si>
    <t xml:space="preserve"> EternalLearner    </t>
  </si>
  <si>
    <t xml:space="preserve"> #Curiosity #KnowledgeQuest                </t>
  </si>
  <si>
    <t xml:space="preserve"> Floating through the day with an air of indifference, detached from the mundane happenings around. </t>
  </si>
  <si>
    <t xml:space="preserve"> AloofObserver     </t>
  </si>
  <si>
    <t xml:space="preserve"> #Indifference #FloatingThroughLife        </t>
  </si>
  <si>
    <t xml:space="preserve"> Entangled in the web of thoughts, confusion reigning as I navigate the labyrinth of ideas. </t>
  </si>
  <si>
    <t xml:space="preserve"> ThoughtExplorer   </t>
  </si>
  <si>
    <t xml:space="preserve"> #Confusion #ThoughtLabyrinth              </t>
  </si>
  <si>
    <t xml:space="preserve"> Numb to the chaos, emotions locked away, a stoic facade concealing the inner turmoil. </t>
  </si>
  <si>
    <t xml:space="preserve"> StoicSoul         </t>
  </si>
  <si>
    <t xml:space="preserve"> #Numbness #StoicFacade                    </t>
  </si>
  <si>
    <t xml:space="preserve"> Melancholy whispers in the breeze, a silent conversation with the echoes of forgotten dreams. </t>
  </si>
  <si>
    <t xml:space="preserve"> DreamerInSilence  </t>
  </si>
  <si>
    <t xml:space="preserve"> #Melancholy #WhispersInTheBreeze         </t>
  </si>
  <si>
    <t xml:space="preserve"> Stumbling upon an old journal, nostalgia flooding in waves, carrying me to moments long gone. </t>
  </si>
  <si>
    <t xml:space="preserve"> JournalKeeper     </t>
  </si>
  <si>
    <t xml:space="preserve"> #Nostalgia #JournalMoments               </t>
  </si>
  <si>
    <t xml:space="preserve"> A tapestry of conflicting feelings, weaving through uncertainty, caught in the threads of ambivalence. </t>
  </si>
  <si>
    <t xml:space="preserve"> ThreadWeaver      </t>
  </si>
  <si>
    <t xml:space="preserve"> #Ambivalence #ConflictingFeelings        </t>
  </si>
  <si>
    <t xml:space="preserve"> Embracing the flaws, finding acceptance in imperfection, a journey towards self-love. </t>
  </si>
  <si>
    <t xml:space="preserve"> SelfLoveAdvocate  </t>
  </si>
  <si>
    <t xml:space="preserve"> #Acceptance #SelfLoveJourney              </t>
  </si>
  <si>
    <t xml:space="preserve"> Determination burning like a wildfire, overcoming obstacles, turning dreams into reality. </t>
  </si>
  <si>
    <t xml:space="preserve"> DreamChaser       </t>
  </si>
  <si>
    <t xml:space="preserve"> #Determination #DreamsIntoReality        </t>
  </si>
  <si>
    <t xml:space="preserve"> Tranquil moments by the ocean, serenity washing over, a peaceful retreat within the waves' embrace. </t>
  </si>
  <si>
    <t xml:space="preserve"> OceanSoul         </t>
  </si>
  <si>
    <t xml:space="preserve"> #Serenity #OceanRetreat                   </t>
  </si>
  <si>
    <t xml:space="preserve"> Exploring new horizons with the spark of curiosity, an adventurer in the vast landscape of knowledge. </t>
  </si>
  <si>
    <t xml:space="preserve"> HorizonExplorer   </t>
  </si>
  <si>
    <t xml:space="preserve"> #Curiosity #NewHorizons                  </t>
  </si>
  <si>
    <t xml:space="preserve"> Drifting through the day with a nonchalant demeanor, embracing the art of indifference. </t>
  </si>
  <si>
    <t xml:space="preserve"> NonchalantSpirit  </t>
  </si>
  <si>
    <t xml:space="preserve"> #Indifference #DriftingThroughLife       </t>
  </si>
  <si>
    <t xml:space="preserve"> Wrestling with thoughts, a perplexed mind lost in the labyrinth of life's complexities. </t>
  </si>
  <si>
    <t xml:space="preserve"> ComplexThinker    </t>
  </si>
  <si>
    <t xml:space="preserve"> #Confusion #PerplexedMind                </t>
  </si>
  <si>
    <t xml:space="preserve"> Immersed in a state of emotional numbness, a shield against the storm of daily struggles. </t>
  </si>
  <si>
    <t xml:space="preserve"> ShieldedHeart     </t>
  </si>
  <si>
    <t xml:space="preserve"> #Numbness #EmotionalShield               </t>
  </si>
  <si>
    <t xml:space="preserve"> A melancholic symphony playing in the background, the soundtrack of a wistful heart. </t>
  </si>
  <si>
    <t xml:space="preserve"> SymphonySoul      </t>
  </si>
  <si>
    <t xml:space="preserve"> #Melancholy #WistfulHeart                </t>
  </si>
  <si>
    <t xml:space="preserve"> Flipping through the pages of an old yearbook, nostalgia painting smiles and tears on my face. </t>
  </si>
  <si>
    <t xml:space="preserve"> YearbookExplorer  </t>
  </si>
  <si>
    <t xml:space="preserve"> #Nostalgia #YearbookMemories            </t>
  </si>
  <si>
    <t xml:space="preserve"> Torn between opposing emotions, an ambivalence that colors my decisions with shades of uncertainty. </t>
  </si>
  <si>
    <t xml:space="preserve"> DecisiveDilemma   </t>
  </si>
  <si>
    <t xml:space="preserve"> #Ambivalence #ShadesOfUncertainty       </t>
  </si>
  <si>
    <t xml:space="preserve"> Embracing life's imperfections, finding acceptance in the journey, scars and all. </t>
  </si>
  <si>
    <t xml:space="preserve"> ImperfectHarmony  </t>
  </si>
  <si>
    <t xml:space="preserve"> #Acceptance #ImperfectJourney            </t>
  </si>
  <si>
    <t xml:space="preserve"> A fiery determination burning within, fueled by the vision of reaching unparalleled heights. </t>
  </si>
  <si>
    <t xml:space="preserve"> VisionarySpirit   </t>
  </si>
  <si>
    <t xml:space="preserve"> #Determination #UnparalleledHeights      </t>
  </si>
  <si>
    <t xml:space="preserve"> Basking in the serenity of a quiet forest, where the whispers of nature bring peace to the soul. </t>
  </si>
  <si>
    <t xml:space="preserve"> ForestDreamer     </t>
  </si>
  <si>
    <t xml:space="preserve"> #Serenity #NatureWhispers                </t>
  </si>
  <si>
    <t xml:space="preserve"> Indifferent to the noise of the world, a silent observer in the midst of life's cacophony. </t>
  </si>
  <si>
    <t xml:space="preserve"> SilentSpectator   </t>
  </si>
  <si>
    <t xml:space="preserve"> #Indifference #SilentObserver            </t>
  </si>
  <si>
    <t xml:space="preserve"> Navigating through the labyrinth of thoughts, confusion a constant companion in the maze of ideas. </t>
  </si>
  <si>
    <t xml:space="preserve"> MazeNavigator     </t>
  </si>
  <si>
    <t xml:space="preserve"> An impenetrable numbness shields me from the emotional storms, a fortress of stoic resilience. </t>
  </si>
  <si>
    <t xml:space="preserve"> ResilientFortress </t>
  </si>
  <si>
    <t xml:space="preserve"> #Numbness #StoicResilience               </t>
  </si>
  <si>
    <t xml:space="preserve"> Melancholy painting the world in hues of nostalgia, a canvas of bittersweet memories. </t>
  </si>
  <si>
    <t xml:space="preserve"> CanvasDreamer     </t>
  </si>
  <si>
    <t xml:space="preserve"> #Melancholy #BittersweetMemories         </t>
  </si>
  <si>
    <t xml:space="preserve"> A journey into the past, flipping through the pages of an old diary, nostalgia taking the lead. </t>
  </si>
  <si>
    <t xml:space="preserve"> DiaryExplorer     </t>
  </si>
  <si>
    <t xml:space="preserve"> #Nostalgia #DiaryJourney                 </t>
  </si>
  <si>
    <t xml:space="preserve"> Ambivalence clouding decisions, caught in the crossroads of conflicting emotions. </t>
  </si>
  <si>
    <t xml:space="preserve"> CrossroadsTraveler </t>
  </si>
  <si>
    <t xml:space="preserve"> #Ambivalence #ConflictingEmotions        </t>
  </si>
  <si>
    <t xml:space="preserve"> Embracing imperfections, finding acceptance in the mosaic of life's beautiful chaos. </t>
  </si>
  <si>
    <t xml:space="preserve"> MosaicDreamer     </t>
  </si>
  <si>
    <t xml:space="preserve"> #Acceptance #BeautifulChaos              </t>
  </si>
  <si>
    <t xml:space="preserve"> Determination as the driving force, propelling me forward on the path to extraordinary achievements. </t>
  </si>
  <si>
    <t xml:space="preserve"> PathfinderSpirit  </t>
  </si>
  <si>
    <t xml:space="preserve"> #Determination #ExtraordinaryPath        </t>
  </si>
  <si>
    <t xml:space="preserve"> Seeking serenity in the melody of raindrops, a tranquil escape from the noise of everyday life. </t>
  </si>
  <si>
    <t xml:space="preserve"> RaindropHarmony   </t>
  </si>
  <si>
    <t xml:space="preserve"> #Serenity #RaindropMelody                </t>
  </si>
  <si>
    <t xml:space="preserve"> Curiosity driving the exploration of the unknown, a seeker of knowledge in uncharted territories. </t>
  </si>
  <si>
    <t xml:space="preserve"> SeekerOfUnknowns  </t>
  </si>
  <si>
    <t xml:space="preserve"> #Curiosity #SeekerOfKnowledge            </t>
  </si>
  <si>
    <t xml:space="preserve"> Drifting through the day with an air of nonchalance, indifferent to the trivialities of life. </t>
  </si>
  <si>
    <t xml:space="preserve"> NonchalantWanderer</t>
  </si>
  <si>
    <t xml:space="preserve"> Lost in the labyrinth of thoughts, confusion casting shadows on the quest for clarity. </t>
  </si>
  <si>
    <t xml:space="preserve"> ShadowedSeeker    </t>
  </si>
  <si>
    <t xml:space="preserve"> #Confusion #LabyrinthOfThoughts          </t>
  </si>
  <si>
    <t xml:space="preserve"> Wrapped in the cloak of emotional numbness, a shield against the storms of life's turbulence. </t>
  </si>
  <si>
    <t xml:space="preserve"> TurbulentShield   </t>
  </si>
  <si>
    <t xml:space="preserve"> #Numbness #EmotionalStorms               </t>
  </si>
  <si>
    <t xml:space="preserve"> Melancholy as a companion, painting the canvas of life with the brushstrokes of wistful yearning. </t>
  </si>
  <si>
    <t xml:space="preserve"> WistfulPainter    </t>
  </si>
  <si>
    <t xml:space="preserve"> #Melancholy #WistfulYearning             </t>
  </si>
  <si>
    <t xml:space="preserve"> Leafing through the pages of an old photo album, nostalgia weaving tales of laughter and tears. </t>
  </si>
  <si>
    <t xml:space="preserve"> TaleWeaver        </t>
  </si>
  <si>
    <t xml:space="preserve"> #Nostalgia #PhotoAlbumStories            </t>
  </si>
  <si>
    <t xml:space="preserve"> Ambivalence in the air, caught between the crossroads of conflicting emotions and decisions. </t>
  </si>
  <si>
    <t xml:space="preserve"> CrossroadsExplorer</t>
  </si>
  <si>
    <t xml:space="preserve"> #Ambivalence #CrossroadsConfusion        </t>
  </si>
  <si>
    <t xml:space="preserve"> Embracing the beauty in imperfections, finding acceptance in the mosaic of life's unpredictable art. </t>
  </si>
  <si>
    <t xml:space="preserve"> MosaicArtist      </t>
  </si>
  <si>
    <t xml:space="preserve"> #Acceptance #UnpredictableArt            </t>
  </si>
  <si>
    <t xml:space="preserve"> Determination ablaze, forging a path through challenges, sculpting dreams into tangible realities. </t>
  </si>
  <si>
    <t xml:space="preserve"> DreamSculptor     </t>
  </si>
  <si>
    <t xml:space="preserve"> #Determination #SculptingDreams          </t>
  </si>
  <si>
    <t xml:space="preserve"> Immerse in the serenity of a moonlit night, where the quiet whispers of nature bring peace to the soul. </t>
  </si>
  <si>
    <t xml:space="preserve"> MoonlitSoul       </t>
  </si>
  <si>
    <t xml:space="preserve"> #Serenity #MoonlitPeace                  </t>
  </si>
  <si>
    <t xml:space="preserve"> Fueled by curiosity, venturing into uncharted realms, a fearless explorer of the mysteries of the world. </t>
  </si>
  <si>
    <t xml:space="preserve"> FearlessExplorer  </t>
  </si>
  <si>
    <t xml:space="preserve"> #Curiosity #FearlessExplorer              </t>
  </si>
  <si>
    <t xml:space="preserve">Wrapped in the cloak of emotional numbness, a shield against the storms of life's turbulence. </t>
  </si>
  <si>
    <t xml:space="preserve"> Numbness </t>
  </si>
  <si>
    <t xml:space="preserve"> TurbulentShield </t>
  </si>
  <si>
    <t xml:space="preserve"> #Numbness #EmotionalStorms </t>
  </si>
  <si>
    <t xml:space="preserve"> Dancing through life with the exuberance of a carefree spirit, embracing joy and zest at every turn. </t>
  </si>
  <si>
    <t xml:space="preserve"> Zest </t>
  </si>
  <si>
    <t xml:space="preserve"> JoyfulDancer </t>
  </si>
  <si>
    <t xml:space="preserve"> Twitter </t>
  </si>
  <si>
    <t xml:space="preserve"> #Zest #CarefreeSpirit </t>
  </si>
  <si>
    <t xml:space="preserve"> Basking in the golden glow of contentment, a serene river flowing through the landscape of the heart. </t>
  </si>
  <si>
    <t xml:space="preserve"> Contentment </t>
  </si>
  <si>
    <t xml:space="preserve"> SereneBasker </t>
  </si>
  <si>
    <t xml:space="preserve"> #Contentment #GoldenGlow </t>
  </si>
  <si>
    <t xml:space="preserve"> Gazing towards the horizon with hopeful eyes, painting a canvas of dreams illuminated by the sun of optimism. </t>
  </si>
  <si>
    <t xml:space="preserve"> Hopeful </t>
  </si>
  <si>
    <t xml:space="preserve"> DreamPainter </t>
  </si>
  <si>
    <t xml:space="preserve"> #Hopeful #CanvasOfDreams </t>
  </si>
  <si>
    <t xml:space="preserve"> Standing tall, proud as an oak, the branches of achievement reaching towards the sky of accomplishment. </t>
  </si>
  <si>
    <t xml:space="preserve"> Proud </t>
  </si>
  <si>
    <t xml:space="preserve"> OakAchiever </t>
  </si>
  <si>
    <t xml:space="preserve"> #Proud #BranchesOfAchievement </t>
  </si>
  <si>
    <t xml:space="preserve"> A heart overflowing with gratitude, a garden where appreciation blooms in the soil of kindness and connection. </t>
  </si>
  <si>
    <t xml:space="preserve"> Grateful </t>
  </si>
  <si>
    <t xml:space="preserve"> HeartGardener </t>
  </si>
  <si>
    <t xml:space="preserve"> #Grateful #BlossomingConnection </t>
  </si>
  <si>
    <t xml:space="preserve"> Extending a hand, empathetic threads weaving a tapestry of understanding, embracing the joys and sorrows of others. </t>
  </si>
  <si>
    <t xml:space="preserve"> Empathetic </t>
  </si>
  <si>
    <t xml:space="preserve"> ThreadWeaver </t>
  </si>
  <si>
    <t xml:space="preserve"> #Empathetic #TapestryOfUnderstanding </t>
  </si>
  <si>
    <t xml:space="preserve"> Compassionate clouds, heavy with care, showering empathy on the parched grounds of human suffering. </t>
  </si>
  <si>
    <t xml:space="preserve"> Compassionate </t>
  </si>
  <si>
    <t xml:space="preserve"> CloudCaretaker </t>
  </si>
  <si>
    <t xml:space="preserve"> #Compassionate #ShowerOfEmpathy </t>
  </si>
  <si>
    <t xml:space="preserve"> Playfully dancing in the rain of laughter, a whimsical spirit twirling in the puddles of joy and lightheartedness. </t>
  </si>
  <si>
    <t xml:space="preserve"> Playful </t>
  </si>
  <si>
    <t xml:space="preserve"> RainDancer </t>
  </si>
  <si>
    <t xml:space="preserve"> #Playful #DanceInTheRain </t>
  </si>
  <si>
    <t xml:space="preserve"> Soaring on the wings of a free spirit, unburdened by the chains of conformity, painting the sky with independence. </t>
  </si>
  <si>
    <t xml:space="preserve"> Free-spirited </t>
  </si>
  <si>
    <t xml:space="preserve"> SkyPainter </t>
  </si>
  <si>
    <t xml:space="preserve"> #FreeSpirit #PaintingTheSky </t>
  </si>
  <si>
    <t xml:space="preserve"> Bathed in the glow of inspiration, a creative phoenix rising from the ashes of ordinary thoughts to explore new realms. </t>
  </si>
  <si>
    <t xml:space="preserve"> Inspired </t>
  </si>
  <si>
    <t xml:space="preserve"> PhoenixExplorer </t>
  </si>
  <si>
    <t xml:space="preserve"> #Inspired #CreativePhoenix </t>
  </si>
  <si>
    <t xml:space="preserve"> Navigating the sea of hope, sailing towards the sunrise of possibilities, confident in the ship of positive anticipation. </t>
  </si>
  <si>
    <t xml:space="preserve"> SunriseNavigator </t>
  </si>
  <si>
    <t xml:space="preserve"> #Hopeful #SunriseOfPossibilities </t>
  </si>
  <si>
    <t xml:space="preserve"> Striding with confidence, footprints of self-assuredness imprinted on the sands of challenges conquered and victories claimed. </t>
  </si>
  <si>
    <t xml:space="preserve"> Confident </t>
  </si>
  <si>
    <t xml:space="preserve"> SandStrider </t>
  </si>
  <si>
    <t xml:space="preserve"> #Confident #FootprintsOfAssuredness </t>
  </si>
  <si>
    <t xml:space="preserve"> Lost in the symphony of the night, a moonlit serenade that whispers tales of wanderlust and moonlit dreams. </t>
  </si>
  <si>
    <t xml:space="preserve"> Serenity </t>
  </si>
  <si>
    <t xml:space="preserve"> NightSerenader </t>
  </si>
  <si>
    <t xml:space="preserve"> #Serenity #MoonlitSerenade </t>
  </si>
  <si>
    <t xml:space="preserve"> Unveiling the layers of curiosity, a labyrinth of questions leading to the treasure troves of undiscovered knowledge. </t>
  </si>
  <si>
    <t xml:space="preserve"> Curiosity </t>
  </si>
  <si>
    <t xml:space="preserve"> KnowledgeSeeker </t>
  </si>
  <si>
    <t xml:space="preserve"> #Curiosity #LabyrinthOfQuestions </t>
  </si>
  <si>
    <t xml:space="preserve"> In the embrace of the autumn breeze, leaves of ambivalence dancing in a waltz between choices and uncertainties. </t>
  </si>
  <si>
    <t xml:space="preserve"> Ambivalence </t>
  </si>
  <si>
    <t xml:space="preserve"> BreezeWaltzer </t>
  </si>
  <si>
    <t xml:space="preserve"> #Ambivalence #AutumnWaltz </t>
  </si>
  <si>
    <t xml:space="preserve"> Gratitude as a guiding star, navigating the constellation of blessings in the vast universe of life's precious moments. </t>
  </si>
  <si>
    <t xml:space="preserve"> StarNavigator </t>
  </si>
  <si>
    <t xml:space="preserve"> #Grateful #GuidingStar </t>
  </si>
  <si>
    <t xml:space="preserve"> With a zestful heart, sprinting through fields of enthusiasm, chasing sunbeams and laughter in the meadows of joy. </t>
  </si>
  <si>
    <t xml:space="preserve"> MeadowSprinter </t>
  </si>
  <si>
    <t xml:space="preserve"> #Zest #FieldsOfEnthusiasm </t>
  </si>
  <si>
    <t xml:space="preserve"> A compassionate rain, tears of empathy falling gently, nurturing the seeds of kindness in the garden of human connections. </t>
  </si>
  <si>
    <t xml:space="preserve"> RainNurturer </t>
  </si>
  <si>
    <t xml:space="preserve"> #Compassionate #TearsOfEmpathy </t>
  </si>
  <si>
    <t xml:space="preserve"> Proudly scaling the peaks of achievement, a mountaineer conquering challenges and planting the flag of success. </t>
  </si>
  <si>
    <t xml:space="preserve"> PeakConqueror </t>
  </si>
  <si>
    <t xml:space="preserve"> #Proud #ScalingPeaks </t>
  </si>
  <si>
    <t xml:space="preserve"> Embraced by the hopeful dawn, a gardener sowing seeds of optimism, tending to the blooms of a brighter tomorrow. </t>
  </si>
  <si>
    <t xml:space="preserve"> DawnGardener </t>
  </si>
  <si>
    <t xml:space="preserve"> #Hopeful #SeedsOfOptimism </t>
  </si>
  <si>
    <t xml:space="preserve"> A playful escapade in the carnival of life, carousel laughter and cotton candy dreams swirling in the joyous atmosphere. </t>
  </si>
  <si>
    <t xml:space="preserve"> CarnivalDreamer </t>
  </si>
  <si>
    <t xml:space="preserve"> #Playful #CarnivalEscapade </t>
  </si>
  <si>
    <t xml:space="preserve"> Floating on clouds of inspiration, an artist painting the sky with strokes of creativity, creating a masterpiece of dreams. </t>
  </si>
  <si>
    <t xml:space="preserve"> SkyArtist </t>
  </si>
  <si>
    <t xml:space="preserve"> #Inspired #CloudsOfCreativity </t>
  </si>
  <si>
    <t xml:space="preserve"> Navigating the river of contentment, a serene boat cruise through the tranquil waters of inner peace and acceptance. </t>
  </si>
  <si>
    <t xml:space="preserve"> RiverNavigator </t>
  </si>
  <si>
    <t xml:space="preserve"> #Contentment #TranquilWaters </t>
  </si>
  <si>
    <t xml:space="preserve"> With empathy as a lantern, wandering through the dark alleys of sorrow, illuminating the path with compassion and care. </t>
  </si>
  <si>
    <t xml:space="preserve"> LanternWanderer </t>
  </si>
  <si>
    <t xml:space="preserve"> #Empathetic #LanternOfCompassion </t>
  </si>
  <si>
    <t xml:space="preserve"> A free spirit soaring on the wings of dreams, leaving trails of independence in the azure sky of boundless possibilities. </t>
  </si>
  <si>
    <t xml:space="preserve"> DreamSoarer </t>
  </si>
  <si>
    <t xml:space="preserve"> #FreeSpirit #WingsOfDreams </t>
  </si>
  <si>
    <t xml:space="preserve"> Bathed in the golden hues of gratefulness, a sunset of appreciation casting its warm glow on the landscapes of the heart. </t>
  </si>
  <si>
    <t xml:space="preserve"> SunsetAdmirer </t>
  </si>
  <si>
    <t xml:space="preserve"> #Grateful #GoldenHues </t>
  </si>
  <si>
    <t xml:space="preserve"> Confident strides in the dance of life, a ballroom where self-assuredness leads, twirling through challenges with grace. </t>
  </si>
  <si>
    <t xml:space="preserve"> DanceStrider </t>
  </si>
  <si>
    <t xml:space="preserve"> #Confident #DanceOfLife </t>
  </si>
  <si>
    <t xml:space="preserve"> Hopeful whispers of wind, carrying the promises of a brighter tomorrow, a symphony of optimism in the air of possibilities. </t>
  </si>
  <si>
    <t xml:space="preserve"> WindWhisperer </t>
  </si>
  <si>
    <t xml:space="preserve"> #Hopeful #BrighterTomorrows </t>
  </si>
  <si>
    <t xml:space="preserve"> Playfully juggling responsibilities, a circus performer balancing the acts of work and joy, tossing laughter into the air. </t>
  </si>
  <si>
    <t xml:space="preserve"> JugglingArtist </t>
  </si>
  <si>
    <t xml:space="preserve"> #Playful #JugglingResponsibilities </t>
  </si>
  <si>
    <t xml:space="preserve"> Whispering tales of inspiration to the stars, a storyteller crafting constellations from the threads of imagination. </t>
  </si>
  <si>
    <t xml:space="preserve"> StarStoryteller </t>
  </si>
  <si>
    <t xml:space="preserve"> #Inspired #TalesToTheStars </t>
  </si>
  <si>
    <t xml:space="preserve"> Charting a course through the waves of hopeful anticipation, a sailor steering towards the shores of dreams yet unexplored. </t>
  </si>
  <si>
    <t xml:space="preserve"> WaveNavigator </t>
  </si>
  <si>
    <t xml:space="preserve"> #Hopeful #SailorOfDreams </t>
  </si>
  <si>
    <t xml:space="preserve"> Drowning in the abyss of despair, a heart shattered into fragments, lost in the echoing silence of hopelessness. </t>
  </si>
  <si>
    <t xml:space="preserve"> Despair </t>
  </si>
  <si>
    <t xml:space="preserve"> ShatteredHeart </t>
  </si>
  <si>
    <t xml:space="preserve"> #Despair #EchoingSilence </t>
  </si>
  <si>
    <t xml:space="preserve"> Bitterness festering like a venomous vine, entwining the soul in a web of resentment, poisoning the garden of peace. </t>
  </si>
  <si>
    <t xml:space="preserve"> Bitterness </t>
  </si>
  <si>
    <t xml:space="preserve"> VenomousSoul </t>
  </si>
  <si>
    <t xml:space="preserve"> #Bitterness #ResentmentWeb </t>
  </si>
  <si>
    <t xml:space="preserve"> Wandering through the desert of loneliness, each step a heavy sigh, mirages of connection shimmering but never materializing. </t>
  </si>
  <si>
    <t xml:space="preserve"> DesertWanderer </t>
  </si>
  <si>
    <t xml:space="preserve"> #Loneliness #MiragesOfConnection </t>
  </si>
  <si>
    <t xml:space="preserve"> Yearning for a touch that's not there, echoes of a distant warmth haunting the heart in the cold embrace of solitude. </t>
  </si>
  <si>
    <t xml:space="preserve"> Yearning </t>
  </si>
  <si>
    <t xml:space="preserve"> ColdEmbrace </t>
  </si>
  <si>
    <t xml:space="preserve"> #Yearning #DistantWarmth </t>
  </si>
  <si>
    <t xml:space="preserve"> Eyes wide open in the night, fearful shadows dancing on the walls, the mind a prisoner of imagined horrors. </t>
  </si>
  <si>
    <t xml:space="preserve"> Fearful </t>
  </si>
  <si>
    <t xml:space="preserve"> NightPrisoner </t>
  </si>
  <si>
    <t xml:space="preserve"> #Fearful #ImaginedHorrors </t>
  </si>
  <si>
    <t xml:space="preserve"> Apprehensive steps on the tightrope of uncertainty, a balancing act where the fall seems inevitable, anxiety a constant companion. </t>
  </si>
  <si>
    <t xml:space="preserve"> Apprehensive </t>
  </si>
  <si>
    <t xml:space="preserve"> TightropeWalker </t>
  </si>
  <si>
    <t xml:space="preserve"> #Apprehensive #BalancingAct </t>
  </si>
  <si>
    <t xml:space="preserve"> Overwhelmed by the weight of the world, Atlas with trembling shoulders, each responsibility a boulder in the landscape of exhaustion. </t>
  </si>
  <si>
    <t xml:space="preserve"> Overwhelmed </t>
  </si>
  <si>
    <t xml:space="preserve"> AtlasBearer </t>
  </si>
  <si>
    <t xml:space="preserve"> #Overwhelmed #BouldersOfExhaustion </t>
  </si>
  <si>
    <t xml:space="preserve"> Jealousy, a green-eyed monster, lurking in the shadows, casting a dark cloud over the sunshine of others' success. </t>
  </si>
  <si>
    <t xml:space="preserve"> Jealous </t>
  </si>
  <si>
    <t xml:space="preserve"> GreenMonster </t>
  </si>
  <si>
    <t xml:space="preserve"> #Jealous #GreenEyedMonster </t>
  </si>
  <si>
    <t xml:space="preserve"> Devastated by the storm of betrayal, the wreckage of trust scattered like debris, a heart torn by the winds of broken promises. </t>
  </si>
  <si>
    <t xml:space="preserve"> Devastated </t>
  </si>
  <si>
    <t xml:space="preserve"> StormSurvivor </t>
  </si>
  <si>
    <t xml:space="preserve"> #Devastated #WindsOfBrokenPromises </t>
  </si>
  <si>
    <t xml:space="preserve"> Frustrated fingers tapping on the keyboard, a symphony of annoyance composing an unsolvable puzzle of unmet expectations. </t>
  </si>
  <si>
    <t xml:space="preserve"> Frustrated </t>
  </si>
  <si>
    <t xml:space="preserve"> PuzzleComposer </t>
  </si>
  <si>
    <t xml:space="preserve"> #Frustrated #UnsolvablePuzzle </t>
  </si>
  <si>
    <t xml:space="preserve"> Envious eyes fixated on the gilded prize, a heartache fueled by the painful desire for possessions that seem forever out of reach. </t>
  </si>
  <si>
    <t xml:space="preserve"> Envious </t>
  </si>
  <si>
    <t xml:space="preserve"> GildedHeartache </t>
  </si>
  <si>
    <t xml:space="preserve"> #Envious #GildedPrize </t>
  </si>
  <si>
    <t xml:space="preserve"> Dismissive glances, a fortress built with indifference, walls impenetrable to the pleas of understanding and recognition. </t>
  </si>
  <si>
    <t xml:space="preserve"> Dismissive </t>
  </si>
  <si>
    <t xml:space="preserve"> IndifferentFort </t>
  </si>
  <si>
    <t xml:space="preserve"> #Dismissive #ImpenetrableWalls </t>
  </si>
  <si>
    <t xml:space="preserve"> Shattered dreams lie on the floor like fragments of glass, a mosaic of disappointment crafted by the hands of frustration. </t>
  </si>
  <si>
    <t xml:space="preserve"> DreamMosaic </t>
  </si>
  <si>
    <t xml:space="preserve"> #Frustrated #MosaicOfDisappointment </t>
  </si>
  <si>
    <t xml:space="preserve"> Loneliness, a silent companion in the night, the only echo in the chamber of solitude, a heart's solitary nocturne. </t>
  </si>
  <si>
    <t xml:space="preserve"> NocturnalEcho </t>
  </si>
  <si>
    <t xml:space="preserve"> #Loneliness #SolitaryNocturne </t>
  </si>
  <si>
    <t xml:space="preserve"> Fearful whispers in the dark, the mind haunted by the specter of the unknown, shadows dancing to the rhythm of anxiety's tune. </t>
  </si>
  <si>
    <t xml:space="preserve"> DarkWhispers </t>
  </si>
  <si>
    <t xml:space="preserve"> #Fearful #SpecterOfTheUnknown </t>
  </si>
  <si>
    <t xml:space="preserve"> Bitterness, a bitter aftertaste lingering on the tongue, each word a reminder of wounds that refuse to heal with the passing of time. </t>
  </si>
  <si>
    <t xml:space="preserve"> LingeringTaste </t>
  </si>
  <si>
    <t xml:space="preserve"> #Bitterness #BitterAftertaste </t>
  </si>
  <si>
    <t xml:space="preserve"> Overwhelmed by the cacophony of expectations, a drowning soul in the tempest of pressure, struggling to stay afloat. </t>
  </si>
  <si>
    <t xml:space="preserve"> TempestSurvivor </t>
  </si>
  <si>
    <t xml:space="preserve"> #Overwhelmed #DrowningSoul </t>
  </si>
  <si>
    <t xml:space="preserve"> Jealousy, a venom that seeps through the veins, poisoning the heart and turning it into a breeding ground for discontent. </t>
  </si>
  <si>
    <t xml:space="preserve"> VenomousHeart </t>
  </si>
  <si>
    <t xml:space="preserve"> #Jealous #HeartOfDiscontent </t>
  </si>
  <si>
    <t xml:space="preserve"> Devastated by the revelation of betrayal, the trust shattered like fragile glass, leaving shards of pain in its wake. </t>
  </si>
  <si>
    <t xml:space="preserve"> FragileTrust </t>
  </si>
  <si>
    <t xml:space="preserve"> #Devastated #ShatteredTrust </t>
  </si>
  <si>
    <t xml:space="preserve"> Frustrated attempts to mend a broken connection, the threads of understanding slipping through the fingers like grains of sand. </t>
  </si>
  <si>
    <t xml:space="preserve"> BrokenThreads </t>
  </si>
  <si>
    <t xml:space="preserve"> #Frustrated #SlippingThreads </t>
  </si>
  <si>
    <t xml:space="preserve"> Envious gazes cast upon the podium of success, a bitter pill swallowed, the taste lingering as a constant reminder of unattained heights. </t>
  </si>
  <si>
    <t xml:space="preserve"> SuccessPill </t>
  </si>
  <si>
    <t xml:space="preserve"> #Envious #BitterPill </t>
  </si>
  <si>
    <t xml:space="preserve"> Dismissive gestures, a curtain drawn to shield the vulnerability, a stage where emotions take a backseat to the performance of indifference. </t>
  </si>
  <si>
    <t xml:space="preserve"> CurtainShield </t>
  </si>
  <si>
    <t xml:space="preserve"> #Dismissive #IndifferencePerformance </t>
  </si>
  <si>
    <t xml:space="preserve"> Despair like a heavy fog, enveloping every thought, blurring the path ahead, a journey in the labyrinth of utter hopelessness. </t>
  </si>
  <si>
    <t xml:space="preserve"> FoggyLabyrinth </t>
  </si>
  <si>
    <t xml:space="preserve"> #Despair #LabyrinthOfHopelessness </t>
  </si>
  <si>
    <t xml:space="preserve"> Bitterness, a bitter chill in the air, freezing moments into icicles of resentment that dangle precariously over the landscape of memory. </t>
  </si>
  <si>
    <t xml:space="preserve"> IcyResentment </t>
  </si>
  <si>
    <t xml:space="preserve"> #Bitterness #IciclesOfResentment </t>
  </si>
  <si>
    <t xml:space="preserve"> Loneliness, a solitary moon in a starless sky, casting a cold glow on the landscape of isolation, where echoes bounce in empty spaces. </t>
  </si>
  <si>
    <t xml:space="preserve"> SolitaryMoon </t>
  </si>
  <si>
    <t xml:space="preserve"> #Loneliness #StarlessSky </t>
  </si>
  <si>
    <t xml:space="preserve"> Yearning for the warmth of a vanished sun, a heartache painted in the hues of a sunset that never graced the horizon. </t>
  </si>
  <si>
    <t xml:space="preserve"> VanishedSunset </t>
  </si>
  <si>
    <t xml:space="preserve"> #Yearning #HuesOfSunset </t>
  </si>
  <si>
    <t xml:space="preserve"> Fearful eyes scanning the shadows, a prisoner of the night, terrorized by the lurking monsters born from the mind's darkest corners. </t>
  </si>
  <si>
    <t xml:space="preserve"> #Fearful #LurkingMonsters </t>
  </si>
  <si>
    <t xml:space="preserve"> Apprehensive whispers in the wind, a forecast of uncertainty, the mind's weather vane spinning wildly in the storm of doubt. </t>
  </si>
  <si>
    <t xml:space="preserve"> #Apprehensive #StormOfDoubt </t>
  </si>
  <si>
    <t xml:space="preserve"> Overwhelmed by the maze of expectations, a minotaur of pressure lurking in the labyrinth, waiting to devour the spirit of resilience. </t>
  </si>
  <si>
    <t xml:space="preserve"> MazeExplorer </t>
  </si>
  <si>
    <t xml:space="preserve"> #Overwhelmed #MinotaurOfPressure </t>
  </si>
  <si>
    <t xml:space="preserve"> Jealousy, a festering wound, the pain intensifying with each glance at the garden of others' achievements, blooming beyond the fence. </t>
  </si>
  <si>
    <t xml:space="preserve"> WoundedGarden </t>
  </si>
  <si>
    <t xml:space="preserve"> #Jealous #BloomingAchievements </t>
  </si>
  <si>
    <t xml:space="preserve"> Devastated, a heart in ruins, the echoes of shattered dreams reverberating in the chambers, a requiem for what once was whole. </t>
  </si>
  <si>
    <t xml:space="preserve"> RuinedHeart </t>
  </si>
  <si>
    <t xml:space="preserve"> #Devastated #EchoesOfShatteredDreams </t>
  </si>
  <si>
    <t xml:space="preserve"> Frustrated attempts to untangle the knot of confusion, the threads of understanding slipping further into the labyrinth of miscommunication. </t>
  </si>
  <si>
    <t xml:space="preserve"> KnotUntangler </t>
  </si>
  <si>
    <t xml:space="preserve"> #Frustrated #LabyrinthOfMiscommunication </t>
  </si>
  <si>
    <t xml:space="preserve"> Envious eyes locked on the treasure chest of opportunities, a heartache fueled by the desire for keys that seem forever elusive. </t>
  </si>
  <si>
    <t xml:space="preserve"> ElusiveKeys </t>
  </si>
  <si>
    <t xml:space="preserve"> #Envious #DesireForKeys </t>
  </si>
  <si>
    <t xml:space="preserve">Awe-struck by the breathtaking sunrise over the mountains.      </t>
  </si>
  <si>
    <t xml:space="preserve"> Awe           </t>
  </si>
  <si>
    <t xml:space="preserve"> NatureAdmirer  </t>
  </si>
  <si>
    <t xml:space="preserve"> #Awe #BreathtakingSunrise                   </t>
  </si>
  <si>
    <t xml:space="preserve"> USA               </t>
  </si>
  <si>
    <t xml:space="preserve">Navigating through the challenges with determination.          </t>
  </si>
  <si>
    <t xml:space="preserve"> Determination </t>
  </si>
  <si>
    <t xml:space="preserve"> GoalPursuer    </t>
  </si>
  <si>
    <t xml:space="preserve"> #Determination #Challenges                  </t>
  </si>
  <si>
    <t xml:space="preserve"> Canada            </t>
  </si>
  <si>
    <t xml:space="preserve">Nostalgia hits while flipping through an old photo album.     </t>
  </si>
  <si>
    <t xml:space="preserve"> Nostalgia      </t>
  </si>
  <si>
    <t xml:space="preserve"> MemoryLane     </t>
  </si>
  <si>
    <t xml:space="preserve"> #Nostalgia #OldMemories                     </t>
  </si>
  <si>
    <t xml:space="preserve"> UK                </t>
  </si>
  <si>
    <t xml:space="preserve">Thrilled to witness the grandeur of a cultural festival.       </t>
  </si>
  <si>
    <t xml:space="preserve"> Thrill        </t>
  </si>
  <si>
    <t xml:space="preserve"> CultureEnthusiast </t>
  </si>
  <si>
    <t xml:space="preserve"> #Thrill #CulturalCelebration              </t>
  </si>
  <si>
    <t xml:space="preserve"> India              </t>
  </si>
  <si>
    <t xml:space="preserve">Calmness found in the rhythm of raindrops on the windowpane.   </t>
  </si>
  <si>
    <t xml:space="preserve"> Calmness      </t>
  </si>
  <si>
    <t xml:space="preserve"> RainWatcher    </t>
  </si>
  <si>
    <t xml:space="preserve"> #Calmness #RainyDays                        </t>
  </si>
  <si>
    <t xml:space="preserve"> Australia          </t>
  </si>
  <si>
    <t>Overwhelmed by the support received during a personal challenge.</t>
  </si>
  <si>
    <t xml:space="preserve"> Overwhelmed   </t>
  </si>
  <si>
    <t xml:space="preserve"> PersonalJourney </t>
  </si>
  <si>
    <t xml:space="preserve"> #Overwhelmed #SupportiveCommunity          </t>
  </si>
  <si>
    <t xml:space="preserve">Excitement builds as the countdown to a long-awaited vacation begins. </t>
  </si>
  <si>
    <t xml:space="preserve"> #Excitement #VacationCountdown        </t>
  </si>
  <si>
    <t xml:space="preserve"> France            </t>
  </si>
  <si>
    <t xml:space="preserve">Reflecting on life's journey, grateful for the lessons learned. </t>
  </si>
  <si>
    <t xml:space="preserve"> Gratitude   </t>
  </si>
  <si>
    <t xml:space="preserve"> LifeLearner   </t>
  </si>
  <si>
    <t xml:space="preserve"> #Gratitude #LifeLessons                    </t>
  </si>
  <si>
    <t xml:space="preserve"> Brazil            </t>
  </si>
  <si>
    <t xml:space="preserve">Bittersweet emotions arise while bidding farewell to a dear friend. </t>
  </si>
  <si>
    <t xml:space="preserve"> Bittersweet </t>
  </si>
  <si>
    <t xml:space="preserve"> FarewellSender </t>
  </si>
  <si>
    <t xml:space="preserve"> #Bittersweet #Farewell                     </t>
  </si>
  <si>
    <t xml:space="preserve"> Japan             </t>
  </si>
  <si>
    <t xml:space="preserve">Curiosity sparked by exploring a mysterious ancient ruin.      </t>
  </si>
  <si>
    <t xml:space="preserve"> Curiosity     </t>
  </si>
  <si>
    <t xml:space="preserve"> HistoryExplorer </t>
  </si>
  <si>
    <t xml:space="preserve"> #Curiosity #AncientDiscovery          </t>
  </si>
  <si>
    <t xml:space="preserve"> Greece            </t>
  </si>
  <si>
    <t xml:space="preserve">Admiration for the intricate details of a handcrafted masterpiece. </t>
  </si>
  <si>
    <t xml:space="preserve"> Admiration    </t>
  </si>
  <si>
    <t xml:space="preserve"> CraftEnthusiast </t>
  </si>
  <si>
    <t xml:space="preserve"> #Admiration #HandcraftedArt               </t>
  </si>
  <si>
    <t xml:space="preserve">Overjoyed by the warmth of a cozy fireplace on a winter evening.   </t>
  </si>
  <si>
    <t xml:space="preserve"> Overjoyed     </t>
  </si>
  <si>
    <t xml:space="preserve"> WinterLover     </t>
  </si>
  <si>
    <t xml:space="preserve"> #Overjoyed #WinterWarmth                  </t>
  </si>
  <si>
    <t>Inspiration strikes while observing the colors of a vibrant sunset.</t>
  </si>
  <si>
    <t xml:space="preserve"> Inspiration   </t>
  </si>
  <si>
    <t xml:space="preserve"> SunsetWatcher   </t>
  </si>
  <si>
    <t xml:space="preserve"> #Inspiration #ColorfulSunset             </t>
  </si>
  <si>
    <t xml:space="preserve">Motivated to achieve fitness goals after an invigorating workout.  </t>
  </si>
  <si>
    <t xml:space="preserve"> Motivation    </t>
  </si>
  <si>
    <t xml:space="preserve"> FitnessJunkie   </t>
  </si>
  <si>
    <t xml:space="preserve"> #Motivation #FitnessGoals                 </t>
  </si>
  <si>
    <t xml:space="preserve">Gratitude for the simple joys found in a cup of morning coffee.    </t>
  </si>
  <si>
    <t xml:space="preserve"> CoffeeLover     </t>
  </si>
  <si>
    <t xml:space="preserve"> #Gratitude #MorningCoffee                 </t>
  </si>
  <si>
    <t xml:space="preserve"> India             </t>
  </si>
  <si>
    <t xml:space="preserve">Feeling empowered after conquering a challenging hiking trail.     </t>
  </si>
  <si>
    <t xml:space="preserve"> HikingExplorer  </t>
  </si>
  <si>
    <t xml:space="preserve"> #Empowerment #HikingAdventure             </t>
  </si>
  <si>
    <t xml:space="preserve">Amused by the antics of playful kittens during playtime.           </t>
  </si>
  <si>
    <t xml:space="preserve"> Amusement     </t>
  </si>
  <si>
    <t xml:space="preserve"> KittyObserver   </t>
  </si>
  <si>
    <t xml:space="preserve"> #Amusement #PlayfulKittens               </t>
  </si>
  <si>
    <t xml:space="preserve">Contemplating life's mysteries under the starry night sky.         </t>
  </si>
  <si>
    <t xml:space="preserve"> Contemplation </t>
  </si>
  <si>
    <t xml:space="preserve"> #Contemplation #StarryNight               </t>
  </si>
  <si>
    <t xml:space="preserve">Joyful reunion with long-lost friends after years of separation.   </t>
  </si>
  <si>
    <t xml:space="preserve"> JoyfulReunion </t>
  </si>
  <si>
    <t xml:space="preserve"> FriendshipRenewal </t>
  </si>
  <si>
    <t xml:space="preserve"> #JoyfulReunion #Friendship               </t>
  </si>
  <si>
    <t xml:space="preserve">Excitement builds while preparing for a surprise celebration.     </t>
  </si>
  <si>
    <t xml:space="preserve"> Excitement    </t>
  </si>
  <si>
    <t xml:space="preserve"> CelebrationPlanner </t>
  </si>
  <si>
    <t xml:space="preserve"> #Excitement #SurpriseCelebration         </t>
  </si>
  <si>
    <t xml:space="preserve">Satisfaction derived from successfully completing a DIY project.  </t>
  </si>
  <si>
    <t xml:space="preserve"> Satisfaction  </t>
  </si>
  <si>
    <t xml:space="preserve"> #Satisfaction #DIYProject                 </t>
  </si>
  <si>
    <t xml:space="preserve">Feeling blessed for the supportive community in times of need.    </t>
  </si>
  <si>
    <t xml:space="preserve"> Blessed       </t>
  </si>
  <si>
    <t xml:space="preserve"> CommunityHelper </t>
  </si>
  <si>
    <t xml:space="preserve"> #Blessed #SupportiveCommunity            </t>
  </si>
  <si>
    <t xml:space="preserve">Captivated by the serenity of a tranquil garden in full bloom.     </t>
  </si>
  <si>
    <t xml:space="preserve"> GardenEnthusiast </t>
  </si>
  <si>
    <t xml:space="preserve"> #Serenity #TranquilGarden                </t>
  </si>
  <si>
    <t xml:space="preserve">Anticipation for an upcoming adventure in an exotic destination.   </t>
  </si>
  <si>
    <t xml:space="preserve"> Anticipation  </t>
  </si>
  <si>
    <t xml:space="preserve"> Wanderlust      </t>
  </si>
  <si>
    <t xml:space="preserve"> #Anticipation #AdventureAwaits           </t>
  </si>
  <si>
    <t xml:space="preserve">Reflecting on personal growth achieved through life experiences.  </t>
  </si>
  <si>
    <t xml:space="preserve"> Reflection    </t>
  </si>
  <si>
    <t xml:space="preserve"> #Reflection #PersonalGrowth              </t>
  </si>
  <si>
    <t xml:space="preserve">Nostalgic memories flood in while revisiting childhood favorites. </t>
  </si>
  <si>
    <t xml:space="preserve"> Nostalgia     </t>
  </si>
  <si>
    <t xml:space="preserve"> ChildhoodMemories </t>
  </si>
  <si>
    <t xml:space="preserve"> #Nostalgia #ChildhoodFavorites           </t>
  </si>
  <si>
    <t xml:space="preserve">Appreciation for the vibrant culture experienced during travel.   </t>
  </si>
  <si>
    <t xml:space="preserve"> Appreciation  </t>
  </si>
  <si>
    <t xml:space="preserve"> CultureExplorer </t>
  </si>
  <si>
    <t xml:space="preserve"> #Appreciation #CulturalExperience        </t>
  </si>
  <si>
    <t xml:space="preserve">Confidence soars after overcoming public speaking anxiety.       </t>
  </si>
  <si>
    <t xml:space="preserve"> Confidence    </t>
  </si>
  <si>
    <t xml:space="preserve"> PublicSpeaker   </t>
  </si>
  <si>
    <t xml:space="preserve"> #Confidence #OvercomingAnxiety          </t>
  </si>
  <si>
    <t xml:space="preserve">Contentment in the midst of a family gathering filled with laughter. </t>
  </si>
  <si>
    <t xml:space="preserve"> FamilyCelebration </t>
  </si>
  <si>
    <t xml:space="preserve"> #Contentment #FamilyLaughter             </t>
  </si>
  <si>
    <t xml:space="preserve">Enthusiasm for learning new skills and expanding knowledge.      </t>
  </si>
  <si>
    <t xml:space="preserve"> LifelongLearner </t>
  </si>
  <si>
    <t xml:space="preserve"> #Enthusiasm #SkillBuilding               </t>
  </si>
  <si>
    <t xml:space="preserve">Surprise and delight at discovering a hidden gem in the city.    </t>
  </si>
  <si>
    <t xml:space="preserve"> Surprise      </t>
  </si>
  <si>
    <t xml:space="preserve"> CityExplorer    </t>
  </si>
  <si>
    <t xml:space="preserve"> #Surprise #HiddenGem                      </t>
  </si>
  <si>
    <t>A sense of accomplishment after completing a challenging workout.</t>
  </si>
  <si>
    <t xml:space="preserve"> Accomplishment </t>
  </si>
  <si>
    <t xml:space="preserve"> #Accomplishment #FitnessSuccess         </t>
  </si>
  <si>
    <t xml:space="preserve">Wonderment at the beauty of a double rainbow after the rain.     </t>
  </si>
  <si>
    <t xml:space="preserve"> Wonderment    </t>
  </si>
  <si>
    <t xml:space="preserve"> RainbowChaser   </t>
  </si>
  <si>
    <t xml:space="preserve"> #Wonderment #DoubleRainbow               </t>
  </si>
  <si>
    <t xml:space="preserve">Optimism for a bright future amidst challenging times.           </t>
  </si>
  <si>
    <t xml:space="preserve"> Optimism      </t>
  </si>
  <si>
    <t xml:space="preserve"> FutureOptimist  </t>
  </si>
  <si>
    <t xml:space="preserve"> #Optimism #BrightFuture                  </t>
  </si>
  <si>
    <t xml:space="preserve">Pride in achieving a personal milestone in career progression.   </t>
  </si>
  <si>
    <t xml:space="preserve"> Pride         </t>
  </si>
  <si>
    <t xml:space="preserve"> CareerAchiever  </t>
  </si>
  <si>
    <t xml:space="preserve"> #Pride #CareerMilestone                  </t>
  </si>
  <si>
    <t xml:space="preserve">Happiness blooms like flowers in a garden on a sunny day.        </t>
  </si>
  <si>
    <t xml:space="preserve"> Happiness     </t>
  </si>
  <si>
    <t xml:space="preserve"> SunnyDayEnthusiast </t>
  </si>
  <si>
    <t xml:space="preserve"> #Happiness #SunnyDay                      </t>
  </si>
  <si>
    <t xml:space="preserve">Elation over discovering a rare book in a quaint bookstore.      </t>
  </si>
  <si>
    <t xml:space="preserve"> Bookworm        </t>
  </si>
  <si>
    <t xml:space="preserve"> #Elation #RareBookDiscovery              </t>
  </si>
  <si>
    <t>Curiosity piqued by the mysteries of an ancient archaeological site.</t>
  </si>
  <si>
    <t xml:space="preserve"> Curiosity   </t>
  </si>
  <si>
    <t xml:space="preserve"> ArchaeologyEnthusiast </t>
  </si>
  <si>
    <t xml:space="preserve"> #Curiosity #AncientMysteries            </t>
  </si>
  <si>
    <t xml:space="preserve">Mesmerized by the cosmic dance of fireflies on a moonlit night.    </t>
  </si>
  <si>
    <t xml:space="preserve"> Enchantment   </t>
  </si>
  <si>
    <t xml:space="preserve"> NightSkyObserver </t>
  </si>
  <si>
    <t xml:space="preserve"> #Enchantment #CosmicFireflies             </t>
  </si>
  <si>
    <t xml:space="preserve"> Brazil           </t>
  </si>
  <si>
    <t xml:space="preserve">Intrigued by the symphony of colors in an abstract art exhibition. </t>
  </si>
  <si>
    <t xml:space="preserve"> Intrigue      </t>
  </si>
  <si>
    <t xml:space="preserve"> ArtConnoisseur  </t>
  </si>
  <si>
    <t xml:space="preserve"> #Intrigue #AbstractArt                   </t>
  </si>
  <si>
    <t xml:space="preserve"> France           </t>
  </si>
  <si>
    <t xml:space="preserve">Giggles and joy echo in the air during a children's playdate.      </t>
  </si>
  <si>
    <t xml:space="preserve"> PlayfulJoy    </t>
  </si>
  <si>
    <t xml:space="preserve"> PlayfulParent   </t>
  </si>
  <si>
    <t xml:space="preserve"> #PlayfulJoy #ChildrensPlaydate           </t>
  </si>
  <si>
    <t xml:space="preserve"> Japan            </t>
  </si>
  <si>
    <t xml:space="preserve">Enveloped in serenity while practicing mindfulness by the lake.    </t>
  </si>
  <si>
    <t xml:space="preserve"> Mindfulness   </t>
  </si>
  <si>
    <t xml:space="preserve"> ZenSeeker       </t>
  </si>
  <si>
    <t xml:space="preserve"> #Mindfulness #LakeTranquility            </t>
  </si>
  <si>
    <t xml:space="preserve"> Canada           </t>
  </si>
  <si>
    <t xml:space="preserve">Chasing dreams like a kite soaring high in the vast open sky.      </t>
  </si>
  <si>
    <t xml:space="preserve"> DreamChaser   </t>
  </si>
  <si>
    <t xml:space="preserve"> SkyDreamer      </t>
  </si>
  <si>
    <t xml:space="preserve"> #DreamChaser #SkyHighDreams              </t>
  </si>
  <si>
    <t xml:space="preserve"> Australia         </t>
  </si>
  <si>
    <t xml:space="preserve">Spellbound by the elegance of a ballroom dance under crystal chandeliers. </t>
  </si>
  <si>
    <t xml:space="preserve"> Elegance </t>
  </si>
  <si>
    <t xml:space="preserve"> DanceEnthusiast </t>
  </si>
  <si>
    <t xml:space="preserve"> #Elegance #BallroomDance                </t>
  </si>
  <si>
    <t xml:space="preserve"> UK               </t>
  </si>
  <si>
    <t xml:space="preserve">Whimsical delight in a world of fairy tales and magical creatures.  </t>
  </si>
  <si>
    <t xml:space="preserve"> Whimsy        </t>
  </si>
  <si>
    <t xml:space="preserve"> FairyTaleExplorer </t>
  </si>
  <si>
    <t xml:space="preserve"> #Whimsy #MagicalWorld                    </t>
  </si>
  <si>
    <t xml:space="preserve"> USA             </t>
  </si>
  <si>
    <t xml:space="preserve">Pensive contemplation amid the ancient ruins of a forgotten civilization. </t>
  </si>
  <si>
    <t xml:space="preserve"> Pensive </t>
  </si>
  <si>
    <t xml:space="preserve"> RuinsExplorer   </t>
  </si>
  <si>
    <t xml:space="preserve"> #Pensive #AncientCivilization           </t>
  </si>
  <si>
    <t xml:space="preserve"> Greece           </t>
  </si>
  <si>
    <t xml:space="preserve">Embracing the thrill of speed on a rollercoaster's exhilarating twists. </t>
  </si>
  <si>
    <t xml:space="preserve"> Thrill      </t>
  </si>
  <si>
    <t xml:space="preserve"> RollercoasterFan </t>
  </si>
  <si>
    <t xml:space="preserve"> #Thrill #RollercoasterAdventure        </t>
  </si>
  <si>
    <t xml:space="preserve"> Germany         </t>
  </si>
  <si>
    <t xml:space="preserve">Harmony resonates as musicians play a melody of unity and togetherness. </t>
  </si>
  <si>
    <t xml:space="preserve"> Harmony    </t>
  </si>
  <si>
    <t xml:space="preserve"> MusicHarmonist  </t>
  </si>
  <si>
    <t xml:space="preserve"> #Harmony #MusicalUnity                   </t>
  </si>
  <si>
    <t xml:space="preserve"> Sweden          </t>
  </si>
  <si>
    <t xml:space="preserve">A burst of creativity in the quiet solitude of an artist's studio.  </t>
  </si>
  <si>
    <t xml:space="preserve"> Creativity   </t>
  </si>
  <si>
    <t xml:space="preserve"> StudioArtist    </t>
  </si>
  <si>
    <t xml:space="preserve"> #Creativity #ArtistsHaven               </t>
  </si>
  <si>
    <t xml:space="preserve"> Italy           </t>
  </si>
  <si>
    <t xml:space="preserve">Radiant joy akin to blooming flowers on a sun-kissed spring morning. </t>
  </si>
  <si>
    <t xml:space="preserve"> Radiance    </t>
  </si>
  <si>
    <t xml:space="preserve"> SpringEnthusiast </t>
  </si>
  <si>
    <t xml:space="preserve"> #Radiance #SpringBlooms                 </t>
  </si>
  <si>
    <t xml:space="preserve"> Netherlands     </t>
  </si>
  <si>
    <t xml:space="preserve">A sense of wonder at the vastness of the cosmos on a stargazing night. </t>
  </si>
  <si>
    <t xml:space="preserve"> Wonder     </t>
  </si>
  <si>
    <t xml:space="preserve"> CosmosExplorer  </t>
  </si>
  <si>
    <t xml:space="preserve"> #Wonder #StargazingAdventure            </t>
  </si>
  <si>
    <t xml:space="preserve"> South Africa    </t>
  </si>
  <si>
    <t xml:space="preserve">Rejuvenated by the salty breeze and the sound of waves at the seaside. </t>
  </si>
  <si>
    <t xml:space="preserve"> Rejuvenation </t>
  </si>
  <si>
    <t xml:space="preserve"> SeaBreezeLover </t>
  </si>
  <si>
    <t xml:space="preserve"> #Rejuvenation #SeasideEscape            </t>
  </si>
  <si>
    <t xml:space="preserve"> Spain           </t>
  </si>
  <si>
    <t xml:space="preserve">Whispers of inspiration from the rustling leaves in a serene forest. </t>
  </si>
  <si>
    <t xml:space="preserve"> Inspiration </t>
  </si>
  <si>
    <t xml:space="preserve"> ForestDreamer   </t>
  </si>
  <si>
    <t xml:space="preserve"> #Inspiration #ForestWhispers            </t>
  </si>
  <si>
    <t xml:space="preserve"> Portugal        </t>
  </si>
  <si>
    <t xml:space="preserve">Savoring the warmth of a cup of cocoa on a chilly winter evening.   </t>
  </si>
  <si>
    <t xml:space="preserve"> Coziness     </t>
  </si>
  <si>
    <t xml:space="preserve"> #Coziness #WarmWinterEvening           </t>
  </si>
  <si>
    <t xml:space="preserve"> Switzerland     </t>
  </si>
  <si>
    <t xml:space="preserve">Heartfelt gratitude for the laughter shared during a family reunion. </t>
  </si>
  <si>
    <t xml:space="preserve"> Gratitude  </t>
  </si>
  <si>
    <t xml:space="preserve"> FamilyGatherer </t>
  </si>
  <si>
    <t xml:space="preserve"> #Gratitude #FamilyLaughter              </t>
  </si>
  <si>
    <t xml:space="preserve"> Austria         </t>
  </si>
  <si>
    <t xml:space="preserve">Embarking on a culinary adventure, savoring exotic flavors around the world. </t>
  </si>
  <si>
    <t xml:space="preserve"> Adventure </t>
  </si>
  <si>
    <t xml:space="preserve"> CulinaryExplorer </t>
  </si>
  <si>
    <t xml:space="preserve"> #Adventure #CulinaryJourney             </t>
  </si>
  <si>
    <t xml:space="preserve"> Belgium         </t>
  </si>
  <si>
    <t xml:space="preserve">Euphoria floods in as the final puzzle piece clicks into place.       </t>
  </si>
  <si>
    <t xml:space="preserve"> Euphoria   </t>
  </si>
  <si>
    <t xml:space="preserve"> PuzzleSolver    </t>
  </si>
  <si>
    <t xml:space="preserve"> #Euphoria #PuzzleCompletion            </t>
  </si>
  <si>
    <t xml:space="preserve"> Denmark         </t>
  </si>
  <si>
    <t xml:space="preserve">Awe-inspired by the grandeur of an ancient cathedral's intricate architecture. </t>
  </si>
  <si>
    <t xml:space="preserve"> Awe    </t>
  </si>
  <si>
    <t xml:space="preserve"> CathedralVisitor </t>
  </si>
  <si>
    <t xml:space="preserve"> #Awe #ArchitecturalGrandeur            </t>
  </si>
  <si>
    <t xml:space="preserve"> Czech Republic  </t>
  </si>
  <si>
    <t xml:space="preserve">Captivated by the ethereal beauty of a field filled with fireflies. </t>
  </si>
  <si>
    <t xml:space="preserve"> #Enchantment #FireflyField              </t>
  </si>
  <si>
    <t xml:space="preserve">Immersed in the enchanting melodies of a street musician's violin. </t>
  </si>
  <si>
    <t xml:space="preserve"> Melodic       </t>
  </si>
  <si>
    <t xml:space="preserve"> MusicLover      </t>
  </si>
  <si>
    <t xml:space="preserve"> #Melodic #StreetMusic                   </t>
  </si>
  <si>
    <t xml:space="preserve">Joyful laughter resonates through a lively summer carnival.         </t>
  </si>
  <si>
    <t xml:space="preserve"> FestiveJoy    </t>
  </si>
  <si>
    <t xml:space="preserve"> CarnivalGoer    </t>
  </si>
  <si>
    <t xml:space="preserve"> #FestiveJoy #SummerCarnival             </t>
  </si>
  <si>
    <t xml:space="preserve">Exploring the universe within during a mindful meditation session. </t>
  </si>
  <si>
    <t xml:space="preserve"> InnerJourney  </t>
  </si>
  <si>
    <t xml:space="preserve"> MindfulExplorer </t>
  </si>
  <si>
    <t xml:space="preserve"> #InnerJourney #MeditationBliss          </t>
  </si>
  <si>
    <t xml:space="preserve">Soaring like a free spirit on the winds of a coastal cliff.        </t>
  </si>
  <si>
    <t xml:space="preserve"> Freedom       </t>
  </si>
  <si>
    <t xml:space="preserve"> CoastalExplorer </t>
  </si>
  <si>
    <t xml:space="preserve"> #Freedom #CoastalAdventure              </t>
  </si>
  <si>
    <t xml:space="preserve">Dazzled by the elegance of a masquerade ball's dazzling costumes. </t>
  </si>
  <si>
    <t xml:space="preserve"> Dazzle        </t>
  </si>
  <si>
    <t xml:space="preserve"> MasqueradeAttendee </t>
  </si>
  <si>
    <t xml:space="preserve"> #Dazzle #MasqueradeElegance            </t>
  </si>
  <si>
    <t xml:space="preserve">Whimsical delight in a world of whimsical fairy tales.             </t>
  </si>
  <si>
    <t xml:space="preserve"> FairyTaleAdventurer </t>
  </si>
  <si>
    <t xml:space="preserve"> #Whimsy #FairyTaleMagic                 </t>
  </si>
  <si>
    <t xml:space="preserve">Reflective contemplation amid the ruins of a forgotten era.        </t>
  </si>
  <si>
    <t xml:space="preserve"> #Reflection #ForgottenEra               </t>
  </si>
  <si>
    <t xml:space="preserve">Riding the adrenaline rush on a rollercoaster's wild twists.      </t>
  </si>
  <si>
    <t xml:space="preserve"> Adrenaline     </t>
  </si>
  <si>
    <t xml:space="preserve"> ThrillSeeker    </t>
  </si>
  <si>
    <t xml:space="preserve"> #Adrenaline #RollercoasterThrills      </t>
  </si>
  <si>
    <t xml:space="preserve">Harmony resonates as musicians play a symphony of unity.           </t>
  </si>
  <si>
    <t xml:space="preserve"> Harmony       </t>
  </si>
  <si>
    <t xml:space="preserve">A burst of artistic creativity in the quietude of an artist's studio. </t>
  </si>
  <si>
    <t xml:space="preserve"> ArtisticBurst </t>
  </si>
  <si>
    <t xml:space="preserve"> #ArtisticBurst #StudioCreativity       </t>
  </si>
  <si>
    <t xml:space="preserve">Radiant joy akin to blossoming flowers on a sunlit spring morning. </t>
  </si>
  <si>
    <t xml:space="preserve"> Radiance      </t>
  </si>
  <si>
    <t xml:space="preserve">Awe-inspired by the vastness of the cosmos on a stargazing night.   </t>
  </si>
  <si>
    <t xml:space="preserve"> Wonder       </t>
  </si>
  <si>
    <t xml:space="preserve"> Inspiration  </t>
  </si>
  <si>
    <t xml:space="preserve">Embarking on a culinary odyssey, savoring flavors around the world. </t>
  </si>
  <si>
    <t xml:space="preserve"> CulinaryOdyssey </t>
  </si>
  <si>
    <t xml:space="preserve"> #CulinaryOdyssey #FlavorsAroundTheWorld </t>
  </si>
  <si>
    <t xml:space="preserve">Euphoria floods in as the final puzzle piece fits perfectly.       </t>
  </si>
  <si>
    <t xml:space="preserve"> Euphoria     </t>
  </si>
  <si>
    <t xml:space="preserve"> #Euphoria #PerfectPuzzle               </t>
  </si>
  <si>
    <t xml:space="preserve">Awe-struck by the grandeur of an ancient cathedral's intricate architecture. </t>
  </si>
  <si>
    <t xml:space="preserve">Curiosity awakened by the mysteries of an ancient archaeological site. </t>
  </si>
  <si>
    <t xml:space="preserve"> Curiosity  </t>
  </si>
  <si>
    <t xml:space="preserve"> #Curiosity #AncientMysteries          </t>
  </si>
  <si>
    <t xml:space="preserve">Giddy with excitement as the first snowflakes dance from the sky. </t>
  </si>
  <si>
    <t xml:space="preserve"> SnowfallEnthusiast </t>
  </si>
  <si>
    <t xml:space="preserve"> #Excitement #SnowfallMagic             </t>
  </si>
  <si>
    <t xml:space="preserve"> Canada         </t>
  </si>
  <si>
    <t xml:space="preserve">Contentment envelops as the aroma of freshly baked bread fills the air. </t>
  </si>
  <si>
    <t xml:space="preserve"> BreadLover     </t>
  </si>
  <si>
    <t xml:space="preserve"> #Contentment #FreshBreadAroma          </t>
  </si>
  <si>
    <t xml:space="preserve"> France          </t>
  </si>
  <si>
    <t xml:space="preserve">Inspired by the resilience of a lone tree standing tall in a storm. </t>
  </si>
  <si>
    <t xml:space="preserve"> Resilience   </t>
  </si>
  <si>
    <t xml:space="preserve"> NatureResilient </t>
  </si>
  <si>
    <t xml:space="preserve"> #Resilience #StandingTall              </t>
  </si>
  <si>
    <t xml:space="preserve">Lost in the pages of a captivating novel, transported to another world. </t>
  </si>
  <si>
    <t xml:space="preserve"> Immersion </t>
  </si>
  <si>
    <t xml:space="preserve"> Bookworm       </t>
  </si>
  <si>
    <t xml:space="preserve"> #Immersion #CaptivatingNovel           </t>
  </si>
  <si>
    <t xml:space="preserve"> UK              </t>
  </si>
  <si>
    <t xml:space="preserve">Drenched in nostalgia while flipping through an old family photo album. </t>
  </si>
  <si>
    <t xml:space="preserve"> Nostalgia </t>
  </si>
  <si>
    <t xml:space="preserve"> FamilyHistorian </t>
  </si>
  <si>
    <t xml:space="preserve"> #Nostalgia #FamilyPhotoAlbum           </t>
  </si>
  <si>
    <t xml:space="preserve"> India          </t>
  </si>
  <si>
    <t xml:space="preserve">Spark of inspiration ignites like a shooting star in the night sky. </t>
  </si>
  <si>
    <t xml:space="preserve"> Spark        </t>
  </si>
  <si>
    <t xml:space="preserve"> NightSkyWatcher </t>
  </si>
  <si>
    <t xml:space="preserve"> #Spark #InspirationIgnited             </t>
  </si>
  <si>
    <t xml:space="preserve"> Australia      </t>
  </si>
  <si>
    <t xml:space="preserve">Imbued with gratitude for the simple pleasure of a warm cup of tea. </t>
  </si>
  <si>
    <t xml:space="preserve"> Gratitude    </t>
  </si>
  <si>
    <t xml:space="preserve"> TeaEnthusiast  </t>
  </si>
  <si>
    <t xml:space="preserve"> #Gratitude #WarmTea                    </t>
  </si>
  <si>
    <t xml:space="preserve"> Japan           </t>
  </si>
  <si>
    <t xml:space="preserve">Marveling at the kaleidoscope of colors in a vibrant street market. </t>
  </si>
  <si>
    <t xml:space="preserve"> Marvel       </t>
  </si>
  <si>
    <t xml:space="preserve"> MarketExplorer </t>
  </si>
  <si>
    <t xml:space="preserve"> #Marvel #ColorfulStreetMarket          </t>
  </si>
  <si>
    <t xml:space="preserve"> Brazil          </t>
  </si>
  <si>
    <t xml:space="preserve">Awash with serenity as the sun sets over a tranquil lakeside retreat. </t>
  </si>
  <si>
    <t xml:space="preserve"> Serenity   </t>
  </si>
  <si>
    <t xml:space="preserve"> LakesideRetreater </t>
  </si>
  <si>
    <t xml:space="preserve"> #Serenity #TranquilSunset              </t>
  </si>
  <si>
    <t xml:space="preserve"> Germany       </t>
  </si>
  <si>
    <t xml:space="preserve">Drowning in sorrow as memories of lost love resurface.            </t>
  </si>
  <si>
    <t xml:space="preserve"> Heartbreak    </t>
  </si>
  <si>
    <t xml:space="preserve"> LostInLove      </t>
  </si>
  <si>
    <t xml:space="preserve"> #Heartbreak #LostLove                    </t>
  </si>
  <si>
    <t xml:space="preserve">Numbness sets in as the weight of loneliness grows heavier.       </t>
  </si>
  <si>
    <t xml:space="preserve"> Loneliness    </t>
  </si>
  <si>
    <t xml:space="preserve"> SolitudeSeeker </t>
  </si>
  <si>
    <t xml:space="preserve"> #Loneliness #HeavyHeart                  </t>
  </si>
  <si>
    <t xml:space="preserve">Tears fall like raindrops, mourning the end of a cherished friendship. </t>
  </si>
  <si>
    <t xml:space="preserve"> Grief      </t>
  </si>
  <si>
    <t xml:space="preserve"> FriendshipsEnd  </t>
  </si>
  <si>
    <t xml:space="preserve"> #Grief #LostFriendship                  </t>
  </si>
  <si>
    <t xml:space="preserve">Despair clouds the mind, feeling adrift in an endless sea of darkness. </t>
  </si>
  <si>
    <t xml:space="preserve"> Despair   </t>
  </si>
  <si>
    <t xml:space="preserve"> LostInDarkness  </t>
  </si>
  <si>
    <t xml:space="preserve"> #Despair #EndlessDarkness               </t>
  </si>
  <si>
    <t xml:space="preserve"> Australia        </t>
  </si>
  <si>
    <t xml:space="preserve">Shattered by betrayal, trust crumbles like fragile glass.          </t>
  </si>
  <si>
    <t xml:space="preserve"> Betrayal      </t>
  </si>
  <si>
    <t xml:space="preserve"> BrokenTrust     </t>
  </si>
  <si>
    <t xml:space="preserve"> #Betrayal #ShatteredTrust               </t>
  </si>
  <si>
    <t xml:space="preserve">Aching heart, the symphony of pain plays in the silence of solitude. </t>
  </si>
  <si>
    <t xml:space="preserve"> Suffering </t>
  </si>
  <si>
    <t xml:space="preserve"> SilentSufferer  </t>
  </si>
  <si>
    <t xml:space="preserve"> #Suffering #HeartacheSymphony          </t>
  </si>
  <si>
    <t xml:space="preserve">Emotional storm, a whirlwind of sadness engulfs every thought.    </t>
  </si>
  <si>
    <t xml:space="preserve"> EmotionalStorm </t>
  </si>
  <si>
    <t xml:space="preserve"> StormyFeelings  </t>
  </si>
  <si>
    <t xml:space="preserve"> #EmotionalStorm #SadnessWhirlwind      </t>
  </si>
  <si>
    <t xml:space="preserve">Haunted by regrets, the ghost of the past lingers relentlessly.   </t>
  </si>
  <si>
    <t xml:space="preserve"> Regret        </t>
  </si>
  <si>
    <t xml:space="preserve"> LingeringGhost  </t>
  </si>
  <si>
    <t xml:space="preserve"> #Regret #HauntedPast                    </t>
  </si>
  <si>
    <t xml:space="preserve"> France         </t>
  </si>
  <si>
    <t xml:space="preserve">Torn apart by grief, the echoes of loss reverberate through the soul. </t>
  </si>
  <si>
    <t xml:space="preserve"> EchoesOfLoss    </t>
  </si>
  <si>
    <t xml:space="preserve"> #Grief #TornApart                       </t>
  </si>
  <si>
    <t xml:space="preserve"> Italy         </t>
  </si>
  <si>
    <t xml:space="preserve">Isolation deepens, an emotional winter where warmth is but a distant memory. </t>
  </si>
  <si>
    <t xml:space="preserve"> Isolation </t>
  </si>
  <si>
    <t xml:space="preserve"> WinterOfEmotions </t>
  </si>
  <si>
    <t xml:space="preserve"> #Isolation #EmotionalWinter            </t>
  </si>
  <si>
    <t xml:space="preserve"> Japan       </t>
  </si>
  <si>
    <t xml:space="preserve">Soul-crushing disappointment, hopes shattered like fragile glass. </t>
  </si>
  <si>
    <t xml:space="preserve"> Disappointment </t>
  </si>
  <si>
    <t xml:space="preserve"> ShatteredHopes  </t>
  </si>
  <si>
    <t xml:space="preserve"> #Disappointment #CrushedHopes          </t>
  </si>
  <si>
    <t xml:space="preserve"> Spain        </t>
  </si>
  <si>
    <t xml:space="preserve">Painful echoes of a love once cherished, now lost in the abyss of time. </t>
  </si>
  <si>
    <t xml:space="preserve"> LostLove </t>
  </si>
  <si>
    <t xml:space="preserve"> AbyssOfTime     </t>
  </si>
  <si>
    <t xml:space="preserve"> #LostLove #PainfulEchoes               </t>
  </si>
  <si>
    <t xml:space="preserve"> Netherlands  </t>
  </si>
  <si>
    <t xml:space="preserve">Heartache deepens, a solitary journey through the abyss of despair. </t>
  </si>
  <si>
    <t xml:space="preserve"> SolitaryDescent </t>
  </si>
  <si>
    <t xml:space="preserve"> #Despair #AbyssOfHeartache             </t>
  </si>
  <si>
    <t xml:space="preserve"> South Africa </t>
  </si>
  <si>
    <t xml:space="preserve">Melancholy lingers, a bittersweet serenade in the quietude of solitude. </t>
  </si>
  <si>
    <t xml:space="preserve"> Melancholy </t>
  </si>
  <si>
    <t xml:space="preserve"> SerenadeOfSolitude </t>
  </si>
  <si>
    <t xml:space="preserve"> #Melancholy #QuietSerenade             </t>
  </si>
  <si>
    <t xml:space="preserve">Bitterness like a poison, seeping into every crevice of the wounded heart. </t>
  </si>
  <si>
    <t xml:space="preserve"> PoisonedHeart   </t>
  </si>
  <si>
    <t xml:space="preserve"> #Bitterness #WoundedHeart              </t>
  </si>
  <si>
    <t xml:space="preserve">Emotional exhaustion, the weight of the world crushing weary shoulders. </t>
  </si>
  <si>
    <t xml:space="preserve"> Exhaustion </t>
  </si>
  <si>
    <t xml:space="preserve"> WearySoulCrushed </t>
  </si>
  <si>
    <t xml:space="preserve"> #Exhaustion #CrushedSpirit             </t>
  </si>
  <si>
    <t xml:space="preserve">Sorrowful echoes, a symphony of pain played by the strings of loss. </t>
  </si>
  <si>
    <t xml:space="preserve"> Sorrow      </t>
  </si>
  <si>
    <t xml:space="preserve"> StringsOfSorrow </t>
  </si>
  <si>
    <t xml:space="preserve"> #Sorrow #SymphonyOfLoss                </t>
  </si>
  <si>
    <t xml:space="preserve"> Germany     </t>
  </si>
  <si>
    <t xml:space="preserve">Darkness descends, engulfing the soul in the shadows of despair.  </t>
  </si>
  <si>
    <t xml:space="preserve"> Darkness     </t>
  </si>
  <si>
    <t xml:space="preserve"> SoulInShadow    </t>
  </si>
  <si>
    <t xml:space="preserve"> #Darkness #SoulEngulfed                 </t>
  </si>
  <si>
    <t xml:space="preserve"> USA         </t>
  </si>
  <si>
    <t xml:space="preserve">Desperation whispers, the silent plea for a glimmer of hope in the abyss. </t>
  </si>
  <si>
    <t xml:space="preserve"> Desperation </t>
  </si>
  <si>
    <t xml:space="preserve"> WhisperedDespair </t>
  </si>
  <si>
    <t xml:space="preserve"> #Desperation #GlimmerOfHope            </t>
  </si>
  <si>
    <t xml:space="preserve"> France    </t>
  </si>
  <si>
    <t xml:space="preserve">Heart in ruins, the remnants of shattered dreams scattered in the wind. </t>
  </si>
  <si>
    <t xml:space="preserve"> Ruins      </t>
  </si>
  <si>
    <t xml:space="preserve"> DreamsInWind    </t>
  </si>
  <si>
    <t xml:space="preserve"> #Ruins #ShatteredDreams                </t>
  </si>
  <si>
    <t xml:space="preserve"> Brazil     </t>
  </si>
  <si>
    <t xml:space="preserve">Shattered by the echoes of a shattered dream, fragments of hope scattered. </t>
  </si>
  <si>
    <t xml:space="preserve"> Desolation </t>
  </si>
  <si>
    <t xml:space="preserve"> DreamEchoes </t>
  </si>
  <si>
    <t xml:space="preserve"> #Desolation #ScatteredHope </t>
  </si>
  <si>
    <t xml:space="preserve">Avoiding the thorns of regret, walking barefoot on the path of remorse. </t>
  </si>
  <si>
    <t xml:space="preserve"> Regret </t>
  </si>
  <si>
    <t xml:space="preserve"> RemorseWalker </t>
  </si>
  <si>
    <t xml:space="preserve"> #Regret #PathOfRemorse </t>
  </si>
  <si>
    <t xml:space="preserve">In the labyrinth of grief, the walls echo with the footsteps of lost joy. </t>
  </si>
  <si>
    <t xml:space="preserve"> Grief </t>
  </si>
  <si>
    <t xml:space="preserve"> JoyLabyrinth </t>
  </si>
  <si>
    <t xml:space="preserve"> #Grief #LostJoyFootsteps </t>
  </si>
  <si>
    <t xml:space="preserve">A soul adrift in the sea of solitude, waves of loneliness crashing relentlessly. </t>
  </si>
  <si>
    <t xml:space="preserve"> SolitudeSeas </t>
  </si>
  <si>
    <t xml:space="preserve"> #Loneliness #CrashingWaves </t>
  </si>
  <si>
    <t xml:space="preserve">The bitterness of betrayal, a taste that lingers, staining the palate of trust. </t>
  </si>
  <si>
    <t xml:space="preserve"> PalateStainer </t>
  </si>
  <si>
    <t xml:space="preserve"> #Bitterness #StainedTrust </t>
  </si>
  <si>
    <t xml:space="preserve"> Germany </t>
  </si>
  <si>
    <t xml:space="preserve">In the ruins of hope, echoes of shattered dreams whisper tales of loss. </t>
  </si>
  <si>
    <t xml:space="preserve"> HopeRuins </t>
  </si>
  <si>
    <t xml:space="preserve"> #Desolation #WhisperedLoss </t>
  </si>
  <si>
    <t xml:space="preserve"> Brazil </t>
  </si>
  <si>
    <t xml:space="preserve">Sinking like a stone in the ocean of heartbreak, each ripple a sigh of despair. </t>
  </si>
  <si>
    <t xml:space="preserve"> Heartbreak </t>
  </si>
  <si>
    <t xml:space="preserve"> OceanSinker </t>
  </si>
  <si>
    <t xml:space="preserve"> #Heartbreak #RippleOfDespair </t>
  </si>
  <si>
    <t xml:space="preserve"> France </t>
  </si>
  <si>
    <t xml:space="preserve">Tears, the ink staining the pages of a journal, a testament to silent grief. </t>
  </si>
  <si>
    <t xml:space="preserve"> InkJournalist </t>
  </si>
  <si>
    <t xml:space="preserve"> #Grief #SilentTears </t>
  </si>
  <si>
    <t xml:space="preserve">In the wasteland of lost trust, the echoes of broken promises reverberate. </t>
  </si>
  <si>
    <t xml:space="preserve"> Betrayal </t>
  </si>
  <si>
    <t xml:space="preserve"> TrustWasteland </t>
  </si>
  <si>
    <t xml:space="preserve"> #Betrayal #ReverberatingPromises </t>
  </si>
  <si>
    <t xml:space="preserve"> Italy </t>
  </si>
  <si>
    <t xml:space="preserve">Avoiding the shards of shattered dreams, walking the tightrope of resilience. </t>
  </si>
  <si>
    <t xml:space="preserve"> Resilience </t>
  </si>
  <si>
    <t xml:space="preserve"> DreamTightrope </t>
  </si>
  <si>
    <t xml:space="preserve"> #Resilience #TightropeWalk </t>
  </si>
  <si>
    <t xml:space="preserve"> Japan </t>
  </si>
  <si>
    <t xml:space="preserve">Suffocating in the silence of solitude, where echoes of laughter once thrived. </t>
  </si>
  <si>
    <t xml:space="preserve"> EchoedLaughter </t>
  </si>
  <si>
    <t xml:space="preserve"> #Isolation #SilentSolitude </t>
  </si>
  <si>
    <t xml:space="preserve">Haunted by the specter of lost possibilities, a ghost that refuses to fade away. </t>
  </si>
  <si>
    <t xml:space="preserve"> PossibilityGhost </t>
  </si>
  <si>
    <t xml:space="preserve"> #Regret #FadingPossibilities </t>
  </si>
  <si>
    <t xml:space="preserve"> Spain </t>
  </si>
  <si>
    <t xml:space="preserve">In the labyrinth of despair, the echoes of a broken heart reverberate endlessly. </t>
  </si>
  <si>
    <t xml:space="preserve"> EndlessLabyrinth </t>
  </si>
  <si>
    <t xml:space="preserve"> #Despair #EndlessReverberation </t>
  </si>
  <si>
    <t xml:space="preserve">Sinking like autumn leaves in the river of sorrow, carried away by the current. </t>
  </si>
  <si>
    <t xml:space="preserve"> Sorrow </t>
  </si>
  <si>
    <t xml:space="preserve"> RiverOfSorrow </t>
  </si>
  <si>
    <t xml:space="preserve"> #Sorrow #AutumnLeaves </t>
  </si>
  <si>
    <t xml:space="preserve">In the garden of broken dreams, petals fall, a silent testimony to shattered hopes. </t>
  </si>
  <si>
    <t xml:space="preserve"> DreamGardener </t>
  </si>
  <si>
    <t xml:space="preserve"> #Desolation #ShatteredHopes </t>
  </si>
  <si>
    <t xml:space="preserve">Tears, the currency of grief, spent in the marketplace of lost love and longing. </t>
  </si>
  <si>
    <t xml:space="preserve"> CurrencyOfTears </t>
  </si>
  <si>
    <t xml:space="preserve"> #Grief #LostLoveLonging </t>
  </si>
  <si>
    <t xml:space="preserve">Wandering in the maze of betrayal, the walls closing in with every wrong turn. </t>
  </si>
  <si>
    <t xml:space="preserve"> MazeWanderer </t>
  </si>
  <si>
    <t xml:space="preserve"> #Betrayal #ClosingWalls </t>
  </si>
  <si>
    <t xml:space="preserve">A soul weathered by the storm of heartbreak, seeking refuge in the calm after. </t>
  </si>
  <si>
    <t xml:space="preserve"> StormSeeker </t>
  </si>
  <si>
    <t xml:space="preserve"> #Heartbreak #CalmAfterStorm </t>
  </si>
  <si>
    <t xml:space="preserve">In the tapestry of despair, threads of hope unravel, leaving a portrait of sorrow. </t>
  </si>
  <si>
    <t xml:space="preserve"> TapestrySorrow </t>
  </si>
  <si>
    <t xml:space="preserve"> #Despair #UnraveledHope </t>
  </si>
  <si>
    <t xml:space="preserve">Like a withered rose in the garden of love, petals fall, a silent surrender to time. </t>
  </si>
  <si>
    <t xml:space="preserve"> Loss </t>
  </si>
  <si>
    <t xml:space="preserve"> WitheredRose </t>
  </si>
  <si>
    <t xml:space="preserve"> #Loss #SilentSurrender </t>
  </si>
  <si>
    <t xml:space="preserve">In the void of heartache, echoes of a love song play, each note a pang of longing. </t>
  </si>
  <si>
    <t xml:space="preserve"> Heartache </t>
  </si>
  <si>
    <t xml:space="preserve"> LoveSongEcho </t>
  </si>
  <si>
    <t xml:space="preserve"> #Heartache #LoveSongLonging </t>
  </si>
  <si>
    <t xml:space="preserve">Nostalgia, a bittersweet dance in the moonlit ballroom of cherished memories. </t>
  </si>
  <si>
    <t xml:space="preserve"> MoonlitMemories </t>
  </si>
  <si>
    <t xml:space="preserve"> #Nostalgia #CherishedMemories </t>
  </si>
  <si>
    <t xml:space="preserve">In the symphony of grief, each tear is a note, composing a melancholic melody. </t>
  </si>
  <si>
    <t xml:space="preserve"> SymphonyOfTears </t>
  </si>
  <si>
    <t xml:space="preserve"> #Grief #MelancholicMelody </t>
  </si>
  <si>
    <t xml:space="preserve">Betrayal, a venomous serpent slithering through the garden of trust, poisoning roots. </t>
  </si>
  <si>
    <t xml:space="preserve"> VenomousGarden </t>
  </si>
  <si>
    <t xml:space="preserve"> #Betrayal #PoisonedTrust </t>
  </si>
  <si>
    <t xml:space="preserve">Sinking in the quicksand of despair, the harder you fight, the deeper you descend. </t>
  </si>
  <si>
    <t xml:space="preserve"> QuicksandFighter </t>
  </si>
  <si>
    <t xml:space="preserve"> #Despair #DeepDescent </t>
  </si>
  <si>
    <t xml:space="preserve">Wandering through the cemetery of lost dreams, tombstones marking untold sorrows. </t>
  </si>
  <si>
    <t xml:space="preserve"> DreamCemetery </t>
  </si>
  <si>
    <t xml:space="preserve"> #Desolation #UntoldSorrows </t>
  </si>
  <si>
    <t xml:space="preserve">Swept away by the river of regret, the currents of the past refusing to release. </t>
  </si>
  <si>
    <t xml:space="preserve"> RegretRiver </t>
  </si>
  <si>
    <t xml:space="preserve"> #Regret #PastCurrents </t>
  </si>
  <si>
    <t xml:space="preserve">Whispers of lost love linger in the attic of the heart, forgotten but not erased. </t>
  </si>
  <si>
    <t xml:space="preserve"> HeartAttic </t>
  </si>
  <si>
    <t xml:space="preserve"> #Loss #ForgottenLove </t>
  </si>
  <si>
    <t xml:space="preserve">In the gallery of broken promises, each shattered vow framed, a painful exhibition. </t>
  </si>
  <si>
    <t xml:space="preserve"> PromiseGallery </t>
  </si>
  <si>
    <t xml:space="preserve"> #Betrayal #ShatteredVows </t>
  </si>
  <si>
    <t xml:space="preserve">The echoes of solitude, a silent conversation between a soul and its shadows. </t>
  </si>
  <si>
    <t xml:space="preserve"> Solitude </t>
  </si>
  <si>
    <t xml:space="preserve"> EchoedConversation </t>
  </si>
  <si>
    <t xml:space="preserve"> #Solitude #ShadowConversation </t>
  </si>
  <si>
    <t xml:space="preserve">Dancing on sunshine, each step a celebration of the joy found in simple moments. </t>
  </si>
  <si>
    <t xml:space="preserve"> Joy </t>
  </si>
  <si>
    <t xml:space="preserve"> SunshineDancer </t>
  </si>
  <si>
    <t xml:space="preserve"> #Joy #SimpleMoments </t>
  </si>
  <si>
    <t xml:space="preserve">Laughter echoes in the air, a chorus of happiness that lifts the spirit higher. </t>
  </si>
  <si>
    <t xml:space="preserve"> Happiness </t>
  </si>
  <si>
    <t xml:space="preserve"> #Happiness #SpiritLifter </t>
  </si>
  <si>
    <t xml:space="preserve">In the garden of contentment, each bloom whispers tales of inner peace and joy. </t>
  </si>
  <si>
    <t xml:space="preserve"> GardenOfJoy </t>
  </si>
  <si>
    <t xml:space="preserve"> #Contentment #InnerPeace </t>
  </si>
  <si>
    <t xml:space="preserve">Chasing dreams under the vibrant sky, a journey fueled by hope and enthusiasm. </t>
  </si>
  <si>
    <t xml:space="preserve"> Enthusiasm </t>
  </si>
  <si>
    <t xml:space="preserve"> DreamChaser </t>
  </si>
  <si>
    <t xml:space="preserve"> #Enthusiasm #HopefulJourney </t>
  </si>
  <si>
    <t xml:space="preserve">Serenading the stars with a heart full of gratitude, a melody of thankfulness. </t>
  </si>
  <si>
    <t xml:space="preserve"> Gratitude </t>
  </si>
  <si>
    <t xml:space="preserve"> StarSerenader </t>
  </si>
  <si>
    <t xml:space="preserve"> #Gratitude #ThankfulMelody </t>
  </si>
  <si>
    <t xml:space="preserve">Basking in the glow of accomplishment, each milestone a stepping stone to happiness. </t>
  </si>
  <si>
    <t xml:space="preserve"> GlowAchiever </t>
  </si>
  <si>
    <t xml:space="preserve"> #Accomplishment #HappinessMilestone </t>
  </si>
  <si>
    <t xml:space="preserve">In the dance of positivity, every step is a rhythm, uplifting the soul in harmony. </t>
  </si>
  <si>
    <t xml:space="preserve"> Positivity </t>
  </si>
  <si>
    <t xml:space="preserve"> DanceHarmony </t>
  </si>
  <si>
    <t xml:space="preserve"> #Positivity #SoulUpliftment </t>
  </si>
  <si>
    <t xml:space="preserve">Overflowing with joy, a cup of laughter shared with friends, a moment cherished. </t>
  </si>
  <si>
    <t xml:space="preserve"> LaughterCup </t>
  </si>
  <si>
    <t xml:space="preserve"> #Joy #CherishedMoment </t>
  </si>
  <si>
    <t xml:space="preserve">Draped in the warmth of kindness, a quilt of compassion stitched with love. </t>
  </si>
  <si>
    <t xml:space="preserve"> Kindness </t>
  </si>
  <si>
    <t xml:space="preserve"> QuiltedCompassion </t>
  </si>
  <si>
    <t xml:space="preserve"> #Kindness #LoveStitches </t>
  </si>
  <si>
    <t xml:space="preserve">In the garden of friendships, each bloom a testament to the beauty of camaraderie. </t>
  </si>
  <si>
    <t xml:space="preserve"> Friendship </t>
  </si>
  <si>
    <t xml:space="preserve"> FriendshipGarden </t>
  </si>
  <si>
    <t xml:space="preserve"> #Friendship #CamaraderieBlooms </t>
  </si>
  <si>
    <t xml:space="preserve">In the embrace of love, each heartbeat is a melody, dancing to the rhythm of affection. </t>
  </si>
  <si>
    <t xml:space="preserve"> Love </t>
  </si>
  <si>
    <t xml:space="preserve"> MelodyOfLove </t>
  </si>
  <si>
    <t xml:space="preserve"> #Love #RhythmOfAffection </t>
  </si>
  <si>
    <t xml:space="preserve">Surrounded by the colors of joy, a canvas painted with laughter and endless smiles. </t>
  </si>
  <si>
    <t xml:space="preserve"> ColorfulLaughter </t>
  </si>
  <si>
    <t xml:space="preserve"> #Joy #EndlessSmiles </t>
  </si>
  <si>
    <t xml:space="preserve">In the symphony of excitement, each note is a burst of energy, igniting the soul with fervor. </t>
  </si>
  <si>
    <t xml:space="preserve"> SymphonyFervor </t>
  </si>
  <si>
    <t xml:space="preserve"> #Excitement #IgnitedSoul </t>
  </si>
  <si>
    <t xml:space="preserve">A surprise gift, wrapped in anticipation, unfolds a moment of delight and wonder. </t>
  </si>
  <si>
    <t xml:space="preserve"> Surprise </t>
  </si>
  <si>
    <t xml:space="preserve"> WrappedDelight </t>
  </si>
  <si>
    <t xml:space="preserve"> #Surprise #WonderfulMoment </t>
  </si>
  <si>
    <t xml:space="preserve">Lost in the maze of curiosity, each twist and turn unveils the treasures of discovery. </t>
  </si>
  <si>
    <t xml:space="preserve"> MazeDiscovery </t>
  </si>
  <si>
    <t xml:space="preserve"> #Curiosity #TreasuresOfDiscovery </t>
  </si>
  <si>
    <t xml:space="preserve">Floating on clouds of gratitude, each raindrop a blessing, a shower of thankfulness. </t>
  </si>
  <si>
    <t xml:space="preserve"> CloudsOfBlessings </t>
  </si>
  <si>
    <t xml:space="preserve"> #Gratitude #ShowerOfThankfulness </t>
  </si>
  <si>
    <t xml:space="preserve">Like a comet of inspiration, streaking through the sky of creativity, leaving trails of brilliance. </t>
  </si>
  <si>
    <t xml:space="preserve"> CometCreativity </t>
  </si>
  <si>
    <t xml:space="preserve"> #Inspiration #BrilliantTrails </t>
  </si>
  <si>
    <t xml:space="preserve">In the celebration of success, fireworks of accomplishment light up the night sky of triumph. </t>
  </si>
  <si>
    <t xml:space="preserve"> Success </t>
  </si>
  <si>
    <t xml:space="preserve"> FireworksTriumph </t>
  </si>
  <si>
    <t xml:space="preserve"> #Success #NightSkyTriumph </t>
  </si>
  <si>
    <t xml:space="preserve">A symphony of laughter, each note a key to unlocking the door of boundless happiness. </t>
  </si>
  <si>
    <t xml:space="preserve"> LaughterSymphony </t>
  </si>
  <si>
    <t xml:space="preserve"> #Happiness #BoundlessLaughter </t>
  </si>
  <si>
    <t xml:space="preserve">In the carnival of emotions, the rollercoaster of thrill sends the heart on a wild ride. </t>
  </si>
  <si>
    <t xml:space="preserve"> Thrill </t>
  </si>
  <si>
    <t xml:space="preserve"> EmotionCarnival </t>
  </si>
  <si>
    <t xml:space="preserve"> #Thrill #WildHeartRide </t>
  </si>
  <si>
    <t xml:space="preserve">Standing before the grandeur of the Eiffel Tower, a moment to reflect on the beauty of Parisian dreams. </t>
  </si>
  <si>
    <t xml:space="preserve"> Reflection </t>
  </si>
  <si>
    <t xml:space="preserve"> ParisDreamer </t>
  </si>
  <si>
    <t xml:space="preserve"> #Reflection #ParisianDreams </t>
  </si>
  <si>
    <t xml:space="preserve">Lost in the enchantment of Disneyland, each ride a journey into the realm of childhood fantasies. </t>
  </si>
  <si>
    <t xml:space="preserve"> Enchantment </t>
  </si>
  <si>
    <t xml:space="preserve"> DisneylandExplorer </t>
  </si>
  <si>
    <t xml:space="preserve"> #Enchantment #ChildhoodFantasies </t>
  </si>
  <si>
    <t xml:space="preserve">Exploring the wonders of Ferrari World, the roar of engines creating a symphony of speed. </t>
  </si>
  <si>
    <t xml:space="preserve"> FerrariSpeedster </t>
  </si>
  <si>
    <t xml:space="preserve"> #Excitement #SymphonyOfSpeed </t>
  </si>
  <si>
    <t xml:space="preserve">Amidst the tulip fields of Keukenhof, a tapestry of colors that paints the soul with springtime joy. </t>
  </si>
  <si>
    <t xml:space="preserve"> KeukenhofAdventurer </t>
  </si>
  <si>
    <t xml:space="preserve"> #Joy #SpringtimeColors </t>
  </si>
  <si>
    <t xml:space="preserve"> Netherlands </t>
  </si>
  <si>
    <t xml:space="preserve">Wandering through the historical streets of Kyoto, each step a journey into the heart of Japan's traditions. </t>
  </si>
  <si>
    <t xml:space="preserve"> Exploration </t>
  </si>
  <si>
    <t xml:space="preserve"> KyotoAdventurer </t>
  </si>
  <si>
    <t xml:space="preserve"> #Exploration #JapaneseTraditions </t>
  </si>
  <si>
    <t xml:space="preserve">In the embrace of the Grand Canyon, nature's masterpiece, a moment to marvel at Earth's grandeur. </t>
  </si>
  <si>
    <t xml:space="preserve"> Awe </t>
  </si>
  <si>
    <t xml:space="preserve"> CanyonMarveler </t>
  </si>
  <si>
    <t xml:space="preserve"> #Awe #EarthsGrandeur </t>
  </si>
  <si>
    <t xml:space="preserve">Journeying through the serenity of Santorini, where each sunset paints the sky with hues of tranquility. </t>
  </si>
  <si>
    <t xml:space="preserve"> SantoriniTraveler </t>
  </si>
  <si>
    <t xml:space="preserve"> #Serenity #SunsetHues </t>
  </si>
  <si>
    <t xml:space="preserve"> Greece </t>
  </si>
  <si>
    <t xml:space="preserve">Amazed by the architectural marvels of Petra, each stone telling tales of an ancient civilization. </t>
  </si>
  <si>
    <t xml:space="preserve"> Amazement </t>
  </si>
  <si>
    <t xml:space="preserve"> PetraExplorer </t>
  </si>
  <si>
    <t xml:space="preserve"> #Amazement #AncientTales </t>
  </si>
  <si>
    <t xml:space="preserve"> Jordan </t>
  </si>
  <si>
    <t xml:space="preserve">Embarking on a gondola ride in Venice, each canal reflecting the romance of this timeless city. </t>
  </si>
  <si>
    <t xml:space="preserve"> Romance </t>
  </si>
  <si>
    <t xml:space="preserve"> VeniceRomantic </t>
  </si>
  <si>
    <t xml:space="preserve"> #Romance #TimelessCity </t>
  </si>
  <si>
    <t xml:space="preserve">At the summit of Machu Picchu, a breathtaking panorama that whispers the secrets of ancient civilizations. </t>
  </si>
  <si>
    <t xml:space="preserve"> MachuPicchuAdventurer </t>
  </si>
  <si>
    <t xml:space="preserve"> #Awe #AncientCivilizations </t>
  </si>
  <si>
    <t xml:space="preserve"> Peru </t>
  </si>
  <si>
    <t xml:space="preserve">In the heart of New York City, Times Square dazzles with lights, a vibrant spectacle of urban energy. </t>
  </si>
  <si>
    <t xml:space="preserve"> TimesSquareExplorer </t>
  </si>
  <si>
    <t xml:space="preserve"> #Excitement #UrbanEnergy </t>
  </si>
  <si>
    <t xml:space="preserve">Captivated by the historical charm of the Colosseum, each stone echoing tales of gladiator valor. </t>
  </si>
  <si>
    <t xml:space="preserve"> Captivation </t>
  </si>
  <si>
    <t xml:space="preserve"> ColosseumAdventurer </t>
  </si>
  <si>
    <t xml:space="preserve"> #Captivation #GladiatorTales </t>
  </si>
  <si>
    <t xml:space="preserve">Sailing the azure waters of the Maldives, each wave a whisper of serenity in paradise. </t>
  </si>
  <si>
    <t xml:space="preserve"> MaldivesSailor </t>
  </si>
  <si>
    <t xml:space="preserve"> #Serenity #ParadiseWhispers </t>
  </si>
  <si>
    <t xml:space="preserve"> Maldives </t>
  </si>
  <si>
    <t xml:space="preserve">In the midst of the Amazon rainforest, a symphony of wildlife creates an orchestra of nature's wonders. </t>
  </si>
  <si>
    <t xml:space="preserve"> Wonder </t>
  </si>
  <si>
    <t xml:space="preserve"> AmazonExplorer </t>
  </si>
  <si>
    <t xml:space="preserve"> #Wonder #NatureOrchestra </t>
  </si>
  <si>
    <t xml:space="preserve">Walking the Great Wall of China, each step a testament to ancient engineering marvels. </t>
  </si>
  <si>
    <t xml:space="preserve"> GreatWallWalker </t>
  </si>
  <si>
    <t xml:space="preserve"> #Awe #EngineeringMarvels </t>
  </si>
  <si>
    <t xml:space="preserve"> China </t>
  </si>
  <si>
    <t xml:space="preserve">At the summit of Mount Fuji, a breathtaking sunrise that paints the sky with hues of accomplishment. </t>
  </si>
  <si>
    <t xml:space="preserve"> FujiSummitAchiever </t>
  </si>
  <si>
    <t xml:space="preserve"> #Accomplishment #SunriseHues </t>
  </si>
  <si>
    <t xml:space="preserve">Exploring the ancient ruins of Angkor Wat, each stone whispering stories of Khmer civilization. </t>
  </si>
  <si>
    <t xml:space="preserve"> AngkorWatAdventurer </t>
  </si>
  <si>
    <t xml:space="preserve"> #Exploration #KhmerStories </t>
  </si>
  <si>
    <t xml:space="preserve"> Cambodia </t>
  </si>
  <si>
    <t xml:space="preserve">Skiing down the slopes of the Swiss Alps, each turn a dance with the majesty of snow-capped peaks. </t>
  </si>
  <si>
    <t xml:space="preserve"> AlpsSkiAdventurer </t>
  </si>
  <si>
    <t xml:space="preserve"> #Adventure #SnowPeakDance </t>
  </si>
  <si>
    <t xml:space="preserve"> Switzerland </t>
  </si>
  <si>
    <t xml:space="preserve">In the tranquility of Kyoto's bamboo forest, whispers of ancient Zen wisdom echo through the groves. </t>
  </si>
  <si>
    <t xml:space="preserve"> Tranquility </t>
  </si>
  <si>
    <t xml:space="preserve"> KyotoBambooSeeker </t>
  </si>
  <si>
    <t xml:space="preserve"> #Tranquility #ZenWisdom </t>
  </si>
  <si>
    <t xml:space="preserve">Cruising the fjords of Norway, each icy landscape a breathtaking masterpiece of nature's grandeur. </t>
  </si>
  <si>
    <t xml:space="preserve"> Grandeur </t>
  </si>
  <si>
    <t xml:space="preserve"> NorwayFjordExplorer </t>
  </si>
  <si>
    <t xml:space="preserve"> #Grandeur #IcyMasterpiece </t>
  </si>
  <si>
    <t xml:space="preserve"> Norway </t>
  </si>
  <si>
    <t xml:space="preserve">At the front row of Adele's concert, each note of 'Someone Like You' resonates with soul-stirring emotion. </t>
  </si>
  <si>
    <t xml:space="preserve"> Emotion </t>
  </si>
  <si>
    <t xml:space="preserve"> AdeleConcertGoer </t>
  </si>
  <si>
    <t xml:space="preserve"> #Emotion #AdeleConcert </t>
  </si>
  <si>
    <t xml:space="preserve">Dancing under the stars at Beyonc√©'s live show, feeling the power of 'Single Ladies' in every move. </t>
  </si>
  <si>
    <t xml:space="preserve"> Energy </t>
  </si>
  <si>
    <t xml:space="preserve"> BeyonceDancer </t>
  </si>
  <si>
    <t xml:space="preserve"> #Energy #BeyonceConcert </t>
  </si>
  <si>
    <t xml:space="preserve">In the crowd of a Taylor Swift concert, the lyrics of 'Love Story' create an enchanting fairy tale. </t>
  </si>
  <si>
    <t xml:space="preserve"> SwiftieDreamer </t>
  </si>
  <si>
    <t xml:space="preserve"> #Enchantment #TaylorSwift </t>
  </si>
  <si>
    <t xml:space="preserve">Rocking out to the guitar solos at a Queen tribute concert, a journey back in time with Freddie's spirit. </t>
  </si>
  <si>
    <t xml:space="preserve"> QueenTributeFan </t>
  </si>
  <si>
    <t xml:space="preserve"> #Nostalgia #QueenTribute </t>
  </si>
  <si>
    <t xml:space="preserve">Swaying to Ed Sheeran's acoustic melodies, a serene evening filled with 'Perfect' moments. </t>
  </si>
  <si>
    <t xml:space="preserve"> SheeranMelodyLover </t>
  </si>
  <si>
    <t xml:space="preserve"> #Serenity #EdSheeranConcert </t>
  </si>
  <si>
    <t xml:space="preserve">Immersed in the pulsating beats of a Bruno Mars concert, where 'Uptown Funk' becomes a city of joy. </t>
  </si>
  <si>
    <t xml:space="preserve"> MarsJoyExplorer </t>
  </si>
  <si>
    <t xml:space="preserve"> #Joy #BrunoMars </t>
  </si>
  <si>
    <t xml:space="preserve">At a Michael Jackson tribute show, moonwalking through the hits, a celebration of the King of Pop. </t>
  </si>
  <si>
    <t xml:space="preserve"> Celebration </t>
  </si>
  <si>
    <t xml:space="preserve"> MJTributeDancer </t>
  </si>
  <si>
    <t xml:space="preserve"> #Celebration #MJTribute </t>
  </si>
  <si>
    <t xml:space="preserve">Swinging to the rhythms of a Frank Sinatra tribute, feeling the timeless charm of 'Fly Me to the Moon'. </t>
  </si>
  <si>
    <t xml:space="preserve"> Charm </t>
  </si>
  <si>
    <t xml:space="preserve"> SinatraCharmListener </t>
  </si>
  <si>
    <t xml:space="preserve"> #Charm #SinatraTribute </t>
  </si>
  <si>
    <t xml:space="preserve">In the mosh pit of a Metallica concert, the thunderous chords create a symphony of headbanging ecstasy. </t>
  </si>
  <si>
    <t xml:space="preserve"> Ecstasy </t>
  </si>
  <si>
    <t xml:space="preserve"> MetallicaMoshWarrior </t>
  </si>
  <si>
    <t xml:space="preserve"> #Ecstasy #MetallicaConcert </t>
  </si>
  <si>
    <t xml:space="preserve">Experiencing the magic of a Coldplay concert, where 'Fix You' becomes a beacon of hope in the night. </t>
  </si>
  <si>
    <t xml:space="preserve"> Hope </t>
  </si>
  <si>
    <t xml:space="preserve"> ColdplayHopeSeeker </t>
  </si>
  <si>
    <t xml:space="preserve"> #Hope #ColdplayMagic </t>
  </si>
  <si>
    <t xml:space="preserve">At a Justin Bieber concert, the infectious beats of 'Baby' create a dance floor of unbridled enthusiasm. </t>
  </si>
  <si>
    <t xml:space="preserve"> BieberDanceEnthusiast </t>
  </si>
  <si>
    <t xml:space="preserve"> #Enthusiasm #JustinBieber </t>
  </si>
  <si>
    <t xml:space="preserve">In the spotlight at a Lady Gaga show, each costume change is a metamorphosis of creativity and artistry. </t>
  </si>
  <si>
    <t xml:space="preserve"> Creativity </t>
  </si>
  <si>
    <t xml:space="preserve"> GagaArtisticChameleon </t>
  </si>
  <si>
    <t xml:space="preserve"> #Creativity #LadyGaga </t>
  </si>
  <si>
    <t xml:space="preserve">Immersed in the soulful melodies of Adele, tears flow freely, moved by the emotion of 'Hello'. </t>
  </si>
  <si>
    <t xml:space="preserve"> AdeleMelodyTearjerker </t>
  </si>
  <si>
    <t xml:space="preserve"> #Emotion #AdeleMelodies </t>
  </si>
  <si>
    <t xml:space="preserve">Drenched in confetti at a Katy Perry concert, a kaleidoscope of colors igniting the night sky. </t>
  </si>
  <si>
    <t xml:space="preserve"> Colorful </t>
  </si>
  <si>
    <t xml:space="preserve"> KatyPerryColorExplosion </t>
  </si>
  <si>
    <t xml:space="preserve"> #Colorful #KatyPerry </t>
  </si>
  <si>
    <t xml:space="preserve">In the audience of a Jay-Z performance, the lyrics of 'Empire State of Mind' become an anthem of pride. </t>
  </si>
  <si>
    <t xml:space="preserve"> Pride </t>
  </si>
  <si>
    <t xml:space="preserve"> JayZEmpireListener </t>
  </si>
  <si>
    <t xml:space="preserve"> #Pride #JayZAnthem </t>
  </si>
  <si>
    <t xml:space="preserve">Dancing to Shakira's rhythmic beats, hips swaying to the hypnotic charm of 'Hips Don't Lie'. </t>
  </si>
  <si>
    <t xml:space="preserve"> Hypnotic </t>
  </si>
  <si>
    <t xml:space="preserve"> ShakiraHipsDancer </t>
  </si>
  <si>
    <t xml:space="preserve"> #Hypnotic #ShakiraRhythms </t>
  </si>
  <si>
    <t xml:space="preserve"> Colombia </t>
  </si>
  <si>
    <t xml:space="preserve">At a U2 concert, the anthemic chords of 'With or Without You' create a timeless moment of connection. </t>
  </si>
  <si>
    <t xml:space="preserve"> Connection </t>
  </si>
  <si>
    <t xml:space="preserve"> U2ConnectionSeeker </t>
  </si>
  <si>
    <t xml:space="preserve"> #Connection #U2Anthem </t>
  </si>
  <si>
    <t xml:space="preserve"> Ireland </t>
  </si>
  <si>
    <t xml:space="preserve">Rocking out at a Guns N' Roses show, the iconic riffs of 'Sweet Child o' Mine' echoing in the night. </t>
  </si>
  <si>
    <t xml:space="preserve"> Iconic </t>
  </si>
  <si>
    <t xml:space="preserve"> GunsNRosesRiffRockstar </t>
  </si>
  <si>
    <t xml:space="preserve"> #Iconic #GNRConcert </t>
  </si>
  <si>
    <t xml:space="preserve">In the crowd of an Ariana Grande concert, the high notes of 'Into You' create a euphoric symphony. </t>
  </si>
  <si>
    <t xml:space="preserve"> Euphoria </t>
  </si>
  <si>
    <t xml:space="preserve"> ArianaEuphoriaChaser </t>
  </si>
  <si>
    <t xml:space="preserve"> #Euphoria #ArianaGrande </t>
  </si>
  <si>
    <t xml:space="preserve">Swaying to the reggae vibes of Bob Marley's tribute concert, each chord a journey to Jamaica's soul. </t>
  </si>
  <si>
    <t xml:space="preserve"> Journey </t>
  </si>
  <si>
    <t xml:space="preserve"> MarleyReggaeTraveler </t>
  </si>
  <si>
    <t xml:space="preserve"> #Journey #BobMarleyTribute </t>
  </si>
  <si>
    <t xml:space="preserve"> Jamaica </t>
  </si>
  <si>
    <t xml:space="preserve">Captivated by the spellbinding plot twists, the audience applauds, experiencing a rollercoaster of emotions at the movie premiere. </t>
  </si>
  <si>
    <t xml:space="preserve"> MovieEnthusiastPremiereAttendee </t>
  </si>
  <si>
    <t xml:space="preserve"> #Excitement #MoviePremiereThrills </t>
  </si>
  <si>
    <t xml:space="preserve">As the credits roll, a profound sense of nostalgia washes over, reminiscent of cherished moments in classic films. </t>
  </si>
  <si>
    <t xml:space="preserve"> FilmLoverNostalgiaSeeker </t>
  </si>
  <si>
    <t xml:space="preserve"> #Nostalgia #ClassicFilmMoments </t>
  </si>
  <si>
    <t xml:space="preserve">Streaming the latest web series, the viewer is engrossed in the characters' journey, feeling a sense of connection and empathy. </t>
  </si>
  <si>
    <t xml:space="preserve"> Engagement </t>
  </si>
  <si>
    <t xml:space="preserve"> WebSeriesViewerCharacterConnection </t>
  </si>
  <si>
    <t xml:space="preserve"> #Engagement #WebSeriesJourney </t>
  </si>
  <si>
    <t xml:space="preserve">At the film festival, the indie filmmaker's creation receives a standing ovation, evoking pride and a sense of accomplishment. </t>
  </si>
  <si>
    <t xml:space="preserve"> IndieFilmmakerFestivalSuccess </t>
  </si>
  <si>
    <t xml:space="preserve"> #Pride #IndieFilmSuccess </t>
  </si>
  <si>
    <t xml:space="preserve">Watching a heartwarming family drama, tears flow freely as the characters overcome challenges, leaving the viewer with a warm glow. </t>
  </si>
  <si>
    <t xml:space="preserve"> Touched </t>
  </si>
  <si>
    <t xml:space="preserve"> DramaEnthusiastHeartwarmingMoments </t>
  </si>
  <si>
    <t xml:space="preserve"> #Touched #FamilyDramaMoments </t>
  </si>
  <si>
    <t xml:space="preserve">At the Oscars, the actor graciously accepts an award, radiating joy and gratitude for the recognition of their outstanding performance. </t>
  </si>
  <si>
    <t xml:space="preserve"> AwardWinningActorOscarsRecipient </t>
  </si>
  <si>
    <t xml:space="preserve"> #Gratitude #OscarWinningMoment </t>
  </si>
  <si>
    <t xml:space="preserve">Discovering a hidden gem in the world of documentaries, the viewer is enlightened and inspired, feeling a renewed sense of curiosity. </t>
  </si>
  <si>
    <t xml:space="preserve"> DocumentaryEnthusiastHiddenGemFinder </t>
  </si>
  <si>
    <t xml:space="preserve"> #Inspiration #HiddenGemDiscovery </t>
  </si>
  <si>
    <t xml:space="preserve">As the movie credits roll, the viewer experiences a mix of awe and contemplation, pondering the deeper meanings woven into the storyline. </t>
  </si>
  <si>
    <t xml:space="preserve"> FilmBuffContemplativeViewer </t>
  </si>
  <si>
    <t xml:space="preserve"> #Contemplation #DeepMeanings </t>
  </si>
  <si>
    <t xml:space="preserve">Binge-watching a thrilling crime series, the suspense keeps the viewer on the edge of their seat, creating a rush of adrenaline. </t>
  </si>
  <si>
    <t xml:space="preserve"> Suspense </t>
  </si>
  <si>
    <t xml:space="preserve"> CrimeSeriesEnthusiastThrillSeeker </t>
  </si>
  <si>
    <t xml:space="preserve"> #Suspense #CrimeSeriesThrills </t>
  </si>
  <si>
    <t xml:space="preserve">As the closing scene unfolds, a sense of satisfaction washes over, completing the cinematic journey with a profound and fulfilling ending. </t>
  </si>
  <si>
    <t xml:space="preserve"> Satisfaction </t>
  </si>
  <si>
    <t xml:space="preserve"> FilmCriticSatisfactionSeeker </t>
  </si>
  <si>
    <t xml:space="preserve"> #Satisfaction #FulfillingEnding </t>
  </si>
  <si>
    <t xml:space="preserve">Celebrating a historic victory in the World Cup, the nation erupts in joy, united by the triumph of their football team. </t>
  </si>
  <si>
    <t xml:space="preserve"> FootballFanWorldCupCelebration </t>
  </si>
  <si>
    <t xml:space="preserve"> #Joy #WorldCupTriumph </t>
  </si>
  <si>
    <t xml:space="preserve">At the Olympics, the athlete's perseverance shines through, earning a gold medal and inspiring a generation with their remarkable achievement. </t>
  </si>
  <si>
    <t xml:space="preserve"> OlympicsEnthusiastGoldMedalWinner </t>
  </si>
  <si>
    <t xml:space="preserve"> #Inspiration #OlympicAchievement </t>
  </si>
  <si>
    <t xml:space="preserve">In the cricket championship, a nail-biting finish leaves fans on the edge of their seats, experiencing a rollercoaster of emotions. </t>
  </si>
  <si>
    <t xml:space="preserve"> CricketFanChampionshipThrills </t>
  </si>
  <si>
    <t xml:space="preserve"> #Excitement #CricketChampionship </t>
  </si>
  <si>
    <t xml:space="preserve">Witnessing a record-breaking marathon, spectators are filled with awe and admiration for the endurance and dedication of the runners. </t>
  </si>
  <si>
    <t xml:space="preserve"> Admiration </t>
  </si>
  <si>
    <t xml:space="preserve"> MarathonSpectatorRecordBreaking </t>
  </si>
  <si>
    <t xml:space="preserve"> #Admiration #MarathonRecords </t>
  </si>
  <si>
    <t xml:space="preserve"> Kenya </t>
  </si>
  <si>
    <t xml:space="preserve">In the tennis grand slam, a fierce rivalry unfolds, captivating fans with a display of skill and sportsmanship on the world stage. </t>
  </si>
  <si>
    <t xml:space="preserve"> TennisEnthusiastGrandSlamDrama </t>
  </si>
  <si>
    <t xml:space="preserve"> #Captivation #TennisRivalry </t>
  </si>
  <si>
    <t xml:space="preserve">Cheering for the underdog in the basketball finals, the crowd erupts in applause as the team defies odds to claim the championship title. </t>
  </si>
  <si>
    <t xml:space="preserve"> Triumph </t>
  </si>
  <si>
    <t xml:space="preserve"> BasketballFanUnderdogTriumph </t>
  </si>
  <si>
    <t xml:space="preserve"> #Triumph #BasketballFinals </t>
  </si>
  <si>
    <t xml:space="preserve">At the golf tournament, the golfer's precision and focus lead to a stunning victory, leaving spectators in awe of their exceptional skill. </t>
  </si>
  <si>
    <t xml:space="preserve"> GolfEnthusiastPrecisionVictory </t>
  </si>
  <si>
    <t xml:space="preserve"> #Awe #GolfVictory </t>
  </si>
  <si>
    <t xml:space="preserve"> Scotland </t>
  </si>
  <si>
    <t xml:space="preserve">Experiencing the thrill of a high-speed Formula 1 race, fans are on the edge of their seats as drivers compete for the championship. </t>
  </si>
  <si>
    <t xml:space="preserve"> F1FanHighSpeedRaceExcitement </t>
  </si>
  <si>
    <t xml:space="preserve"> #Thrill #Formula1Championship </t>
  </si>
  <si>
    <t xml:space="preserve">In the cycling world championship, the climber conquers challenging terrains, symbolizing determination and achievement against all odds. </t>
  </si>
  <si>
    <t xml:space="preserve"> CyclingEnthusiastWorldChampion </t>
  </si>
  <si>
    <t xml:space="preserve"> #Determination #CyclingChampion </t>
  </si>
  <si>
    <t xml:space="preserve">Witnessing a heartwarming comeback in the hockey finals, fans share tears of joy as the team secures a historic victory after adversity. </t>
  </si>
  <si>
    <t xml:space="preserve"> Heartwarming </t>
  </si>
  <si>
    <t xml:space="preserve"> HockeyFanComebackVictory </t>
  </si>
  <si>
    <t xml:space="preserve"> #Heartwarming #HockeyFinalsComeback </t>
  </si>
  <si>
    <t xml:space="preserve">After a series of defeats, the soccer team faces disappointment, struggling to find the silver lining in a challenging season. </t>
  </si>
  <si>
    <t xml:space="preserve"> SoccerFanTeamDefeats </t>
  </si>
  <si>
    <t xml:space="preserve"> #Disappointment #SoccerDefeats </t>
  </si>
  <si>
    <t xml:space="preserve">In the tennis tournament, a highly anticipated player experiences a setback, leaving fans in shock and questioning the unforeseen turn of events. </t>
  </si>
  <si>
    <t xml:space="preserve"> TennisEnthusiastUnexpectedSetback </t>
  </si>
  <si>
    <t xml:space="preserve"> #Frustration #TennisSetback </t>
  </si>
  <si>
    <t xml:space="preserve">Facing a defeat in the championship, the boxer reflects on the challenges, vowing to return stronger and more determined in the next bout. </t>
  </si>
  <si>
    <t xml:space="preserve"> BoxingFanChampionshipDefeat </t>
  </si>
  <si>
    <t xml:space="preserve"> #Reflection #BoxingDefeat </t>
  </si>
  <si>
    <t xml:space="preserve">In the midst of a cycling race, a tire blowout leads to frustration for the cyclist, who valiantly tries to overcome the unexpected obstacle. </t>
  </si>
  <si>
    <t xml:space="preserve"> Obstacle </t>
  </si>
  <si>
    <t xml:space="preserve"> CyclingEnthusiastTireBlowout </t>
  </si>
  <si>
    <t xml:space="preserve"> #Obstacle #CyclingFrustration </t>
  </si>
  <si>
    <t xml:space="preserve">The gymnast's unexpected fall during a routine sparks a wave of sympathy from the audience, highlighting the vulnerability of sports. </t>
  </si>
  <si>
    <t xml:space="preserve"> Sympathy </t>
  </si>
  <si>
    <t xml:space="preserve"> GymnasticsFanRoutineFall </t>
  </si>
  <si>
    <t xml:space="preserve"> #Sympathy #GymnasticsFall </t>
  </si>
  <si>
    <t xml:space="preserve">In the golf tournament, a missed crucial putt results in defeat, causing the golfer to reflect on the pressure of high-stakes competition. </t>
  </si>
  <si>
    <t xml:space="preserve"> Pressure </t>
  </si>
  <si>
    <t xml:space="preserve"> GolfEnthusiastMissedPutt </t>
  </si>
  <si>
    <t xml:space="preserve"> #Pressure #GolfDefeat </t>
  </si>
  <si>
    <t xml:space="preserve">Experiencing a series of losses in the basketball season, the team grapples with frustration, determined to turn the tide with renewed effort. </t>
  </si>
  <si>
    <t xml:space="preserve"> Renewed Effort </t>
  </si>
  <si>
    <t xml:space="preserve"> BasketballFanTeamLosses </t>
  </si>
  <si>
    <t xml:space="preserve"> #RenewedEffort #BasketballStruggles </t>
  </si>
  <si>
    <t xml:space="preserve">Despite meticulous training, the swimmer faces disappointment as a split-second miscalculation costs them the lead in a crucial race. </t>
  </si>
  <si>
    <t xml:space="preserve"> Miscalculation </t>
  </si>
  <si>
    <t xml:space="preserve"> SwimmingEnthusiastRaceSetback </t>
  </si>
  <si>
    <t xml:space="preserve"> #Miscalculation #SwimmingDisappointment </t>
  </si>
  <si>
    <t xml:space="preserve">The weightlifter's failed attempt at a personal record results in frustration, highlighting the challenging nature of pushing physical limits. </t>
  </si>
  <si>
    <t xml:space="preserve"> Challenge </t>
  </si>
  <si>
    <t xml:space="preserve"> WeightliftingFanFailedRecord </t>
  </si>
  <si>
    <t xml:space="preserve"> #Challenge #WeightliftingFailure </t>
  </si>
  <si>
    <t xml:space="preserve">In the midst of a soccer match, an unexpected own goal creates a moment of despair for the player, as teammates console and encourage them. </t>
  </si>
  <si>
    <t xml:space="preserve"> SoccerPlayerOwnGoalMoment </t>
  </si>
  <si>
    <t xml:space="preserve"> #Despair #OwnGoal </t>
  </si>
  <si>
    <t xml:space="preserve">In the serene beauty of a sunset, nature unfolds a canvas of colors, evoking a sense of tranquility and wonder. </t>
  </si>
  <si>
    <t xml:space="preserve"> NatureEnthusiastSunsetWonder </t>
  </si>
  <si>
    <t xml:space="preserve"> #Tranquility #SunsetBeauty </t>
  </si>
  <si>
    <t xml:space="preserve">Embarking on a spontaneous road trip, the traveler discovers hidden gems, creating memories that will be cherished for a lifetime. </t>
  </si>
  <si>
    <t xml:space="preserve"> TravelEnthusiastRoadTripDiscovery </t>
  </si>
  <si>
    <t xml:space="preserve"> #Adventure #RoadTripMemories </t>
  </si>
  <si>
    <t xml:space="preserve">Amidst the bustling city, a quiet caf√© becomes a sanctuary for reflection, where a cup of coffee brings solace to the wandering mind. </t>
  </si>
  <si>
    <t xml:space="preserve"> Solace </t>
  </si>
  <si>
    <t xml:space="preserve"> UrbanExplorerCafeSolitude </t>
  </si>
  <si>
    <t xml:space="preserve"> #Solace #CafeReflection </t>
  </si>
  <si>
    <t xml:space="preserve">Exploring the vibrant street art of a cultural neighborhood, each mural tells a story, infusing the city with creativity and expression. </t>
  </si>
  <si>
    <t xml:space="preserve"> ArtEnthusiastStreetArtExploration </t>
  </si>
  <si>
    <t xml:space="preserve"> #Creativity #StreetArtVibes </t>
  </si>
  <si>
    <t xml:space="preserve">In the world of science, a breakthrough discovery unfolds, pushing the boundaries of knowledge and opening new frontiers of exploration. </t>
  </si>
  <si>
    <t xml:space="preserve"> Breakthrough </t>
  </si>
  <si>
    <t xml:space="preserve"> ScienceEnthusiastDiscoveryMoment </t>
  </si>
  <si>
    <t xml:space="preserve"> #Breakthrough #ScientificDiscovery </t>
  </si>
  <si>
    <t xml:space="preserve">Connecting with the melody of a live orchestra, the music enthusiast experiences a symphony that resonates deep within the soul. </t>
  </si>
  <si>
    <t xml:space="preserve"> Harmony </t>
  </si>
  <si>
    <t xml:space="preserve"> MusicLoverLiveOrchestraExperience </t>
  </si>
  <si>
    <t xml:space="preserve"> #Harmony #OrchestraMelody </t>
  </si>
  <si>
    <t xml:space="preserve">Embracing the aroma of freshly baked bread, the home chef finds joy in the art of baking, creating delicious memories for loved ones. </t>
  </si>
  <si>
    <t xml:space="preserve"> Joy in Baking </t>
  </si>
  <si>
    <t xml:space="preserve"> HomeBakerDeliciousMemories </t>
  </si>
  <si>
    <t xml:space="preserve"> #JoyInBaking #HomemadeDelights </t>
  </si>
  <si>
    <t xml:space="preserve">Wandering through a historical museum, the history enthusiast becomes immersed in the tales of the past, envisioning bygone eras. </t>
  </si>
  <si>
    <t xml:space="preserve"> Envisioning History </t>
  </si>
  <si>
    <t xml:space="preserve"> HistoryBuffMuseumExploration </t>
  </si>
  <si>
    <t xml:space="preserve"> #EnvisioningHistory #MuseumTales </t>
  </si>
  <si>
    <t xml:space="preserve">In the realm of literature, a captivating novel transports the reader to distant lands, weaving a tapestry of imagination and escape. </t>
  </si>
  <si>
    <t xml:space="preserve"> Imagination </t>
  </si>
  <si>
    <t xml:space="preserve"> BookwormCaptivatingNovelEscape </t>
  </si>
  <si>
    <t xml:space="preserve"> #Imagination #LiteraryEscape </t>
  </si>
  <si>
    <t xml:space="preserve">Capturing the essence of a bustling market, the photographer freezes moments in time, each frame telling a unique and vibrant story. </t>
  </si>
  <si>
    <t xml:space="preserve"> Vibrancy </t>
  </si>
  <si>
    <t xml:space="preserve"> PhotographyEnthusiastMarketMoments </t>
  </si>
  <si>
    <t xml:space="preserve"> #Vibrancy #MarketStories </t>
  </si>
  <si>
    <t xml:space="preserve">Underneath the city lights, the dancer expresses emotions through graceful movements, creating a mesmerizing performance under the night sky. </t>
  </si>
  <si>
    <t xml:space="preserve"> Mesmerizing </t>
  </si>
  <si>
    <t xml:space="preserve"> DanceEnthusiastCityNightPerformance </t>
  </si>
  <si>
    <t xml:space="preserve"> #Mesmerizing #NightDancePerformance </t>
  </si>
  <si>
    <t xml:space="preserve">In the heart of a bustling market, the street food connoisseur indulges in a culinary adventure, savoring diverse flavors and aromas. </t>
  </si>
  <si>
    <t xml:space="preserve"> Culinary Adventure </t>
  </si>
  <si>
    <t xml:space="preserve"> FoodieMarketStreetFoodExploration </t>
  </si>
  <si>
    <t xml:space="preserve"> #CulinaryAdventure #StreetFoodDelights </t>
  </si>
  <si>
    <t xml:space="preserve"> Thailand </t>
  </si>
  <si>
    <t xml:space="preserve">As the first snowflake descends, the winter enthusiast eagerly prepares for a season of frosty delights, anticipating the magic of snow-covered landscapes. </t>
  </si>
  <si>
    <t xml:space="preserve"> Winter Magic </t>
  </si>
  <si>
    <t xml:space="preserve"> SnowLoverWinterEnthusiast </t>
  </si>
  <si>
    <t xml:space="preserve"> #WinterMagic #SnowyLandscapes </t>
  </si>
  <si>
    <t xml:space="preserve">Amidst the pages of a captivating mystery novel, the reader unravels clues and secrets, experiencing a thrilling journey of suspense and revelation. </t>
  </si>
  <si>
    <t xml:space="preserve"> Thrilling Journey </t>
  </si>
  <si>
    <t xml:space="preserve"> MysteryBookwormSuspensefulRead </t>
  </si>
  <si>
    <t xml:space="preserve"> #ThrillingJourney #MysteryNovel </t>
  </si>
  <si>
    <t xml:space="preserve">Surrounded by the vibrant colors of a flower garden, the gardener nurtures blossoms, finding joy in the beauty of nature's ever-changing canvas. </t>
  </si>
  <si>
    <t xml:space="preserve"> Nature's Beauty </t>
  </si>
  <si>
    <t xml:space="preserve"> GardeningEnthusiastFlowerGarden </t>
  </si>
  <si>
    <t xml:space="preserve"> #NaturesBeauty #FloralJoy </t>
  </si>
  <si>
    <t xml:space="preserve">At the astronomy observatory, the stargazer marvels at the vastness of the cosmos, contemplating the mysteries hidden within the celestial expanse. </t>
  </si>
  <si>
    <t xml:space="preserve"> Celestial Wonder </t>
  </si>
  <si>
    <t xml:space="preserve"> AstronomyEnthusiastStargazing </t>
  </si>
  <si>
    <t xml:space="preserve"> #CelestialWonder #Stargazing </t>
  </si>
  <si>
    <t xml:space="preserve">Engulfed in the aroma of freshly brewed coffee, the writer finds inspiration in every sip, embarking on a journey of creativity and prose. </t>
  </si>
  <si>
    <t xml:space="preserve"> Creative Inspiration </t>
  </si>
  <si>
    <t xml:space="preserve"> CoffeeLoverWritersRetreat </t>
  </si>
  <si>
    <t xml:space="preserve"> #CreativeInspiration #CoffeeJourney </t>
  </si>
  <si>
    <t xml:space="preserve">In the realm of fashion, the designer unveils a collection that tells a story, blending innovation and tradition on the runway of creativity. </t>
  </si>
  <si>
    <t xml:space="preserve"> Runway Creativity </t>
  </si>
  <si>
    <t xml:space="preserve"> FashionEnthusiastDesignerShowcase </t>
  </si>
  <si>
    <t xml:space="preserve"> #RunwayCreativity #FashionInnovation </t>
  </si>
  <si>
    <t xml:space="preserve">As the waves crash against the shore, the surfer embraces the thrill of riding the ocean's energy, capturing the essence of freedom in each wave. </t>
  </si>
  <si>
    <t xml:space="preserve"> Ocean's Freedom </t>
  </si>
  <si>
    <t xml:space="preserve"> SurfingEnthusiastWaveRider </t>
  </si>
  <si>
    <t xml:space="preserve"> #OceansFreedom #SurfingThrills </t>
  </si>
  <si>
    <t xml:space="preserve">Exploring the historical architecture of an ancient city, the traveler is transported to a bygone era, where each monument whispers tales of the past. </t>
  </si>
  <si>
    <t xml:space="preserve"> Whispers of the Past </t>
  </si>
  <si>
    <t xml:space="preserve"> HistoryExplorerAncientCityTour </t>
  </si>
  <si>
    <t xml:space="preserve"> #WhispersOfThePast #HistoricalTour </t>
  </si>
  <si>
    <t xml:space="preserve">Successfully avoided eye contact with my crush in the hallway. Mission accomplished. #TeenCrush #StealthMode </t>
  </si>
  <si>
    <t xml:space="preserve"> CrushAvoider </t>
  </si>
  <si>
    <t xml:space="preserve"> #CrushStruggles #AvoidingEyeContact </t>
  </si>
  <si>
    <t xml:space="preserve"> USA</t>
  </si>
  <si>
    <t xml:space="preserve">Ran out of snacks during a movie marathon. Crisis level: Emergency! #MovieNightStruggles #TeenProblems </t>
  </si>
  <si>
    <t xml:space="preserve"> Boredom </t>
  </si>
  <si>
    <t xml:space="preserve"> MovieBuff </t>
  </si>
  <si>
    <t xml:space="preserve"> #SnackCrisis #TeenLife </t>
  </si>
  <si>
    <t xml:space="preserve"> Canada</t>
  </si>
  <si>
    <t xml:space="preserve">Spent an hour choosing the perfect filter for a selfie. The struggle for that Instagram aesthetic is real. #SelfieQueen #TeenVibes </t>
  </si>
  <si>
    <t xml:space="preserve"> SelfieAddict </t>
  </si>
  <si>
    <t xml:space="preserve"> #SelfieStruggle #TeenConfessions </t>
  </si>
  <si>
    <t xml:space="preserve"> UK</t>
  </si>
  <si>
    <t xml:space="preserve">Lost my headphones again. How do they vanish into thin air? #HeadphoneMystery #TeenLife </t>
  </si>
  <si>
    <t xml:space="preserve"> AudioExplorer </t>
  </si>
  <si>
    <t xml:space="preserve"> #TeenProblems #LostHeadphones </t>
  </si>
  <si>
    <t xml:space="preserve">Decided to study for exams but ended up making memes about studying instead. Procrastination level: Expert. #ProcrastinationNation #TeenConfessions </t>
  </si>
  <si>
    <t xml:space="preserve"> MemeCreator </t>
  </si>
  <si>
    <t xml:space="preserve"> #StudyingMemes #TeenLife </t>
  </si>
  <si>
    <t xml:space="preserve">Got dressed for the day, then remembered it's Saturday. Oops. #WeekendVibes #TeenStruggles </t>
  </si>
  <si>
    <t xml:space="preserve"> Indifference </t>
  </si>
  <si>
    <t xml:space="preserve"> FashionBlunder </t>
  </si>
  <si>
    <t xml:space="preserve"> #WeekendOops #TeenFashion </t>
  </si>
  <si>
    <t xml:space="preserve">Survived a group project without any drama. Miracles do happen. #GroupProjectSuccess #TeenAchievements </t>
  </si>
  <si>
    <t xml:space="preserve"> GroupGenius </t>
  </si>
  <si>
    <t xml:space="preserve"> #TeenSuccess #ProjectMiracle </t>
  </si>
  <si>
    <t xml:space="preserve">Entered the kitchen with the intention to cook. Left with a bag of chips. Cooking is overrated, anyway. #MasterChefInTraining #TeenHumor </t>
  </si>
  <si>
    <t xml:space="preserve"> Disgust </t>
  </si>
  <si>
    <t xml:space="preserve"> ChipExplorer </t>
  </si>
  <si>
    <t xml:space="preserve"> #TeenChef #CookingFail </t>
  </si>
  <si>
    <t xml:space="preserve">Staring at the clock in class, waiting for the bell to ring like it's the most exciting event of the day. #ClassCountdown #TeenLife </t>
  </si>
  <si>
    <t xml:space="preserve"> ExcitementSeeker </t>
  </si>
  <si>
    <t xml:space="preserve"> #ClassEvent #TeenExcitement </t>
  </si>
  <si>
    <t xml:space="preserve">Discovered a new book series and spent the whole night reading. Who needs sleep, anyway? #BookwormLife #LateNightReading </t>
  </si>
  <si>
    <t xml:space="preserve"> NightReader </t>
  </si>
  <si>
    <t xml:space="preserve"> #BookDiscoveries #TeenReading </t>
  </si>
  <si>
    <t xml:space="preserve">Bought a new video game, played for hours, forgot to eat. The ultimate gaming session. #GamerLife #NoFoodGaming </t>
  </si>
  <si>
    <t xml:space="preserve"> GamingEnthusiast </t>
  </si>
  <si>
    <t xml:space="preserve"> #GameOn #TeenGamer </t>
  </si>
  <si>
    <t xml:space="preserve">Spent the day binge-watching a new series. Productivity level: Zero. #LazyDay #TVSeriesMarathon </t>
  </si>
  <si>
    <t xml:space="preserve"> LazyWatcher </t>
  </si>
  <si>
    <t xml:space="preserve"> #BingeWatchDay #TeenLife </t>
  </si>
  <si>
    <t xml:space="preserve">Caught up on the latest fashion trends and now planning a shopping spree. #Fashionista #TrendyTeen </t>
  </si>
  <si>
    <t xml:space="preserve"> TrendExplorer </t>
  </si>
  <si>
    <t xml:space="preserve"> #FashionGoals #TeenStyle </t>
  </si>
  <si>
    <t xml:space="preserve">Decided to learn a new instrument. Day one: Still trying to figure out how to hold it. #MusicNovice #LearningJourney </t>
  </si>
  <si>
    <t xml:space="preserve"> MusicalExplorer </t>
  </si>
  <si>
    <t xml:space="preserve"> #InstrumentLearning #TeenMusic </t>
  </si>
  <si>
    <t xml:space="preserve">Spent hours creating the perfect playlist for every mood. Music is my therapy. #PlaylistMaker #TeenMusicLover </t>
  </si>
  <si>
    <t xml:space="preserve"> MusicAficionado </t>
  </si>
  <si>
    <t xml:space="preserve"> #MusicTherapy #TeenPlaylist </t>
  </si>
  <si>
    <t xml:space="preserve">Successfully cooked a gourmet meal for the family. Chef skills unlocked! #ChefMode #TeenChef </t>
  </si>
  <si>
    <t xml:space="preserve"> HomeChef </t>
  </si>
  <si>
    <t xml:space="preserve"> #CookingSuccess #TeenCook </t>
  </si>
  <si>
    <t xml:space="preserve">Spontaneously booked a weekend getaway. Adventure awaits! #TravelBug #WeekendEscape </t>
  </si>
  <si>
    <t xml:space="preserve"> AdventureSeeker </t>
  </si>
  <si>
    <t xml:space="preserve"> #GetawayGoals #TeenTravel </t>
  </si>
  <si>
    <t xml:space="preserve">Attended a concert and danced the night away. Music is the heartbeat of life. #ConcertVibes #DanceAllNight </t>
  </si>
  <si>
    <t xml:space="preserve"> #MusicMagic #TeenConcert </t>
  </si>
  <si>
    <t xml:space="preserve">Rediscovered childhood cartoons and had a nostalgia-filled marathon. #CartoonNostalgia #TeenMemories </t>
  </si>
  <si>
    <t xml:space="preserve"> NostalgiaExplorer </t>
  </si>
  <si>
    <t xml:space="preserve"> #ChildhoodMemories #TeenCartoons </t>
  </si>
  <si>
    <t xml:space="preserve">Embarked on a DIY home decor project. Let's hope it turns out better than last time. #DIYAdventure #TeenHomeDecor </t>
  </si>
  <si>
    <t xml:space="preserve"> HomeDecorator </t>
  </si>
  <si>
    <t xml:space="preserve"> #DIYGoals #TeenCreative </t>
  </si>
  <si>
    <t xml:space="preserve">Spent the afternoon at a museum, pretending to be cultured. Art enthusiast in the making. #MuseumDay #TeenArtLover </t>
  </si>
  <si>
    <t xml:space="preserve"> ArtExplorer </t>
  </si>
  <si>
    <t xml:space="preserve"> #CulturalDay #TeenCuriosity </t>
  </si>
  <si>
    <t xml:space="preserve">Started a blog about random thoughts and musings. Blogging is the new diary. #BloggerLife #TeenBlogger </t>
  </si>
  <si>
    <t xml:space="preserve"> ThoughtfulBlogger </t>
  </si>
  <si>
    <t xml:space="preserve"> #BloggingJourney #TeenThoughts </t>
  </si>
  <si>
    <t xml:space="preserve">Relishing a peaceful afternoon with a classic novel. Quiet moments are the best moments. #BookLover #PeacefulAfternoon </t>
  </si>
  <si>
    <t xml:space="preserve"> NovelEnthusiast </t>
  </si>
  <si>
    <t xml:space="preserve"> #QuietMoments #BookishEscape </t>
  </si>
  <si>
    <t xml:space="preserve">Reflecting on a lifetime of memories, each wrinkle tells a story. Embracing the beauty of aging. #LifeReflections #BeautyInAging </t>
  </si>
  <si>
    <t xml:space="preserve"> WiseSoul </t>
  </si>
  <si>
    <t xml:space="preserve"> #AgingGracefully #Memories </t>
  </si>
  <si>
    <t xml:space="preserve">Exploring the world of digital art. It's never too late to discover new passions. #DigitalArtistry #LateBloomer </t>
  </si>
  <si>
    <t xml:space="preserve"> ArtAdventurer </t>
  </si>
  <si>
    <t xml:space="preserve"> #ArtDiscovery #SeniorArtist </t>
  </si>
  <si>
    <t xml:space="preserve">Savoring the flavors of a home-cooked meal. Simple joys are the heart of happiness. #HomeCooking #SimpleJoys </t>
  </si>
  <si>
    <t xml:space="preserve"> HomeChefSenior </t>
  </si>
  <si>
    <t xml:space="preserve"> #HappinessInFood #SeniorLife </t>
  </si>
  <si>
    <t xml:space="preserve">Embarking on a journey of learning a new language. The mind stays young with every new word. #LanguageLearning #NeverTooLate </t>
  </si>
  <si>
    <t xml:space="preserve"> LinguisticExplorer </t>
  </si>
  <si>
    <t xml:space="preserve"> #MindEnrichment #SeniorLearning </t>
  </si>
  <si>
    <t xml:space="preserve">Attended a classical music concert, feeling the timeless melodies resonate. Music transcends generations. #ClassicalMusic #TimelessMelodies </t>
  </si>
  <si>
    <t xml:space="preserve"> MusicConnoisseur </t>
  </si>
  <si>
    <t xml:space="preserve"> #MusicLover #SeniorConcert </t>
  </si>
  <si>
    <t xml:space="preserve">Capturing the beauty of nature through photography. Every snapshot is a treasure. #NaturePhotography #SeniorPhotographer </t>
  </si>
  <si>
    <t xml:space="preserve"> PhotographySenior </t>
  </si>
  <si>
    <t xml:space="preserve"> #NatureCapture #SeniorMoments </t>
  </si>
  <si>
    <t xml:space="preserve">Reconnecting with old friends over a cup of tea. Friendship, the true essence of companionship. #OldFriends #Companionship </t>
  </si>
  <si>
    <t xml:space="preserve"> TeaTimeSenior </t>
  </si>
  <si>
    <t xml:space="preserve"> #FriendshipGoals #SeniorBonding </t>
  </si>
  <si>
    <t xml:space="preserve">Embarked on a road trip to revisit cherished places from the past. Nostalgia, the ultimate travel companion. #RoadTrip #NostalgiaTour </t>
  </si>
  <si>
    <t xml:space="preserve"> RoadTripSenior </t>
  </si>
  <si>
    <t xml:space="preserve"> #CherishedPlaces #SeniorTravel </t>
  </si>
  <si>
    <t xml:space="preserve">Joined a community choir, harmonizing with fellow voices. Music creates bonds that withstand time. #CommunityChoir #HarmonyInAging </t>
  </si>
  <si>
    <t xml:space="preserve"> ChoirEnthusiast </t>
  </si>
  <si>
    <t xml:space="preserve"> #MusicHarmony #SeniorVoices </t>
  </si>
  <si>
    <t xml:space="preserve">Exploring the art of meditation, finding tranquility in the stillness of the mind. #MeditationJourney #TranquilMind </t>
  </si>
  <si>
    <t xml:space="preserve"> MeditationSenior </t>
  </si>
  <si>
    <t xml:space="preserve"> #MindfulLiving #SeniorCalm </t>
  </si>
  <si>
    <t xml:space="preserve">Taking a stroll in the garden, appreciating the beauty of blooming flowers. Nature's wonders never cease. #GardenWalk #FloralBeauty </t>
  </si>
  <si>
    <t xml:space="preserve"> #NatureWonders #SeniorGarden </t>
  </si>
  <si>
    <t xml:space="preserve">Sipping on a favorite vintage wine, each sip telling a story of the years gone by. Cheers to a life well-lived. #WineLover #VintageCheers </t>
  </si>
  <si>
    <t xml:space="preserve"> WineConnoisseur </t>
  </si>
  <si>
    <t xml:space="preserve"> #LifeWellLived #SeniorWine </t>
  </si>
  <si>
    <t xml:space="preserve">Participated in a community art class, unleashing creativity in the golden years. Art has no age limit. #ArtClass #SeniorArtistry </t>
  </si>
  <si>
    <t xml:space="preserve"> ArtisticSenior </t>
  </si>
  <si>
    <t xml:space="preserve"> #CreativityAtAnyAge #SeniorCreativity </t>
  </si>
  <si>
    <t xml:space="preserve">Embarking on a journey of writing a memoir, documenting a lifetime of experiences. Every story matters. #MemoirWriting #SeniorStories </t>
  </si>
  <si>
    <t xml:space="preserve"> MemoiristSenior </t>
  </si>
  <si>
    <t xml:space="preserve"> #LifetimeExperiences #SeniorMemoir </t>
  </si>
  <si>
    <t xml:space="preserve">Attended a lecture on history, always fascinated by the lessons from the past. Learning is a lifelong adventure. #HistoryLecture #SeniorLearning </t>
  </si>
  <si>
    <t xml:space="preserve"> HistoryEnthusiast </t>
  </si>
  <si>
    <t xml:space="preserve"> #LifetimeAdventure #SeniorCuriosity </t>
  </si>
  <si>
    <t xml:space="preserve">Rediscovered the joy of cooking traditional family recipes. The kitchen, a place of cherished memories. #FamilyRecipes #SeniorCooking </t>
  </si>
  <si>
    <t xml:space="preserve"> FamilyChefSenior </t>
  </si>
  <si>
    <t xml:space="preserve"> #KitchenMemories #SeniorCulinary </t>
  </si>
  <si>
    <t xml:space="preserve">Joined a nature photography club, capturing the beauty of the great outdoors. Every click is a connection to nature. #NaturePhotography #SeniorPhotographer </t>
  </si>
  <si>
    <t xml:space="preserve"> NaturePhotographySenior </t>
  </si>
  <si>
    <t xml:space="preserve"> #OutdoorBeauty #SeniorClicks </t>
  </si>
  <si>
    <t xml:space="preserve">Attended a jazz concert and swayed to the rhythm of timeless tunes. Music, a constant companion in the golden years. #JazzConcert #SeniorMusic </t>
  </si>
  <si>
    <t xml:space="preserve"> JazzMusicLover </t>
  </si>
  <si>
    <t xml:space="preserve"> #TimelessTunes #SeniorJazz </t>
  </si>
  <si>
    <t xml:space="preserve">Joined a writing group, penning down thoughts and reflections. Writing, a journey into the depths of the soul. #WritingGroup #SeniorWriter </t>
  </si>
  <si>
    <t xml:space="preserve"> SeniorWordsmith </t>
  </si>
  <si>
    <t xml:space="preserve"> #SoulfulWriting #SeniorReflections </t>
  </si>
  <si>
    <t xml:space="preserve">Embarked on a solo travel adventure, discovering the beauty of new places at my own pace. #SoloTravel #SeniorExplorer </t>
  </si>
  <si>
    <t xml:space="preserve"> SoloAdventurer </t>
  </si>
  <si>
    <t xml:space="preserve"> #DiscoverNewPlaces #SeniorTravel </t>
  </si>
  <si>
    <t xml:space="preserve">Attended a vintage car show, reminiscing about the classics that once ruled the roads. Nostalgia in every rev. #VintageCars #ClassicRides </t>
  </si>
  <si>
    <t xml:space="preserve"> CarEnthusiastSenior </t>
  </si>
  <si>
    <t xml:space="preserve"> #RoadTripDownMemoryLane #SeniorCars </t>
  </si>
  <si>
    <t xml:space="preserve">Started a community garden, growing not just plants but friendships too. Green thumbs unite! #CommunityGarden #SeniorGardener </t>
  </si>
  <si>
    <t xml:space="preserve"> GreenThumbSenior </t>
  </si>
  <si>
    <t xml:space="preserve"> #GardenFriends #SeniorGreenThumb </t>
  </si>
  <si>
    <t xml:space="preserve">Hosted a family dinner, where laughter echoed louder than the clinking of utensils. Family, the heart of happiness. #FamilyDinner #SeniorHost </t>
  </si>
  <si>
    <t xml:space="preserve"> FamilyHostSenior </t>
  </si>
  <si>
    <t xml:space="preserve"> #HeartwarmingMoments #SeniorFamily </t>
  </si>
  <si>
    <t xml:space="preserve">Enrolled in a dance class for seniors, moving to the rhythm of life. Age is just a number on the dance floor. #DanceClass #SeniorDancer </t>
  </si>
  <si>
    <t xml:space="preserve"> DanceEnthusiastSenior </t>
  </si>
  <si>
    <t xml:space="preserve"> #DanceLife #SeniorMoves </t>
  </si>
  <si>
    <t xml:space="preserve">Visited an art gallery, appreciating the brushstrokes that tell tales of creativity. Art, an eternal companion. #ArtGallery #SeniorArtLover </t>
  </si>
  <si>
    <t xml:space="preserve"> ArtGalleryVisitor </t>
  </si>
  <si>
    <t xml:space="preserve"> #CreativeExpressions #SeniorArt </t>
  </si>
  <si>
    <t xml:space="preserve">Started a book club for seniors, where discussions are as lively as the characters in the novels. #BookClub #SeniorReaders </t>
  </si>
  <si>
    <t xml:space="preserve"> SeniorBookClub </t>
  </si>
  <si>
    <t xml:space="preserve"> #BookishTalks #SeniorBookworms </t>
  </si>
  <si>
    <t xml:space="preserve">Hosted a picnic in the park, basking in the warmth of friendship and sunshine. Simple joys, timeless memories. #ParkPicnic #SeniorJoy </t>
  </si>
  <si>
    <t xml:space="preserve"> SeniorPicnicHost </t>
  </si>
  <si>
    <t xml:space="preserve"> #FriendshipSunshine #SeniorMemories </t>
  </si>
  <si>
    <t xml:space="preserve">Participated in a local theater production, proving that the stage belongs to every age. #TheaterProduction #SeniorActor </t>
  </si>
  <si>
    <t xml:space="preserve"> SeniorActor </t>
  </si>
  <si>
    <t xml:space="preserve"> #StagePassion #SeniorTheater </t>
  </si>
  <si>
    <t xml:space="preserve">Embarked on a hiking adventure, conquering trails and relishing the beauty of nature. Age is just a number on the mountaintop. #HikingAdventure #SeniorHiker </t>
  </si>
  <si>
    <t xml:space="preserve"> SeniorHikerExplorer </t>
  </si>
  <si>
    <t xml:space="preserve"> #NatureTrailBlazer #SeniorExplorer </t>
  </si>
  <si>
    <t xml:space="preserve">Hosted a photography exhibition featuring snapshots of a life well-lived. Every photo has a story to tell. #PhotographyExhibition #SeniorPhotographer </t>
  </si>
  <si>
    <t xml:space="preserve"> SeniorPhotographerExhibitor </t>
  </si>
  <si>
    <t xml:space="preserve"> #LifeInPictures #SeniorExhibition </t>
  </si>
  <si>
    <t xml:space="preserve">Joined a seniors' cycling club, feeling the wind in my hair and the freedom of the open road. #CyclingClub #SeniorCyclist </t>
  </si>
  <si>
    <t xml:space="preserve"> SeniorCyclingEnthusiast </t>
  </si>
  <si>
    <t xml:space="preserve"> #OpenRoadAdventures #SeniorCycling </t>
  </si>
  <si>
    <t xml:space="preserve">Attended a wine tasting event, savoring the richness of flavors that age like fine wine. Cheers to the golden years! #WineTasting #SeniorWineLover </t>
  </si>
  <si>
    <t xml:space="preserve"> SeniorWineConnoisseur </t>
  </si>
  <si>
    <t xml:space="preserve"> #AgedToPerfection #SeniorCheers </t>
  </si>
  <si>
    <t xml:space="preserve">Started learning ballroom dancing, gliding gracefully across the dance floor. Ageless elegance in every step. #BallroomDancing #SeniorDancer </t>
  </si>
  <si>
    <t xml:space="preserve"> SeniorBallroomDancer </t>
  </si>
  <si>
    <t xml:space="preserve"> #GracefulMoves #SeniorDance </t>
  </si>
  <si>
    <t xml:space="preserve">Organized a community painting event, turning blank canvases into a masterpiece of shared creativity. #PaintingEvent #SeniorArtist </t>
  </si>
  <si>
    <t xml:space="preserve"> SeniorPaintingOrganizer </t>
  </si>
  <si>
    <t xml:space="preserve"> #CommunityArt #SeniorCreativity </t>
  </si>
  <si>
    <t xml:space="preserve">Hosted a 'memory lane' evening with old friends, reminiscing about the adventures that shaped our lives. #MemoryLane #SeniorReminiscing </t>
  </si>
  <si>
    <t xml:space="preserve"> SeniorMemoriesHost </t>
  </si>
  <si>
    <t xml:space="preserve"> #FriendshipAdventures #SeniorNostalgia </t>
  </si>
  <si>
    <t xml:space="preserve">Joined a seniors' astronomy club, stargazing and finding wonder in the vastness of the cosmos. #AstronomyClub #SeniorStargazer </t>
  </si>
  <si>
    <t xml:space="preserve"> SeniorStargazer </t>
  </si>
  <si>
    <t xml:space="preserve"> #CelestialWonders #SeniorAstronomy </t>
  </si>
  <si>
    <t xml:space="preserve">Attended a local jazz festival, tapping toes to the tunes that have stood the test of time. Music, a lifelong love affair. #JazzFestival #SeniorMusicLover </t>
  </si>
  <si>
    <t xml:space="preserve"> SeniorJazzFestivalGoer </t>
  </si>
  <si>
    <t xml:space="preserve">Started a blog sharing the wisdom gained through the years, proving that every day is a chance to learn and grow. #SeniorWisdom #Blog </t>
  </si>
  <si>
    <t xml:space="preserve"> WisdomBloggerSenior </t>
  </si>
  <si>
    <t xml:space="preserve"> #LifeLessons #SeniorBlog </t>
  </si>
  <si>
    <t xml:space="preserve">Participated in a charity run, proving that age is no barrier to supporting meaningful causes. #CharityRun #SeniorRunner </t>
  </si>
  <si>
    <t xml:space="preserve"> SeniorCharityRunner </t>
  </si>
  <si>
    <t xml:space="preserve"> #RunForACause #SeniorSupport </t>
  </si>
  <si>
    <t xml:space="preserve">Survived a challenging physics exam. Equations, you won't defeat me! </t>
  </si>
  <si>
    <t xml:space="preserve"> Relief </t>
  </si>
  <si>
    <t xml:space="preserve"> PhysicsWhizHighSchool </t>
  </si>
  <si>
    <t xml:space="preserve"> #PhysicsSurvivor #HighSchoolAdventures </t>
  </si>
  <si>
    <t xml:space="preserve">Exploring the world of coding. Debugging is an adventure on its own! #CodingJourney #HighSchoolCoder </t>
  </si>
  <si>
    <t xml:space="preserve"> CodeExplorerHighSchool </t>
  </si>
  <si>
    <t xml:space="preserve"> #CodingAdventure #HighSchoolCoderLife </t>
  </si>
  <si>
    <t xml:space="preserve">Joined the school debate team. Words are my weapons, and I'm ready for battle! </t>
  </si>
  <si>
    <t xml:space="preserve"> DebateWarriorHighSchool </t>
  </si>
  <si>
    <t xml:space="preserve"> #DebateWarrior #HighSchoolDebater </t>
  </si>
  <si>
    <t xml:space="preserve">Started a photography club at school. Capturing moments, one snapshot at a time! </t>
  </si>
  <si>
    <t xml:space="preserve"> PhotoClubHighSchool </t>
  </si>
  <si>
    <t xml:space="preserve"> #PhotographyClub #HighSchoolPhotographer </t>
  </si>
  <si>
    <t xml:space="preserve">Daydreaming about the upcoming prom. The dress, the dance ‚Äì it's a fairytale in the making! </t>
  </si>
  <si>
    <t xml:space="preserve"> PromDreamerHighSchool </t>
  </si>
  <si>
    <t xml:space="preserve"> #PromDreams #HighSchoolFairytale </t>
  </si>
  <si>
    <t xml:space="preserve">Convinced the teacher to have class outdoors. Learning equations with a side of fresh air! </t>
  </si>
  <si>
    <t xml:space="preserve"> Positive </t>
  </si>
  <si>
    <t xml:space="preserve"> OutdoorClassHighSchool </t>
  </si>
  <si>
    <t xml:space="preserve"> #OutdoorClassroom #HighSchoolExplorer </t>
  </si>
  <si>
    <t xml:space="preserve">Accidentally spilled paint in art class. Abstract art, right? #ArtClassAdventures #HighSchoolArtist </t>
  </si>
  <si>
    <t xml:space="preserve"> Embarrassed </t>
  </si>
  <si>
    <t xml:space="preserve"> PaintSpillHighSchool </t>
  </si>
  <si>
    <t xml:space="preserve"> #ArtisticMishaps #HighSchoolArt </t>
  </si>
  <si>
    <t xml:space="preserve">Trying to master the perfect kickflip on my skateboard. Skating into the weekend like a pro! </t>
  </si>
  <si>
    <t xml:space="preserve"> SkateProHighSchool </t>
  </si>
  <si>
    <t xml:space="preserve"> #SkaterLife #HighSchoolSkater </t>
  </si>
  <si>
    <t xml:space="preserve">Bonding with friends over the latest K-pop sensation. Fangirling at its finest! </t>
  </si>
  <si>
    <t xml:space="preserve"> KpopFangirlHighSchool </t>
  </si>
  <si>
    <t xml:space="preserve"> #KpopFangirl #HighSchoolMusic </t>
  </si>
  <si>
    <t xml:space="preserve">Spent hours perfecting a chemistry experiment. Mixing potions like a wizard! </t>
  </si>
  <si>
    <t xml:space="preserve"> ChemistryWizardHighSchool </t>
  </si>
  <si>
    <t xml:space="preserve"> #ChemistryWizard #HighSchoolScientist </t>
  </si>
  <si>
    <t xml:space="preserve">Successfully organized a surprise birthday party for a friend. Party planning expert mode: Achieved! </t>
  </si>
  <si>
    <t xml:space="preserve"> BirthdayPartyPlannerHighSchool </t>
  </si>
  <si>
    <t xml:space="preserve"> #BirthdayParty #HighSchoolCelebration </t>
  </si>
  <si>
    <t xml:space="preserve">Joined the drama club to unleash my inner actor. Lights, camera, action! </t>
  </si>
  <si>
    <t xml:space="preserve"> DramaClubStarHighSchool </t>
  </si>
  <si>
    <t xml:space="preserve"> #DramaClubStar #HighSchoolActor </t>
  </si>
  <si>
    <t xml:space="preserve">Got my hands on the latest fantasy novel. Diving into realms of magic and adventure! </t>
  </si>
  <si>
    <t xml:space="preserve"> FantasyBookNerdHighSchool </t>
  </si>
  <si>
    <t xml:space="preserve"> #FantasyBookNerd #HighSchoolReader </t>
  </si>
  <si>
    <t xml:space="preserve">Mastering the art of the perfect doodle during boring classes. Doodles: A+! </t>
  </si>
  <si>
    <t xml:space="preserve"> DoodleMasterHighSchool </t>
  </si>
  <si>
    <t xml:space="preserve"> #DoodleMaster #HighSchoolArt </t>
  </si>
  <si>
    <t xml:space="preserve">Attempting to break the school record for the longest handstand. Wish me luck! </t>
  </si>
  <si>
    <t xml:space="preserve"> HandstandChallengeHighSchool </t>
  </si>
  <si>
    <t xml:space="preserve"> #HandstandChallenge #HighSchoolAthlete </t>
  </si>
  <si>
    <t xml:space="preserve">Sneaking snacks into class like a pro. The art of snack-smuggling is a sacred skill! </t>
  </si>
  <si>
    <t xml:space="preserve"> Mischievous </t>
  </si>
  <si>
    <t xml:space="preserve"> SnackSmugglerHighSchool </t>
  </si>
  <si>
    <t xml:space="preserve"> #SnackSmuggler #HighSchoolSnacks </t>
  </si>
  <si>
    <t xml:space="preserve">Hosting a sleepover with friends this weekend. Preparing for a night of laughter and memories! </t>
  </si>
  <si>
    <t xml:space="preserve"> SleepoverHostHighSchool </t>
  </si>
  <si>
    <t xml:space="preserve"> #SleepoverFun #HighSchoolMemories </t>
  </si>
  <si>
    <t xml:space="preserve">Spent hours on a TikTok dance, only to realize I have two left feet. Dance fail: Unleashed! </t>
  </si>
  <si>
    <t xml:space="preserve"> TikTokFailHighSchool </t>
  </si>
  <si>
    <t xml:space="preserve"> #DanceFail #HighSchoolTikTok </t>
  </si>
  <si>
    <t xml:space="preserve">Accidentally liked my crush's old photo while stalking their profile. Awkward level: Maximum! </t>
  </si>
  <si>
    <t xml:space="preserve"> SocialMediaBlunderHighSchool </t>
  </si>
  <si>
    <t xml:space="preserve"> #SocialMediaBlunder #HighSchoolAwkward </t>
  </si>
  <si>
    <t xml:space="preserve">Tried to impress my crush with a smooth conversation. Ended up spilling my drink. Smooth level: Nonexistent! </t>
  </si>
  <si>
    <t xml:space="preserve"> CrushFailHighSchool </t>
  </si>
  <si>
    <t xml:space="preserve"> #CrushFail #HighSchoolEmbarrassment </t>
  </si>
  <si>
    <t xml:space="preserve">Mastered the art of creating paper airplanes during lecture. Paper planes: Soaring to new heights! </t>
  </si>
  <si>
    <t xml:space="preserve"> PaperPlaneExpertHighSchool </t>
  </si>
  <si>
    <t xml:space="preserve"> #PaperPlaneExpert #HighSchoolArt </t>
  </si>
  <si>
    <t xml:space="preserve">Trying to set a new trend by juggling textbooks between classes. Academic juggling: A unique skill! </t>
  </si>
  <si>
    <t xml:space="preserve"> JugglingProHighSchool </t>
  </si>
  <si>
    <t xml:space="preserve"> #TextbookJuggling #HighSchoolSkills </t>
  </si>
  <si>
    <t xml:space="preserve">Hiding a snack stash in my backpack for emergency cravings. Snack ninja mode: Activated! </t>
  </si>
  <si>
    <t xml:space="preserve"> SnackNinjaHighSchool </t>
  </si>
  <si>
    <t xml:space="preserve"> #SnackNinja #HighSchoolSnacks </t>
  </si>
  <si>
    <t xml:space="preserve">Planning a surprise scavenger hunt for friends. Anticipating the thrill and excitement! </t>
  </si>
  <si>
    <t xml:space="preserve"> ScavengerHuntMasterHighSchool </t>
  </si>
  <si>
    <t xml:space="preserve"> #SurpriseAdventure #HighSchoolFun </t>
  </si>
  <si>
    <t xml:space="preserve">Danced in the rain to celebrate the end of exams. Rain dance: Unexpectedly refreshing! </t>
  </si>
  <si>
    <t xml:space="preserve"> RainDanceCelebrationHighSchool </t>
  </si>
  <si>
    <t xml:space="preserve"> #RainDance #HighSchoolJoy </t>
  </si>
  <si>
    <t xml:space="preserve">Accidentally sent a text meant for a friend to the class group chat. Texting fail: Oops moment! </t>
  </si>
  <si>
    <t xml:space="preserve"> GroupChatBlunderHighSchool </t>
  </si>
  <si>
    <t xml:space="preserve"> #TextingFail #HighSchoolAwkward </t>
  </si>
  <si>
    <t xml:space="preserve">Tried a magic trick to impress classmates. Magic fail: Where did that rabbit go? </t>
  </si>
  <si>
    <t xml:space="preserve"> MagicFailHighSchool </t>
  </si>
  <si>
    <t xml:space="preserve"> #MagicFail #HighSchoolMagic </t>
  </si>
  <si>
    <t xml:space="preserve">Perfecting the art of creating origami during a dull lecture. Origami mastery: A+! </t>
  </si>
  <si>
    <t xml:space="preserve"> OrigamiProHighSchool </t>
  </si>
  <si>
    <t xml:space="preserve"> #OrigamiMaster #HighSchoolArt </t>
  </si>
  <si>
    <t xml:space="preserve">Attempting to set a new record for the most consecutive hacky sack kicks. Hacky sack skills: Unleashed! </t>
  </si>
  <si>
    <t xml:space="preserve"> HackySackChampionHighSchool </t>
  </si>
  <si>
    <t xml:space="preserve"> #HackySackChallenge #HighSchoolAthlete </t>
  </si>
  <si>
    <t xml:space="preserve">Creating a secret handshake with friends. Friendship level: Expert! </t>
  </si>
  <si>
    <t xml:space="preserve"> SecretHandshakeHighSchool </t>
  </si>
  <si>
    <t xml:space="preserve"> #FriendshipGoals #HighSchoolMemories </t>
  </si>
  <si>
    <t xml:space="preserve">Embarking on a mission to find the best burger joint in town. Burger connoisseur: Reporting for duty! </t>
  </si>
  <si>
    <t xml:space="preserve"> BurgerQuestHighSchool </t>
  </si>
  <si>
    <t xml:space="preserve"> #BurgerQuest #HighSchoolFoodie </t>
  </si>
  <si>
    <t xml:space="preserve">Practicing a stand-up comedy routine for the upcoming talent show. Comedy gig: In the making! </t>
  </si>
  <si>
    <t xml:space="preserve"> ComedyGeniusHighSchool </t>
  </si>
  <si>
    <t xml:space="preserve"> #StandUpComedy #HighSchoolTalent </t>
  </si>
  <si>
    <t xml:space="preserve">Accidentally sent a love letter to the wrong person. Love note fail: Maximum embarrassment! </t>
  </si>
  <si>
    <t xml:space="preserve"> LoveLetterBlunderHighSchool </t>
  </si>
  <si>
    <t xml:space="preserve"> #LoveLetterFail #HighSchoolAwkward </t>
  </si>
  <si>
    <t xml:space="preserve">Attempting to impress the teacher with an elaborate science experiment. Science geek mode: Activated! </t>
  </si>
  <si>
    <t xml:space="preserve"> ScienceExperimentProHighSchool </t>
  </si>
  <si>
    <t xml:space="preserve"> #ScienceGeek #HighSchoolExperiments </t>
  </si>
  <si>
    <t xml:space="preserve">Crafting intricate friendship bracelets for the whole squad. Friendship level: Expert weaver! </t>
  </si>
  <si>
    <t xml:space="preserve"> BraceletCraftsmanHighSchool </t>
  </si>
  <si>
    <t xml:space="preserve"> #FriendshipBracelets #HighSchoolCrafts </t>
  </si>
  <si>
    <t xml:space="preserve">Attempting to beat the record for the most consecutive cartwheels. Cartwheel challenge: Underway! </t>
  </si>
  <si>
    <t xml:space="preserve"> CartwheelMasterHighSchool </t>
  </si>
  <si>
    <t xml:space="preserve"> #CartwheelChallenge #HighSchoolAthlete </t>
  </si>
  <si>
    <t xml:space="preserve">Organizing a movie marathon with friends. Popcorn and cinematic adventures await! </t>
  </si>
  <si>
    <t xml:space="preserve"> MovieMarathonHostHighSchool </t>
  </si>
  <si>
    <t xml:space="preserve"> #MovieNight #HighSchoolMemories </t>
  </si>
  <si>
    <t xml:space="preserve">Experimenting with a new hair color. A bold change for a bold semester! </t>
  </si>
  <si>
    <t xml:space="preserve"> HairColorExperimentHighSchool </t>
  </si>
  <si>
    <t xml:space="preserve"> #HairExperiment #HighSchoolStyle </t>
  </si>
  <si>
    <t xml:space="preserve">Building a time capsule to capture memories for the future. Time-traveling emotions! </t>
  </si>
  <si>
    <t xml:space="preserve"> TimeCapsuleCreatorHighSchool </t>
  </si>
  <si>
    <t xml:space="preserve"> #TimeCapsule #HighSchoolNostalgia </t>
  </si>
  <si>
    <t xml:space="preserve">Accidentally walked into the wrong classroom on the first day. Classroom mix-up: Awkward start! </t>
  </si>
  <si>
    <t xml:space="preserve"> ClassroomBlunderHighSchool </t>
  </si>
  <si>
    <t xml:space="preserve"> #FirstDayOops #HighSchoolEmbarrassment </t>
  </si>
  <si>
    <t xml:space="preserve">Trying out a new smoothie recipe for a healthy start to the week. Smoothie enthusiast: Level up! </t>
  </si>
  <si>
    <t xml:space="preserve"> SmoothieConnoisseurHighSchool </t>
  </si>
  <si>
    <t xml:space="preserve"> #HealthyLiving #HighSchoolWellness </t>
  </si>
  <si>
    <t xml:space="preserve">Reflecting on the challenges of the school year. Feeling a bit overwhelmed with assignments. </t>
  </si>
  <si>
    <t xml:space="preserve"> Sad </t>
  </si>
  <si>
    <t xml:space="preserve"> OverwhelmedHighSchoolStudent </t>
  </si>
  <si>
    <t xml:space="preserve"> #SchoolChallenges #HighSchoolStruggles </t>
  </si>
  <si>
    <t xml:space="preserve">Encountered some mean-spirited comments online. Dealing with online hate is never easy. </t>
  </si>
  <si>
    <t xml:space="preserve"> Hate </t>
  </si>
  <si>
    <t xml:space="preserve"> DealingWithHateHighSchool </t>
  </si>
  <si>
    <t xml:space="preserve"> #OnlineHate #HighSchoolReality </t>
  </si>
  <si>
    <t xml:space="preserve">Had a bad day at school. Everything seems to be going wrong. </t>
  </si>
  <si>
    <t xml:space="preserve"> Bad </t>
  </si>
  <si>
    <t xml:space="preserve"> ToughDayHighSchool </t>
  </si>
  <si>
    <t xml:space="preserve"> #BadDay #HighSchoolBlues </t>
  </si>
  <si>
    <t xml:space="preserve">Feeling down after not making the sports team. Disappointment lingers. </t>
  </si>
  <si>
    <t xml:space="preserve"> SportsTeamRejectionHighSchool </t>
  </si>
  <si>
    <t xml:space="preserve"> #Disappointment #HighSchoolSports </t>
  </si>
  <si>
    <t xml:space="preserve">Witnessed a heated argument in the cafeteria. Unpleasant atmosphere at lunch. </t>
  </si>
  <si>
    <t xml:space="preserve"> CafeteriaConflictHighSchool </t>
  </si>
  <si>
    <t xml:space="preserve"> #CafeteriaDrama #HighSchoolTension </t>
  </si>
  <si>
    <t xml:space="preserve">Received a not-so-great grade on a major project. Academic frustration setting in. </t>
  </si>
  <si>
    <t xml:space="preserve"> ProjectGradeDisappointmentHighSchool </t>
  </si>
  <si>
    <t xml:space="preserve"> #AcademicFrustration #HighSchoolStress </t>
  </si>
  <si>
    <t xml:space="preserve">Dealing with a personal setback. Sometimes life throws unexpected challenges. </t>
  </si>
  <si>
    <t xml:space="preserve"> PersonalSetbackHighSchool </t>
  </si>
  <si>
    <t xml:space="preserve"> #LifeChallenges #HighSchoolStruggles </t>
  </si>
  <si>
    <t xml:space="preserve">Feeling lonely on a Saturday night. Sometimes solitude hits harder than expected. </t>
  </si>
  <si>
    <t xml:space="preserve"> LonelySaturdayHighSchool </t>
  </si>
  <si>
    <t xml:space="preserve"> #LonelyNights #HighSchoolEmotions </t>
  </si>
  <si>
    <t xml:space="preserve">Experiencing cyberbullying. Hateful messages online are disheartening. </t>
  </si>
  <si>
    <t xml:space="preserve"> CyberbullyingVictimHighSchool </t>
  </si>
  <si>
    <t xml:space="preserve"> #StopCyberbullying #HighSchoolReality </t>
  </si>
  <si>
    <t xml:space="preserve">Caught in a torrential rainstorm without an umbrella. Today's weather is just bad luck. </t>
  </si>
  <si>
    <t xml:space="preserve"> RainyDayBluesHighSchool </t>
  </si>
  <si>
    <t xml:space="preserve"> #BadLuck #HighSchoolWeather </t>
  </si>
  <si>
    <t xml:space="preserve">Missing an important event due to unforeseen circumstances. A day filled with sadness. </t>
  </si>
  <si>
    <t xml:space="preserve"> MissedOpportunityHighSchool </t>
  </si>
  <si>
    <t xml:space="preserve"> #MissedChances #HighSchoolRegret </t>
  </si>
  <si>
    <t xml:space="preserve">Dealing with unfounded rumors circulating about personal life. Rumors can be hurtful. </t>
  </si>
  <si>
    <t xml:space="preserve"> RumorVictimHighSchool </t>
  </si>
  <si>
    <t xml:space="preserve"> #RumorMills #HighSchoolDrama </t>
  </si>
  <si>
    <t xml:space="preserve">Got a flat tire on the way to an important meeting. Talk about a series of bad events! </t>
  </si>
  <si>
    <t xml:space="preserve"> FlatTireWoesHighSchool </t>
  </si>
  <si>
    <t xml:space="preserve"> #BadLuckDay #HighSchoolStruggles </t>
  </si>
  <si>
    <t xml:space="preserve">Feeling a sense of emptiness after a close friend moves away. Farewells are always sad. </t>
  </si>
  <si>
    <t xml:space="preserve"> FriendMovingAwayHighSchool </t>
  </si>
  <si>
    <t xml:space="preserve"> #SayingGoodbye #HighSchoolEmotions </t>
  </si>
  <si>
    <t xml:space="preserve">Facing rejection from a dream college. Disheartened but determined to explore other paths. </t>
  </si>
  <si>
    <t xml:space="preserve"> CollegeRejectionHighSchool </t>
  </si>
  <si>
    <t xml:space="preserve"> #CollegeDreams #HighSchoolJourney </t>
  </si>
  <si>
    <t xml:space="preserve">Encountering online toxicity during a gaming session. Hateful comments can ruin the fun. </t>
  </si>
  <si>
    <t xml:space="preserve"> GamingToxicityHighSchool </t>
  </si>
  <si>
    <t xml:space="preserve"> #OnlineGaming #HighSchoolGamer </t>
  </si>
  <si>
    <t xml:space="preserve">Having a bad hair day and feeling self-conscious. Bad hair days can affect confidence. </t>
  </si>
  <si>
    <t xml:space="preserve"> BadHairDayBluesHighSchool </t>
  </si>
  <si>
    <t xml:space="preserve"> #BadHairDay #HighSchoolConfidence </t>
  </si>
  <si>
    <t xml:space="preserve">Feeling a sense of despair after a major project failure. Hard work didn't pay off this time. </t>
  </si>
  <si>
    <t xml:space="preserve"> ProjectFailureDespairHighSchool </t>
  </si>
  <si>
    <t xml:space="preserve"> #ProjectStruggles #HighSchoolHardships </t>
  </si>
  <si>
    <t xml:space="preserve">Experiencing hate comments for expressing personal opinions. Online negativity prevails. </t>
  </si>
  <si>
    <t xml:space="preserve"> OpinionsHateHighSchool </t>
  </si>
  <si>
    <t xml:space="preserve"> #OnlineOpinions #HighSchoolCriticism </t>
  </si>
  <si>
    <t xml:space="preserve">Having a string of bad luck with constant technology malfunctions. Tech troubles galore! </t>
  </si>
  <si>
    <t xml:space="preserve"> TechMalfunctionWoesHighSchool </t>
  </si>
  <si>
    <t xml:space="preserve"> #TechIssues #HighSchoolTech </t>
  </si>
  <si>
    <t xml:space="preserve">Missing out on a long-anticipated event due to unexpected circumstances. A day filled with sadness. </t>
  </si>
  <si>
    <t xml:space="preserve"> MissedEventBluesHighSchool </t>
  </si>
  <si>
    <t xml:space="preserve"> #MissedMoments #HighSchoolRegret </t>
  </si>
  <si>
    <t xml:space="preserve">Trying out a new study technique for upcoming exams. Exploring different learning strategies. </t>
  </si>
  <si>
    <t xml:space="preserve"> Neutral </t>
  </si>
  <si>
    <t xml:space="preserve"> StudyTechniqueExperimentHighSchool </t>
  </si>
  <si>
    <t xml:space="preserve"> #StudyStrategies #HighSchoolExams </t>
  </si>
  <si>
    <t xml:space="preserve">Organizing a community cleanup event for a cleaner neighborhood. Promoting environmental awareness. </t>
  </si>
  <si>
    <t xml:space="preserve"> CommunityCleanupHighSchool </t>
  </si>
  <si>
    <t xml:space="preserve"> #EnvironmentalEfforts #HighSchoolCommunity </t>
  </si>
  <si>
    <t xml:space="preserve">Sharing favorite book recommendations with classmates. Building a mini book club. </t>
  </si>
  <si>
    <t xml:space="preserve"> BookRecommendationsHighSchool </t>
  </si>
  <si>
    <t xml:space="preserve"> #BookClub #HighSchoolReads </t>
  </si>
  <si>
    <t xml:space="preserve">Experimenting with a new recipe for a school bake sale. Baking adventures in the kitchen. </t>
  </si>
  <si>
    <t xml:space="preserve"> BakeSaleRecipeExperimentHighSchool </t>
  </si>
  <si>
    <t xml:space="preserve"> #BakingAdventures #HighSchoolBakes </t>
  </si>
  <si>
    <t xml:space="preserve">Collaborating on a school project with peers. Teamwork makes the dream work. </t>
  </si>
  <si>
    <t xml:space="preserve"> SchoolProjectCollaborationHighSchool </t>
  </si>
  <si>
    <t xml:space="preserve"> #Teamwork #HighSchoolProjects </t>
  </si>
  <si>
    <t xml:space="preserve">Attending a school club meeting to explore new interests. Dabbling in extracurricular activities. </t>
  </si>
  <si>
    <t xml:space="preserve"> ExtracurricularExplorationHighSchool </t>
  </si>
  <si>
    <t xml:space="preserve"> #SchoolClubs #HighSchoolInterests </t>
  </si>
  <si>
    <t xml:space="preserve">Exploring a new part-time job opportunity for gaining work experience. Career development in progress. </t>
  </si>
  <si>
    <t xml:space="preserve"> PartTimeJobExplorationHighSchool </t>
  </si>
  <si>
    <t xml:space="preserve"> #CareerDevelopment #HighSchoolJobs </t>
  </si>
  <si>
    <t xml:space="preserve">Attending a school assembly to stay informed about upcoming events and announcements. Staying connected with school activities. </t>
  </si>
  <si>
    <t xml:space="preserve"> SchoolAssemblyParticipationHighSchool </t>
  </si>
  <si>
    <t xml:space="preserve"> #SchoolEvents #HighSchoolConnectivity </t>
  </si>
  <si>
    <t xml:space="preserve">Exploring a new hobby of photography during free time. Capturing moments through a lens. </t>
  </si>
  <si>
    <t xml:space="preserve"> PhotographyHobbyHighSchool </t>
  </si>
  <si>
    <t xml:space="preserve"> #PhotographyJourney #HighSchoolHobbies </t>
  </si>
  <si>
    <t xml:space="preserve">Participating in a science fair to showcase a unique experiment. Sharing knowledge with peers. </t>
  </si>
  <si>
    <t xml:space="preserve"> ScienceFairParticipationHighSchool </t>
  </si>
  <si>
    <t xml:space="preserve"> #ScienceFair #HighSchoolScience </t>
  </si>
  <si>
    <t xml:space="preserve">Attending a workshop on time management to enhance organizational skills. Striving for efficiency. </t>
  </si>
  <si>
    <t xml:space="preserve"> TimeManagementWorkshopHighSchool </t>
  </si>
  <si>
    <t xml:space="preserve"> #EfficiencyGoals #HighSchoolSkills </t>
  </si>
  <si>
    <t xml:space="preserve">Volunteering at a local charity event to give back to the community. Contributing to social causes. </t>
  </si>
  <si>
    <t xml:space="preserve"> CharityEventVolunteerHighSchool </t>
  </si>
  <si>
    <t xml:space="preserve"> #CommunityService #HighSchoolVolunteer </t>
  </si>
  <si>
    <t xml:space="preserve">Collaborating on a group project to promote teamwork and shared responsibilities. Group effort in action. </t>
  </si>
  <si>
    <t xml:space="preserve"> GroupProjectCollaborationHighSchool </t>
  </si>
  <si>
    <t xml:space="preserve"> #TeamSpirit #HighSchoolProjects </t>
  </si>
  <si>
    <t xml:space="preserve">Participating in a debate club to enhance critical thinking and communication skills. Intellectual engagement in progress. </t>
  </si>
  <si>
    <t xml:space="preserve"> DebateClubParticipationHighSchool </t>
  </si>
  <si>
    <t xml:space="preserve"> #DebateSkills #HighSchoolIntellect </t>
  </si>
  <si>
    <t xml:space="preserve">Celebrating a friend's birthday with a surprise party. Joyful moments and laughter all around! </t>
  </si>
  <si>
    <t xml:space="preserve"> Happy </t>
  </si>
  <si>
    <t xml:space="preserve"> BirthdaySurpriseHighSchool </t>
  </si>
  <si>
    <t xml:space="preserve"> #SurpriseParty #HighSchoolCelebration </t>
  </si>
  <si>
    <t xml:space="preserve">Successfully completing a challenging coding project. Excitement for overcoming coding hurdles! </t>
  </si>
  <si>
    <t xml:space="preserve"> CodingSuccessHighSchool </t>
  </si>
  <si>
    <t xml:space="preserve"> #CodingTriumph #HighSchoolTech </t>
  </si>
  <si>
    <t xml:space="preserve">Attending a school talent show to support classmates. Applauding the diverse talents on display! </t>
  </si>
  <si>
    <t xml:space="preserve"> TalentShowSupportHighSchool </t>
  </si>
  <si>
    <t xml:space="preserve"> #TalentShow #HighSchoolEntertainment </t>
  </si>
  <si>
    <t xml:space="preserve">Exploring a new hiking trail with friends over the weekend. Nature, laughter, and good vibes! </t>
  </si>
  <si>
    <t xml:space="preserve"> WeekendHikeHighSchool </t>
  </si>
  <si>
    <t xml:space="preserve"> #NatureAdventures #HighSchoolFriends </t>
  </si>
  <si>
    <t xml:space="preserve">Winning a friendly sports competition against rival schools. Victory celebrations in full swing! </t>
  </si>
  <si>
    <t xml:space="preserve"> SportsVictoryHighSchool </t>
  </si>
  <si>
    <t xml:space="preserve"> #SportsTriumph #HighSchoolAthletics </t>
  </si>
  <si>
    <t xml:space="preserve">Receiving a heartfelt letter from a pen pal in another country. Connecting across the globe! </t>
  </si>
  <si>
    <t xml:space="preserve"> PenPalConnectionHighSchool </t>
  </si>
  <si>
    <t xml:space="preserve"> #GlobalFriendship #HighSchoolCorrespondence </t>
  </si>
  <si>
    <t xml:space="preserve">Creating a beautiful mural with fellow art enthusiasts. The power of collaboration and creativity! </t>
  </si>
  <si>
    <t xml:space="preserve"> MuralCreationHighSchool </t>
  </si>
  <si>
    <t xml:space="preserve"> #ArtCollaboration #HighSchoolCreativity </t>
  </si>
  <si>
    <t xml:space="preserve">Participating in a school-wide art exhibition. Witnessing creativity and spreading positive vibes! </t>
  </si>
  <si>
    <t xml:space="preserve"> ArtExhibitionJoyHighSchool </t>
  </si>
  <si>
    <t xml:space="preserve"> #ArtisticExpression #HighSchoolCreativity </t>
  </si>
  <si>
    <t xml:space="preserve">Achieving a personal best in a track and field competition. The thrill of victory and self-improvement! </t>
  </si>
  <si>
    <t xml:space="preserve"> TrackFieldSuccessHighSchool </t>
  </si>
  <si>
    <t xml:space="preserve"> #AthleticAchievement #HighSchoolSports </t>
  </si>
  <si>
    <t xml:space="preserve">Collaborating on a science project that received recognition at a regional fair. Science triumphs and smiles! </t>
  </si>
  <si>
    <t xml:space="preserve"> ScienceProjectSuccessHighSchool </t>
  </si>
  <si>
    <t xml:space="preserve"> #ScienceFairWinner #HighSchoolScience </t>
  </si>
  <si>
    <t xml:space="preserve">Attending a surprise birthday party organized by friends. Surrounded by love, laughter, and good company! </t>
  </si>
  <si>
    <t xml:space="preserve"> BirthdayPartyJoyHighSchool </t>
  </si>
  <si>
    <t xml:space="preserve"> #SurpriseCelebration #HighSchoolFriendship </t>
  </si>
  <si>
    <t xml:space="preserve">Successfully fundraising for a school charity initiative. The joy of giving back to the community! </t>
  </si>
  <si>
    <t xml:space="preserve"> CharityFundraisingTriumphHighSchool </t>
  </si>
  <si>
    <t xml:space="preserve"> #CommunityGiving #HighSchoolPhilanthropy </t>
  </si>
  <si>
    <t xml:space="preserve">Participating in a multicultural festival, celebrating diversity with music, dance, and delicious food! </t>
  </si>
  <si>
    <t xml:space="preserve"> MulticulturalFestivalJoyHighSchool </t>
  </si>
  <si>
    <t xml:space="preserve"> #CulturalCelebration #HighSchoolUnity </t>
  </si>
  <si>
    <t xml:space="preserve">Organizing a virtual talent show during challenging times, bringing smiles to classmates' faces! </t>
  </si>
  <si>
    <t xml:space="preserve"> VirtualTalentShowSuccessHighSchool </t>
  </si>
  <si>
    <t xml:space="preserve"> #VirtualEntertainment #HighSchoolPositivity </t>
  </si>
  <si>
    <t>Positive</t>
  </si>
  <si>
    <t>Negative</t>
  </si>
  <si>
    <t>Neutral</t>
  </si>
  <si>
    <t>Canada</t>
  </si>
  <si>
    <t>UK</t>
  </si>
  <si>
    <t>Australia</t>
  </si>
  <si>
    <t>India</t>
  </si>
  <si>
    <t>Interactions</t>
  </si>
  <si>
    <t>Grand Total</t>
  </si>
  <si>
    <t>Row Labels</t>
  </si>
  <si>
    <t>Date</t>
  </si>
  <si>
    <t>Time</t>
  </si>
  <si>
    <t>New Sentiment</t>
  </si>
  <si>
    <t>COUNT OF SENTIMENT</t>
  </si>
  <si>
    <t>POSITIVE</t>
  </si>
  <si>
    <t>NEGATIVE</t>
  </si>
  <si>
    <t>NEUTRAL</t>
  </si>
  <si>
    <t>Column Labels</t>
  </si>
  <si>
    <t>(All)</t>
  </si>
  <si>
    <t>New Country</t>
  </si>
  <si>
    <t>Austria</t>
  </si>
  <si>
    <t>Belgium</t>
  </si>
  <si>
    <t>Brazil</t>
  </si>
  <si>
    <t>Cambodia</t>
  </si>
  <si>
    <t>China</t>
  </si>
  <si>
    <t>Colombia</t>
  </si>
  <si>
    <t>Czech Republic</t>
  </si>
  <si>
    <t>Denmark</t>
  </si>
  <si>
    <t>France</t>
  </si>
  <si>
    <t>Germany</t>
  </si>
  <si>
    <t>Greece</t>
  </si>
  <si>
    <t>Ireland</t>
  </si>
  <si>
    <t>Italy</t>
  </si>
  <si>
    <t>Jamaica</t>
  </si>
  <si>
    <t>Japan</t>
  </si>
  <si>
    <t>Jordan</t>
  </si>
  <si>
    <t>Kenya</t>
  </si>
  <si>
    <t>Maldives</t>
  </si>
  <si>
    <t>Netherlands</t>
  </si>
  <si>
    <t>Norway</t>
  </si>
  <si>
    <t>Peru</t>
  </si>
  <si>
    <t>Portugal</t>
  </si>
  <si>
    <t>Scotland</t>
  </si>
  <si>
    <t>South Africa</t>
  </si>
  <si>
    <t>Spain</t>
  </si>
  <si>
    <t>Sweden</t>
  </si>
  <si>
    <t>Switzerland</t>
  </si>
  <si>
    <t>Thailand</t>
  </si>
  <si>
    <t>Sum of Interactions</t>
  </si>
  <si>
    <t>New Time</t>
  </si>
  <si>
    <t>00</t>
  </si>
  <si>
    <t>02</t>
  </si>
  <si>
    <t>03</t>
  </si>
  <si>
    <t>05</t>
  </si>
  <si>
    <t>06</t>
  </si>
  <si>
    <t>07</t>
  </si>
  <si>
    <t>08</t>
  </si>
  <si>
    <t>09</t>
  </si>
  <si>
    <t>10</t>
  </si>
  <si>
    <t>11</t>
  </si>
  <si>
    <t>12</t>
  </si>
  <si>
    <t>13</t>
  </si>
  <si>
    <t>14</t>
  </si>
  <si>
    <t>15</t>
  </si>
  <si>
    <t>16</t>
  </si>
  <si>
    <t>17</t>
  </si>
  <si>
    <t>18</t>
  </si>
  <si>
    <t>19</t>
  </si>
  <si>
    <t>20</t>
  </si>
  <si>
    <t>21</t>
  </si>
  <si>
    <t>22</t>
  </si>
  <si>
    <t>23</t>
  </si>
  <si>
    <t xml:space="preserve">Sum of Interactions PER HOUR </t>
  </si>
  <si>
    <t>NEW Platform</t>
  </si>
  <si>
    <t>Facebook</t>
  </si>
  <si>
    <t>Instagram</t>
  </si>
  <si>
    <t>Twitter</t>
  </si>
  <si>
    <t>Total</t>
  </si>
  <si>
    <t>Sentiment Value</t>
  </si>
  <si>
    <t>Sentiment and Interactions</t>
  </si>
  <si>
    <t>NEW HOUR</t>
  </si>
  <si>
    <t>00:05</t>
  </si>
  <si>
    <t>02:00</t>
  </si>
  <si>
    <t>03:30</t>
  </si>
  <si>
    <t>05:30</t>
  </si>
  <si>
    <t>06:15</t>
  </si>
  <si>
    <t>07:00</t>
  </si>
  <si>
    <t>07:15</t>
  </si>
  <si>
    <t>07:20</t>
  </si>
  <si>
    <t>07:30</t>
  </si>
  <si>
    <t>08:00</t>
  </si>
  <si>
    <t>08:15</t>
  </si>
  <si>
    <t>08:20</t>
  </si>
  <si>
    <t>08:30</t>
  </si>
  <si>
    <t>08:40</t>
  </si>
  <si>
    <t>08:45</t>
  </si>
  <si>
    <t>09:00</t>
  </si>
  <si>
    <t>09:10</t>
  </si>
  <si>
    <t>09:15</t>
  </si>
  <si>
    <t>09:20</t>
  </si>
  <si>
    <t>09:30</t>
  </si>
  <si>
    <t>09:45</t>
  </si>
  <si>
    <t>09:50</t>
  </si>
  <si>
    <t>10:00</t>
  </si>
  <si>
    <t>10:05</t>
  </si>
  <si>
    <t>10:10</t>
  </si>
  <si>
    <t>10:15</t>
  </si>
  <si>
    <t>10:20</t>
  </si>
  <si>
    <t>10:30</t>
  </si>
  <si>
    <t>10:45</t>
  </si>
  <si>
    <t>11:00</t>
  </si>
  <si>
    <t>11:10</t>
  </si>
  <si>
    <t>11:15</t>
  </si>
  <si>
    <t>11:20</t>
  </si>
  <si>
    <t>11:30</t>
  </si>
  <si>
    <t>11:40</t>
  </si>
  <si>
    <t>11:45</t>
  </si>
  <si>
    <t>12:00</t>
  </si>
  <si>
    <t>12:10</t>
  </si>
  <si>
    <t>12:15</t>
  </si>
  <si>
    <t>12:20</t>
  </si>
  <si>
    <t>12:30</t>
  </si>
  <si>
    <t>12:45</t>
  </si>
  <si>
    <t>13:00</t>
  </si>
  <si>
    <t>13:15</t>
  </si>
  <si>
    <t>13:20</t>
  </si>
  <si>
    <t>13:30</t>
  </si>
  <si>
    <t>13:45</t>
  </si>
  <si>
    <t>14:00</t>
  </si>
  <si>
    <t>14:15</t>
  </si>
  <si>
    <t>14:20</t>
  </si>
  <si>
    <t>14:30</t>
  </si>
  <si>
    <t>14:40</t>
  </si>
  <si>
    <t>14:45</t>
  </si>
  <si>
    <t>14:50</t>
  </si>
  <si>
    <t>15:00</t>
  </si>
  <si>
    <t>15:10</t>
  </si>
  <si>
    <t>15:15</t>
  </si>
  <si>
    <t>15:20</t>
  </si>
  <si>
    <t>15:30</t>
  </si>
  <si>
    <t>15:45</t>
  </si>
  <si>
    <t>16:00</t>
  </si>
  <si>
    <t>16:10</t>
  </si>
  <si>
    <t>16:15</t>
  </si>
  <si>
    <t>16:20</t>
  </si>
  <si>
    <t>16:30</t>
  </si>
  <si>
    <t>16:40</t>
  </si>
  <si>
    <t>16:45</t>
  </si>
  <si>
    <t>16:50</t>
  </si>
  <si>
    <t>17:00</t>
  </si>
  <si>
    <t>17:10</t>
  </si>
  <si>
    <t>17:15</t>
  </si>
  <si>
    <t>17:20</t>
  </si>
  <si>
    <t>17:30</t>
  </si>
  <si>
    <t>17:40</t>
  </si>
  <si>
    <t>17:45</t>
  </si>
  <si>
    <t>17:50</t>
  </si>
  <si>
    <t>18:00</t>
  </si>
  <si>
    <t>18:10</t>
  </si>
  <si>
    <t>18:15</t>
  </si>
  <si>
    <t>18:20</t>
  </si>
  <si>
    <t>18:30</t>
  </si>
  <si>
    <t>18:45</t>
  </si>
  <si>
    <t>18:50</t>
  </si>
  <si>
    <t>19:00</t>
  </si>
  <si>
    <t>19:15</t>
  </si>
  <si>
    <t>19:30</t>
  </si>
  <si>
    <t>19:45</t>
  </si>
  <si>
    <t>19:55</t>
  </si>
  <si>
    <t>20:00</t>
  </si>
  <si>
    <t>20:10</t>
  </si>
  <si>
    <t>20:15</t>
  </si>
  <si>
    <t>20:20</t>
  </si>
  <si>
    <t>20:30</t>
  </si>
  <si>
    <t>20:45</t>
  </si>
  <si>
    <t>21:00</t>
  </si>
  <si>
    <t>21:15</t>
  </si>
  <si>
    <t>21:20</t>
  </si>
  <si>
    <t>21:30</t>
  </si>
  <si>
    <t>21:40</t>
  </si>
  <si>
    <t>21:45</t>
  </si>
  <si>
    <t>22:00</t>
  </si>
  <si>
    <t>22:10</t>
  </si>
  <si>
    <t>22:15</t>
  </si>
  <si>
    <t>22:30</t>
  </si>
  <si>
    <t>22:45</t>
  </si>
  <si>
    <t>23:00</t>
  </si>
  <si>
    <t>23:30</t>
  </si>
  <si>
    <t>R2</t>
  </si>
  <si>
    <t>Time of the day and interactions</t>
  </si>
  <si>
    <t>Time of the day and 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</si>
</sst>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hh:mm:ss;@"/>
    <numFmt numFmtId="171" formatCode="h:mm;@"/>
  </numFmts>
  <fonts count="9" x14ac:knownFonts="1">
    <font>
      <sz val="12"/>
      <color theme="1"/>
      <name val="Aptos Narrow"/>
      <family val="2"/>
      <scheme val="minor"/>
    </font>
    <font>
      <b/>
      <sz val="12"/>
      <color theme="1"/>
      <name val="Aptos Narrow"/>
      <family val="2"/>
      <scheme val="minor"/>
    </font>
    <font>
      <sz val="10"/>
      <color indexed="8"/>
      <name val="Helvetica Neue"/>
      <family val="2"/>
    </font>
    <font>
      <b/>
      <sz val="10"/>
      <color indexed="8"/>
      <name val="Helvetica Neue"/>
      <family val="2"/>
    </font>
    <font>
      <sz val="10"/>
      <color theme="1"/>
      <name val="Arial Unicode MS"/>
      <family val="2"/>
    </font>
    <font>
      <b/>
      <sz val="14"/>
      <color theme="1"/>
      <name val="Aptos Narrow"/>
      <scheme val="minor"/>
    </font>
    <font>
      <sz val="14"/>
      <color theme="1"/>
      <name val="Aptos Narrow"/>
      <scheme val="minor"/>
    </font>
    <font>
      <b/>
      <sz val="14"/>
      <color theme="4"/>
      <name val="Aptos Narrow"/>
      <scheme val="minor"/>
    </font>
    <font>
      <sz val="36"/>
      <color theme="1"/>
      <name val="Aptos Narrow (Body)"/>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5" tint="0.59999389629810485"/>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2" fillId="0" borderId="0" applyNumberFormat="0" applyFill="0" applyBorder="0" applyProtection="0">
      <alignment vertical="top" wrapText="1"/>
    </xf>
  </cellStyleXfs>
  <cellXfs count="32">
    <xf numFmtId="0" fontId="0" fillId="0" borderId="0" xfId="0"/>
    <xf numFmtId="22" fontId="0" fillId="0" borderId="0" xfId="0" applyNumberFormat="1"/>
    <xf numFmtId="0" fontId="2" fillId="0" borderId="0" xfId="1" applyNumberFormat="1" applyAlignment="1">
      <alignment vertical="top"/>
    </xf>
    <xf numFmtId="0" fontId="1" fillId="0" borderId="0" xfId="0" applyFont="1"/>
    <xf numFmtId="0" fontId="4" fillId="0" borderId="0" xfId="0" applyFont="1"/>
    <xf numFmtId="1" fontId="0" fillId="0" borderId="0" xfId="0" applyNumberFormat="1"/>
    <xf numFmtId="0" fontId="0" fillId="0" borderId="0" xfId="0" applyAlignment="1">
      <alignment horizontal="left"/>
    </xf>
    <xf numFmtId="0" fontId="0" fillId="0" borderId="0" xfId="0" pivotButton="1"/>
    <xf numFmtId="0" fontId="1" fillId="2" borderId="1" xfId="0" applyFont="1" applyFill="1" applyBorder="1"/>
    <xf numFmtId="0" fontId="3" fillId="0" borderId="0" xfId="1" applyNumberFormat="1" applyFont="1" applyAlignment="1">
      <alignment vertical="top"/>
    </xf>
    <xf numFmtId="14" fontId="4" fillId="0" borderId="0" xfId="0" applyNumberFormat="1" applyFont="1"/>
    <xf numFmtId="0" fontId="0" fillId="3" borderId="0" xfId="0" applyFill="1"/>
    <xf numFmtId="0" fontId="0" fillId="0" borderId="0" xfId="0" applyAlignment="1">
      <alignment wrapText="1"/>
    </xf>
    <xf numFmtId="0" fontId="0" fillId="0" borderId="0" xfId="0" applyNumberFormat="1"/>
    <xf numFmtId="171" fontId="0" fillId="3" borderId="0" xfId="0" applyNumberFormat="1" applyFill="1"/>
    <xf numFmtId="171" fontId="4" fillId="0" borderId="0" xfId="0" applyNumberFormat="1" applyFont="1"/>
    <xf numFmtId="171" fontId="0" fillId="0" borderId="0" xfId="0" applyNumberFormat="1"/>
    <xf numFmtId="1" fontId="0" fillId="3" borderId="0" xfId="0" applyNumberFormat="1" applyFill="1"/>
    <xf numFmtId="1" fontId="0" fillId="0" borderId="0" xfId="0" applyNumberFormat="1" applyAlignment="1">
      <alignment wrapText="1"/>
    </xf>
    <xf numFmtId="0" fontId="0" fillId="4" borderId="0" xfId="0" applyFill="1"/>
    <xf numFmtId="0" fontId="0" fillId="0" borderId="0" xfId="0" applyNumberFormat="1" applyBorder="1"/>
    <xf numFmtId="0" fontId="0" fillId="0" borderId="0" xfId="0" applyBorder="1"/>
    <xf numFmtId="0" fontId="1" fillId="2" borderId="2" xfId="0" applyNumberFormat="1" applyFont="1" applyFill="1" applyBorder="1"/>
    <xf numFmtId="0" fontId="0" fillId="0" borderId="0" xfId="0" applyBorder="1" applyAlignment="1">
      <alignment horizontal="left"/>
    </xf>
    <xf numFmtId="0" fontId="8" fillId="0" borderId="0" xfId="0" applyFont="1"/>
    <xf numFmtId="0" fontId="0" fillId="0" borderId="0" xfId="0" applyFill="1" applyBorder="1"/>
    <xf numFmtId="0" fontId="1" fillId="0" borderId="0" xfId="0" applyFont="1" applyFill="1" applyBorder="1"/>
    <xf numFmtId="0" fontId="6" fillId="0" borderId="0" xfId="0" applyFont="1" applyFill="1" applyBorder="1"/>
    <xf numFmtId="0" fontId="7" fillId="0" borderId="0" xfId="0" applyFont="1" applyFill="1" applyBorder="1"/>
    <xf numFmtId="0" fontId="5" fillId="0" borderId="0" xfId="0" applyFont="1" applyFill="1" applyBorder="1"/>
    <xf numFmtId="0" fontId="0" fillId="0" borderId="0" xfId="0" applyFill="1" applyBorder="1" applyAlignment="1">
      <alignment horizontal="left"/>
    </xf>
    <xf numFmtId="0" fontId="0" fillId="0" borderId="0" xfId="0" applyNumberFormat="1" applyFill="1" applyBorder="1"/>
  </cellXfs>
  <cellStyles count="2">
    <cellStyle name="Normal" xfId="0" builtinId="0"/>
    <cellStyle name="Normal 2" xfId="1" xr:uid="{9E4A7DCF-73F8-AE46-AD48-E888879A9ADB}"/>
  </cellStyles>
  <dxfs count="0"/>
  <tableStyles count="0" defaultTableStyle="TableStyleMedium2" defaultPivotStyle="PivotStyleLight16"/>
  <colors>
    <mruColors>
      <color rgb="FFFFF9DC"/>
      <color rgb="FF445888"/>
      <color rgb="FFE1DFC7"/>
      <color rgb="FFFFF469"/>
      <color rgb="FFFFFB02"/>
      <color rgb="FFC2A5C1"/>
      <color rgb="FF7DBF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Interactions and Sentiment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8273153920955778E-2"/>
          <c:y val="0.17687097564042326"/>
          <c:w val="0.91718139535317988"/>
          <c:h val="0.74699227720020378"/>
        </c:manualLayout>
      </c:layout>
      <c:scatterChart>
        <c:scatterStyle val="lineMarker"/>
        <c:varyColors val="0"/>
        <c:ser>
          <c:idx val="0"/>
          <c:order val="0"/>
          <c:tx>
            <c:strRef>
              <c:f>Transformations!$O$1</c:f>
              <c:strCache>
                <c:ptCount val="1"/>
                <c:pt idx="0">
                  <c:v>Interactions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Transformations!$D$2:$D$733</c:f>
              <c:numCache>
                <c:formatCode>0</c:formatCode>
                <c:ptCount val="732"/>
                <c:pt idx="0">
                  <c:v>1</c:v>
                </c:pt>
                <c:pt idx="1">
                  <c:v>-1</c:v>
                </c:pt>
                <c:pt idx="2">
                  <c:v>1</c:v>
                </c:pt>
                <c:pt idx="3">
                  <c:v>1</c:v>
                </c:pt>
                <c:pt idx="4">
                  <c:v>0</c:v>
                </c:pt>
                <c:pt idx="5">
                  <c:v>1</c:v>
                </c:pt>
                <c:pt idx="6">
                  <c:v>1</c:v>
                </c:pt>
                <c:pt idx="7">
                  <c:v>1</c:v>
                </c:pt>
                <c:pt idx="8">
                  <c:v>-1</c:v>
                </c:pt>
                <c:pt idx="9">
                  <c:v>0</c:v>
                </c:pt>
                <c:pt idx="10">
                  <c:v>1</c:v>
                </c:pt>
                <c:pt idx="11">
                  <c:v>-1</c:v>
                </c:pt>
                <c:pt idx="12">
                  <c:v>1</c:v>
                </c:pt>
                <c:pt idx="13">
                  <c:v>1</c:v>
                </c:pt>
                <c:pt idx="14">
                  <c:v>0</c:v>
                </c:pt>
                <c:pt idx="15">
                  <c:v>1</c:v>
                </c:pt>
                <c:pt idx="16">
                  <c:v>1</c:v>
                </c:pt>
                <c:pt idx="17">
                  <c:v>1</c:v>
                </c:pt>
                <c:pt idx="18">
                  <c:v>0</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0</c:v>
                </c:pt>
                <c:pt idx="62">
                  <c:v>1</c:v>
                </c:pt>
                <c:pt idx="63">
                  <c:v>1</c:v>
                </c:pt>
                <c:pt idx="64">
                  <c:v>-1</c:v>
                </c:pt>
                <c:pt idx="65">
                  <c:v>0</c:v>
                </c:pt>
                <c:pt idx="66">
                  <c:v>1</c:v>
                </c:pt>
                <c:pt idx="67">
                  <c:v>1</c:v>
                </c:pt>
                <c:pt idx="68">
                  <c:v>0</c:v>
                </c:pt>
                <c:pt idx="69">
                  <c:v>-1</c:v>
                </c:pt>
                <c:pt idx="70">
                  <c:v>1</c:v>
                </c:pt>
                <c:pt idx="71">
                  <c:v>0</c:v>
                </c:pt>
                <c:pt idx="72">
                  <c:v>1</c:v>
                </c:pt>
                <c:pt idx="73">
                  <c:v>1</c:v>
                </c:pt>
                <c:pt idx="74">
                  <c:v>1</c:v>
                </c:pt>
                <c:pt idx="75">
                  <c:v>-1</c:v>
                </c:pt>
                <c:pt idx="76">
                  <c:v>-1</c:v>
                </c:pt>
                <c:pt idx="77">
                  <c:v>-1</c:v>
                </c:pt>
                <c:pt idx="78">
                  <c:v>-1</c:v>
                </c:pt>
                <c:pt idx="79">
                  <c:v>-1</c:v>
                </c:pt>
                <c:pt idx="80">
                  <c:v>1</c:v>
                </c:pt>
                <c:pt idx="81">
                  <c:v>1</c:v>
                </c:pt>
                <c:pt idx="82">
                  <c:v>1</c:v>
                </c:pt>
                <c:pt idx="83">
                  <c:v>1</c:v>
                </c:pt>
                <c:pt idx="84">
                  <c:v>1</c:v>
                </c:pt>
                <c:pt idx="85">
                  <c:v>0</c:v>
                </c:pt>
                <c:pt idx="86">
                  <c:v>1</c:v>
                </c:pt>
                <c:pt idx="87">
                  <c:v>1</c:v>
                </c:pt>
                <c:pt idx="88">
                  <c:v>-1</c:v>
                </c:pt>
                <c:pt idx="89">
                  <c:v>0</c:v>
                </c:pt>
                <c:pt idx="90">
                  <c:v>1</c:v>
                </c:pt>
                <c:pt idx="91">
                  <c:v>1</c:v>
                </c:pt>
                <c:pt idx="92">
                  <c:v>0</c:v>
                </c:pt>
                <c:pt idx="93">
                  <c:v>-1</c:v>
                </c:pt>
                <c:pt idx="94">
                  <c:v>1</c:v>
                </c:pt>
                <c:pt idx="95">
                  <c:v>0</c:v>
                </c:pt>
                <c:pt idx="96">
                  <c:v>1</c:v>
                </c:pt>
                <c:pt idx="97">
                  <c:v>1</c:v>
                </c:pt>
                <c:pt idx="98">
                  <c:v>1</c:v>
                </c:pt>
                <c:pt idx="99">
                  <c:v>-1</c:v>
                </c:pt>
                <c:pt idx="100">
                  <c:v>1</c:v>
                </c:pt>
                <c:pt idx="101">
                  <c:v>1</c:v>
                </c:pt>
                <c:pt idx="102">
                  <c:v>-1</c:v>
                </c:pt>
                <c:pt idx="103">
                  <c:v>1</c:v>
                </c:pt>
                <c:pt idx="104">
                  <c:v>0</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0</c:v>
                </c:pt>
                <c:pt idx="197">
                  <c:v>0</c:v>
                </c:pt>
                <c:pt idx="198">
                  <c:v>0</c:v>
                </c:pt>
                <c:pt idx="199">
                  <c:v>0</c:v>
                </c:pt>
                <c:pt idx="200">
                  <c:v>-1</c:v>
                </c:pt>
                <c:pt idx="201">
                  <c:v>0</c:v>
                </c:pt>
                <c:pt idx="202">
                  <c:v>0</c:v>
                </c:pt>
                <c:pt idx="203">
                  <c:v>1</c:v>
                </c:pt>
                <c:pt idx="204">
                  <c:v>1</c:v>
                </c:pt>
                <c:pt idx="205">
                  <c:v>1</c:v>
                </c:pt>
                <c:pt idx="206">
                  <c:v>0</c:v>
                </c:pt>
                <c:pt idx="207">
                  <c:v>0</c:v>
                </c:pt>
                <c:pt idx="208">
                  <c:v>0</c:v>
                </c:pt>
                <c:pt idx="209">
                  <c:v>0</c:v>
                </c:pt>
                <c:pt idx="210">
                  <c:v>-1</c:v>
                </c:pt>
                <c:pt idx="211">
                  <c:v>0</c:v>
                </c:pt>
                <c:pt idx="212">
                  <c:v>0</c:v>
                </c:pt>
                <c:pt idx="213">
                  <c:v>1</c:v>
                </c:pt>
                <c:pt idx="214">
                  <c:v>1</c:v>
                </c:pt>
                <c:pt idx="215">
                  <c:v>1</c:v>
                </c:pt>
                <c:pt idx="216">
                  <c:v>0</c:v>
                </c:pt>
                <c:pt idx="217">
                  <c:v>0</c:v>
                </c:pt>
                <c:pt idx="218">
                  <c:v>0</c:v>
                </c:pt>
                <c:pt idx="219">
                  <c:v>0</c:v>
                </c:pt>
                <c:pt idx="220">
                  <c:v>-1</c:v>
                </c:pt>
                <c:pt idx="221">
                  <c:v>0</c:v>
                </c:pt>
                <c:pt idx="222">
                  <c:v>0</c:v>
                </c:pt>
                <c:pt idx="223">
                  <c:v>1</c:v>
                </c:pt>
                <c:pt idx="224">
                  <c:v>1</c:v>
                </c:pt>
                <c:pt idx="225">
                  <c:v>1</c:v>
                </c:pt>
                <c:pt idx="226">
                  <c:v>0</c:v>
                </c:pt>
                <c:pt idx="227">
                  <c:v>0</c:v>
                </c:pt>
                <c:pt idx="228">
                  <c:v>0</c:v>
                </c:pt>
                <c:pt idx="229">
                  <c:v>-1</c:v>
                </c:pt>
                <c:pt idx="230">
                  <c:v>0</c:v>
                </c:pt>
                <c:pt idx="231">
                  <c:v>0</c:v>
                </c:pt>
                <c:pt idx="232">
                  <c:v>1</c:v>
                </c:pt>
                <c:pt idx="233">
                  <c:v>1</c:v>
                </c:pt>
                <c:pt idx="234">
                  <c:v>1</c:v>
                </c:pt>
                <c:pt idx="235">
                  <c:v>0</c:v>
                </c:pt>
                <c:pt idx="236">
                  <c:v>0</c:v>
                </c:pt>
                <c:pt idx="237">
                  <c:v>0</c:v>
                </c:pt>
                <c:pt idx="238">
                  <c:v>0</c:v>
                </c:pt>
                <c:pt idx="239">
                  <c:v>-1</c:v>
                </c:pt>
                <c:pt idx="240">
                  <c:v>0</c:v>
                </c:pt>
                <c:pt idx="241">
                  <c:v>0</c:v>
                </c:pt>
                <c:pt idx="242">
                  <c:v>1</c:v>
                </c:pt>
                <c:pt idx="243">
                  <c:v>1</c:v>
                </c:pt>
                <c:pt idx="244">
                  <c:v>1</c:v>
                </c:pt>
                <c:pt idx="245">
                  <c:v>0</c:v>
                </c:pt>
                <c:pt idx="246">
                  <c:v>0</c:v>
                </c:pt>
                <c:pt idx="247">
                  <c:v>1</c:v>
                </c:pt>
                <c:pt idx="248">
                  <c:v>1</c:v>
                </c:pt>
                <c:pt idx="249">
                  <c:v>1</c:v>
                </c:pt>
                <c:pt idx="250">
                  <c:v>0</c:v>
                </c:pt>
                <c:pt idx="251">
                  <c:v>1</c:v>
                </c:pt>
                <c:pt idx="252">
                  <c:v>0</c:v>
                </c:pt>
                <c:pt idx="253">
                  <c:v>1</c:v>
                </c:pt>
                <c:pt idx="254">
                  <c:v>1</c:v>
                </c:pt>
                <c:pt idx="255">
                  <c:v>1</c:v>
                </c:pt>
                <c:pt idx="256">
                  <c:v>1</c:v>
                </c:pt>
                <c:pt idx="257">
                  <c:v>1</c:v>
                </c:pt>
                <c:pt idx="258">
                  <c:v>1</c:v>
                </c:pt>
                <c:pt idx="259">
                  <c:v>1</c:v>
                </c:pt>
                <c:pt idx="260">
                  <c:v>0</c:v>
                </c:pt>
                <c:pt idx="261">
                  <c:v>0</c:v>
                </c:pt>
                <c:pt idx="262">
                  <c:v>1</c:v>
                </c:pt>
                <c:pt idx="263">
                  <c:v>1</c:v>
                </c:pt>
                <c:pt idx="264">
                  <c:v>1</c:v>
                </c:pt>
                <c:pt idx="265">
                  <c:v>0</c:v>
                </c:pt>
                <c:pt idx="266">
                  <c:v>1</c:v>
                </c:pt>
                <c:pt idx="267">
                  <c:v>1</c:v>
                </c:pt>
                <c:pt idx="268">
                  <c:v>1</c:v>
                </c:pt>
                <c:pt idx="269">
                  <c:v>1</c:v>
                </c:pt>
                <c:pt idx="270">
                  <c:v>0</c:v>
                </c:pt>
                <c:pt idx="271">
                  <c:v>1</c:v>
                </c:pt>
                <c:pt idx="272">
                  <c:v>1</c:v>
                </c:pt>
                <c:pt idx="273">
                  <c:v>1</c:v>
                </c:pt>
                <c:pt idx="274">
                  <c:v>1</c:v>
                </c:pt>
                <c:pt idx="275">
                  <c:v>1</c:v>
                </c:pt>
                <c:pt idx="276">
                  <c:v>1</c:v>
                </c:pt>
                <c:pt idx="277">
                  <c:v>1</c:v>
                </c:pt>
                <c:pt idx="278">
                  <c:v>1</c:v>
                </c:pt>
                <c:pt idx="279">
                  <c:v>0</c:v>
                </c:pt>
                <c:pt idx="280">
                  <c:v>1</c:v>
                </c:pt>
                <c:pt idx="281">
                  <c:v>1</c:v>
                </c:pt>
                <c:pt idx="282">
                  <c:v>1</c:v>
                </c:pt>
                <c:pt idx="283">
                  <c:v>1</c:v>
                </c:pt>
                <c:pt idx="284">
                  <c:v>0</c:v>
                </c:pt>
                <c:pt idx="285">
                  <c:v>1</c:v>
                </c:pt>
                <c:pt idx="286">
                  <c:v>1</c:v>
                </c:pt>
                <c:pt idx="287">
                  <c:v>1</c:v>
                </c:pt>
                <c:pt idx="288">
                  <c:v>1</c:v>
                </c:pt>
                <c:pt idx="289">
                  <c:v>1</c:v>
                </c:pt>
                <c:pt idx="290">
                  <c:v>1</c:v>
                </c:pt>
                <c:pt idx="291">
                  <c:v>1</c:v>
                </c:pt>
                <c:pt idx="292">
                  <c:v>1</c:v>
                </c:pt>
                <c:pt idx="293">
                  <c:v>0</c:v>
                </c:pt>
                <c:pt idx="294">
                  <c:v>1</c:v>
                </c:pt>
                <c:pt idx="295">
                  <c:v>1</c:v>
                </c:pt>
                <c:pt idx="296">
                  <c:v>-1</c:v>
                </c:pt>
                <c:pt idx="297">
                  <c:v>-1</c:v>
                </c:pt>
                <c:pt idx="298">
                  <c:v>-1</c:v>
                </c:pt>
                <c:pt idx="299">
                  <c:v>-1</c:v>
                </c:pt>
                <c:pt idx="300">
                  <c:v>-1</c:v>
                </c:pt>
                <c:pt idx="301">
                  <c:v>-1</c:v>
                </c:pt>
                <c:pt idx="302">
                  <c:v>-1</c:v>
                </c:pt>
                <c:pt idx="303">
                  <c:v>-1</c:v>
                </c:pt>
                <c:pt idx="304">
                  <c:v>-1</c:v>
                </c:pt>
                <c:pt idx="305">
                  <c:v>-1</c:v>
                </c:pt>
                <c:pt idx="306">
                  <c:v>0</c:v>
                </c:pt>
                <c:pt idx="307">
                  <c:v>-1</c:v>
                </c:pt>
                <c:pt idx="308">
                  <c:v>-1</c:v>
                </c:pt>
                <c:pt idx="309">
                  <c:v>-1</c:v>
                </c:pt>
                <c:pt idx="310">
                  <c:v>-1</c:v>
                </c:pt>
                <c:pt idx="311">
                  <c:v>-1</c:v>
                </c:pt>
                <c:pt idx="312">
                  <c:v>-1</c:v>
                </c:pt>
                <c:pt idx="313">
                  <c:v>-1</c:v>
                </c:pt>
                <c:pt idx="314">
                  <c:v>-1</c:v>
                </c:pt>
                <c:pt idx="315">
                  <c:v>-1</c:v>
                </c:pt>
                <c:pt idx="316">
                  <c:v>0</c:v>
                </c:pt>
                <c:pt idx="317">
                  <c:v>-1</c:v>
                </c:pt>
                <c:pt idx="318">
                  <c:v>-1</c:v>
                </c:pt>
                <c:pt idx="319">
                  <c:v>-1</c:v>
                </c:pt>
                <c:pt idx="320">
                  <c:v>-1</c:v>
                </c:pt>
                <c:pt idx="321">
                  <c:v>-1</c:v>
                </c:pt>
                <c:pt idx="322">
                  <c:v>-1</c:v>
                </c:pt>
                <c:pt idx="323">
                  <c:v>-1</c:v>
                </c:pt>
                <c:pt idx="324">
                  <c:v>-1</c:v>
                </c:pt>
                <c:pt idx="325">
                  <c:v>-1</c:v>
                </c:pt>
                <c:pt idx="326">
                  <c:v>-1</c:v>
                </c:pt>
                <c:pt idx="327">
                  <c:v>-1</c:v>
                </c:pt>
                <c:pt idx="328">
                  <c:v>0</c:v>
                </c:pt>
                <c:pt idx="329">
                  <c:v>-1</c:v>
                </c:pt>
                <c:pt idx="330">
                  <c:v>-1</c:v>
                </c:pt>
                <c:pt idx="331">
                  <c:v>-1</c:v>
                </c:pt>
                <c:pt idx="332">
                  <c:v>1</c:v>
                </c:pt>
                <c:pt idx="333">
                  <c:v>1</c:v>
                </c:pt>
                <c:pt idx="334">
                  <c:v>0</c:v>
                </c:pt>
                <c:pt idx="335">
                  <c:v>1</c:v>
                </c:pt>
                <c:pt idx="336">
                  <c:v>1</c:v>
                </c:pt>
                <c:pt idx="337">
                  <c:v>-1</c:v>
                </c:pt>
                <c:pt idx="338">
                  <c:v>1</c:v>
                </c:pt>
                <c:pt idx="339">
                  <c:v>1</c:v>
                </c:pt>
                <c:pt idx="340">
                  <c:v>-1</c:v>
                </c:pt>
                <c:pt idx="341">
                  <c:v>0</c:v>
                </c:pt>
                <c:pt idx="342">
                  <c:v>0</c:v>
                </c:pt>
                <c:pt idx="343">
                  <c:v>1</c:v>
                </c:pt>
                <c:pt idx="344">
                  <c:v>1</c:v>
                </c:pt>
                <c:pt idx="345">
                  <c:v>1</c:v>
                </c:pt>
                <c:pt idx="346">
                  <c:v>1</c:v>
                </c:pt>
                <c:pt idx="347">
                  <c:v>1</c:v>
                </c:pt>
                <c:pt idx="348">
                  <c:v>1</c:v>
                </c:pt>
                <c:pt idx="349">
                  <c:v>0</c:v>
                </c:pt>
                <c:pt idx="350">
                  <c:v>1</c:v>
                </c:pt>
                <c:pt idx="351">
                  <c:v>1</c:v>
                </c:pt>
                <c:pt idx="352">
                  <c:v>1</c:v>
                </c:pt>
                <c:pt idx="353">
                  <c:v>1</c:v>
                </c:pt>
                <c:pt idx="354">
                  <c:v>1</c:v>
                </c:pt>
                <c:pt idx="355">
                  <c:v>0</c:v>
                </c:pt>
                <c:pt idx="356">
                  <c:v>0</c:v>
                </c:pt>
                <c:pt idx="357">
                  <c:v>0</c:v>
                </c:pt>
                <c:pt idx="358">
                  <c:v>1</c:v>
                </c:pt>
                <c:pt idx="359">
                  <c:v>1</c:v>
                </c:pt>
                <c:pt idx="360">
                  <c:v>1</c:v>
                </c:pt>
                <c:pt idx="361">
                  <c:v>1</c:v>
                </c:pt>
                <c:pt idx="362">
                  <c:v>0</c:v>
                </c:pt>
                <c:pt idx="363">
                  <c:v>1</c:v>
                </c:pt>
                <c:pt idx="364">
                  <c:v>1</c:v>
                </c:pt>
                <c:pt idx="365">
                  <c:v>1</c:v>
                </c:pt>
                <c:pt idx="366">
                  <c:v>1</c:v>
                </c:pt>
                <c:pt idx="367">
                  <c:v>1</c:v>
                </c:pt>
                <c:pt idx="368">
                  <c:v>1</c:v>
                </c:pt>
                <c:pt idx="369">
                  <c:v>0</c:v>
                </c:pt>
                <c:pt idx="370">
                  <c:v>1</c:v>
                </c:pt>
                <c:pt idx="371">
                  <c:v>1</c:v>
                </c:pt>
                <c:pt idx="372">
                  <c:v>1</c:v>
                </c:pt>
                <c:pt idx="373">
                  <c:v>1</c:v>
                </c:pt>
                <c:pt idx="374">
                  <c:v>0</c:v>
                </c:pt>
                <c:pt idx="375">
                  <c:v>1</c:v>
                </c:pt>
                <c:pt idx="376">
                  <c:v>1</c:v>
                </c:pt>
                <c:pt idx="377">
                  <c:v>0</c:v>
                </c:pt>
                <c:pt idx="378">
                  <c:v>1</c:v>
                </c:pt>
                <c:pt idx="379">
                  <c:v>1</c:v>
                </c:pt>
                <c:pt idx="380">
                  <c:v>1</c:v>
                </c:pt>
                <c:pt idx="381">
                  <c:v>1</c:v>
                </c:pt>
                <c:pt idx="382">
                  <c:v>1</c:v>
                </c:pt>
                <c:pt idx="383">
                  <c:v>1</c:v>
                </c:pt>
                <c:pt idx="384">
                  <c:v>1</c:v>
                </c:pt>
                <c:pt idx="385">
                  <c:v>0</c:v>
                </c:pt>
                <c:pt idx="386">
                  <c:v>1</c:v>
                </c:pt>
                <c:pt idx="387">
                  <c:v>1</c:v>
                </c:pt>
                <c:pt idx="388">
                  <c:v>1</c:v>
                </c:pt>
                <c:pt idx="389">
                  <c:v>1</c:v>
                </c:pt>
                <c:pt idx="390">
                  <c:v>1</c:v>
                </c:pt>
                <c:pt idx="391">
                  <c:v>1</c:v>
                </c:pt>
                <c:pt idx="392">
                  <c:v>1</c:v>
                </c:pt>
                <c:pt idx="393">
                  <c:v>0</c:v>
                </c:pt>
                <c:pt idx="394">
                  <c:v>1</c:v>
                </c:pt>
                <c:pt idx="395">
                  <c:v>1</c:v>
                </c:pt>
                <c:pt idx="396">
                  <c:v>1</c:v>
                </c:pt>
                <c:pt idx="397">
                  <c:v>0</c:v>
                </c:pt>
                <c:pt idx="398">
                  <c:v>1</c:v>
                </c:pt>
                <c:pt idx="399">
                  <c:v>1</c:v>
                </c:pt>
                <c:pt idx="400">
                  <c:v>1</c:v>
                </c:pt>
                <c:pt idx="401">
                  <c:v>1</c:v>
                </c:pt>
                <c:pt idx="402">
                  <c:v>1</c:v>
                </c:pt>
                <c:pt idx="403">
                  <c:v>1</c:v>
                </c:pt>
                <c:pt idx="404">
                  <c:v>1</c:v>
                </c:pt>
                <c:pt idx="405">
                  <c:v>0</c:v>
                </c:pt>
                <c:pt idx="406">
                  <c:v>1</c:v>
                </c:pt>
                <c:pt idx="407">
                  <c:v>0</c:v>
                </c:pt>
                <c:pt idx="408">
                  <c:v>1</c:v>
                </c:pt>
                <c:pt idx="409">
                  <c:v>1</c:v>
                </c:pt>
                <c:pt idx="410">
                  <c:v>0</c:v>
                </c:pt>
                <c:pt idx="411">
                  <c:v>1</c:v>
                </c:pt>
                <c:pt idx="412">
                  <c:v>1</c:v>
                </c:pt>
                <c:pt idx="413">
                  <c:v>1</c:v>
                </c:pt>
                <c:pt idx="414">
                  <c:v>1</c:v>
                </c:pt>
                <c:pt idx="415">
                  <c:v>0</c:v>
                </c:pt>
                <c:pt idx="416">
                  <c:v>1</c:v>
                </c:pt>
                <c:pt idx="417">
                  <c:v>1</c:v>
                </c:pt>
                <c:pt idx="418">
                  <c:v>1</c:v>
                </c:pt>
                <c:pt idx="419">
                  <c:v>1</c:v>
                </c:pt>
                <c:pt idx="420">
                  <c:v>-1</c:v>
                </c:pt>
                <c:pt idx="421">
                  <c:v>-1</c:v>
                </c:pt>
                <c:pt idx="422">
                  <c:v>-1</c:v>
                </c:pt>
                <c:pt idx="423">
                  <c:v>-1</c:v>
                </c:pt>
                <c:pt idx="424">
                  <c:v>-1</c:v>
                </c:pt>
                <c:pt idx="425">
                  <c:v>-1</c:v>
                </c:pt>
                <c:pt idx="426">
                  <c:v>0</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0</c:v>
                </c:pt>
                <c:pt idx="460">
                  <c:v>-1</c:v>
                </c:pt>
                <c:pt idx="461">
                  <c:v>0</c:v>
                </c:pt>
                <c:pt idx="462">
                  <c:v>-1</c:v>
                </c:pt>
                <c:pt idx="463">
                  <c:v>-1</c:v>
                </c:pt>
                <c:pt idx="464">
                  <c:v>-1</c:v>
                </c:pt>
                <c:pt idx="465">
                  <c:v>-1</c:v>
                </c:pt>
                <c:pt idx="466">
                  <c:v>-1</c:v>
                </c:pt>
                <c:pt idx="467">
                  <c:v>0</c:v>
                </c:pt>
                <c:pt idx="468">
                  <c:v>-1</c:v>
                </c:pt>
                <c:pt idx="469">
                  <c:v>-1</c:v>
                </c:pt>
                <c:pt idx="470">
                  <c:v>1</c:v>
                </c:pt>
                <c:pt idx="471">
                  <c:v>1</c:v>
                </c:pt>
                <c:pt idx="472">
                  <c:v>1</c:v>
                </c:pt>
                <c:pt idx="473">
                  <c:v>1</c:v>
                </c:pt>
                <c:pt idx="474">
                  <c:v>1</c:v>
                </c:pt>
                <c:pt idx="475">
                  <c:v>1</c:v>
                </c:pt>
                <c:pt idx="476">
                  <c:v>0</c:v>
                </c:pt>
                <c:pt idx="477">
                  <c:v>1</c:v>
                </c:pt>
                <c:pt idx="478">
                  <c:v>1</c:v>
                </c:pt>
                <c:pt idx="479">
                  <c:v>1</c:v>
                </c:pt>
                <c:pt idx="480">
                  <c:v>1</c:v>
                </c:pt>
                <c:pt idx="481">
                  <c:v>1</c:v>
                </c:pt>
                <c:pt idx="482">
                  <c:v>1</c:v>
                </c:pt>
                <c:pt idx="483">
                  <c:v>0</c:v>
                </c:pt>
                <c:pt idx="484">
                  <c:v>0</c:v>
                </c:pt>
                <c:pt idx="485">
                  <c:v>1</c:v>
                </c:pt>
                <c:pt idx="486">
                  <c:v>1</c:v>
                </c:pt>
                <c:pt idx="487">
                  <c:v>1</c:v>
                </c:pt>
                <c:pt idx="488">
                  <c:v>1</c:v>
                </c:pt>
                <c:pt idx="489">
                  <c:v>1</c:v>
                </c:pt>
                <c:pt idx="490">
                  <c:v>0</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0</c:v>
                </c:pt>
                <c:pt idx="511">
                  <c:v>1</c:v>
                </c:pt>
                <c:pt idx="512">
                  <c:v>1</c:v>
                </c:pt>
                <c:pt idx="513">
                  <c:v>0</c:v>
                </c:pt>
                <c:pt idx="514">
                  <c:v>1</c:v>
                </c:pt>
                <c:pt idx="515">
                  <c:v>1</c:v>
                </c:pt>
                <c:pt idx="516">
                  <c:v>1</c:v>
                </c:pt>
                <c:pt idx="517">
                  <c:v>1</c:v>
                </c:pt>
                <c:pt idx="518">
                  <c:v>1</c:v>
                </c:pt>
                <c:pt idx="519">
                  <c:v>1</c:v>
                </c:pt>
                <c:pt idx="520">
                  <c:v>1</c:v>
                </c:pt>
                <c:pt idx="521">
                  <c:v>1</c:v>
                </c:pt>
                <c:pt idx="522">
                  <c:v>0</c:v>
                </c:pt>
                <c:pt idx="523">
                  <c:v>1</c:v>
                </c:pt>
                <c:pt idx="524">
                  <c:v>1</c:v>
                </c:pt>
                <c:pt idx="525">
                  <c:v>1</c:v>
                </c:pt>
                <c:pt idx="526">
                  <c:v>1</c:v>
                </c:pt>
                <c:pt idx="527">
                  <c:v>1</c:v>
                </c:pt>
                <c:pt idx="528">
                  <c:v>1</c:v>
                </c:pt>
                <c:pt idx="529">
                  <c:v>0</c:v>
                </c:pt>
                <c:pt idx="530">
                  <c:v>1</c:v>
                </c:pt>
                <c:pt idx="531">
                  <c:v>0</c:v>
                </c:pt>
                <c:pt idx="532">
                  <c:v>1</c:v>
                </c:pt>
                <c:pt idx="533">
                  <c:v>1</c:v>
                </c:pt>
                <c:pt idx="534">
                  <c:v>0</c:v>
                </c:pt>
                <c:pt idx="535">
                  <c:v>1</c:v>
                </c:pt>
                <c:pt idx="536">
                  <c:v>1</c:v>
                </c:pt>
                <c:pt idx="537">
                  <c:v>0</c:v>
                </c:pt>
                <c:pt idx="538">
                  <c:v>0</c:v>
                </c:pt>
                <c:pt idx="539">
                  <c:v>1</c:v>
                </c:pt>
                <c:pt idx="540">
                  <c:v>1</c:v>
                </c:pt>
                <c:pt idx="541">
                  <c:v>1</c:v>
                </c:pt>
                <c:pt idx="542">
                  <c:v>1</c:v>
                </c:pt>
                <c:pt idx="543">
                  <c:v>0</c:v>
                </c:pt>
                <c:pt idx="544">
                  <c:v>1</c:v>
                </c:pt>
                <c:pt idx="545">
                  <c:v>1</c:v>
                </c:pt>
                <c:pt idx="546">
                  <c:v>1</c:v>
                </c:pt>
                <c:pt idx="547">
                  <c:v>1</c:v>
                </c:pt>
                <c:pt idx="548">
                  <c:v>1</c:v>
                </c:pt>
                <c:pt idx="549">
                  <c:v>1</c:v>
                </c:pt>
                <c:pt idx="550">
                  <c:v>-1</c:v>
                </c:pt>
                <c:pt idx="551">
                  <c:v>-1</c:v>
                </c:pt>
                <c:pt idx="552">
                  <c:v>0</c:v>
                </c:pt>
                <c:pt idx="553">
                  <c:v>-1</c:v>
                </c:pt>
                <c:pt idx="554">
                  <c:v>0</c:v>
                </c:pt>
                <c:pt idx="555">
                  <c:v>-1</c:v>
                </c:pt>
                <c:pt idx="556">
                  <c:v>0</c:v>
                </c:pt>
                <c:pt idx="557">
                  <c:v>-1</c:v>
                </c:pt>
                <c:pt idx="558">
                  <c:v>-1</c:v>
                </c:pt>
                <c:pt idx="559">
                  <c:v>-1</c:v>
                </c:pt>
                <c:pt idx="560">
                  <c:v>1</c:v>
                </c:pt>
                <c:pt idx="561">
                  <c:v>1</c:v>
                </c:pt>
                <c:pt idx="562">
                  <c:v>1</c:v>
                </c:pt>
                <c:pt idx="563">
                  <c:v>1</c:v>
                </c:pt>
                <c:pt idx="564">
                  <c:v>1</c:v>
                </c:pt>
                <c:pt idx="565">
                  <c:v>1</c:v>
                </c:pt>
                <c:pt idx="566">
                  <c:v>1</c:v>
                </c:pt>
                <c:pt idx="567">
                  <c:v>0</c:v>
                </c:pt>
                <c:pt idx="568">
                  <c:v>1</c:v>
                </c:pt>
                <c:pt idx="569">
                  <c:v>1</c:v>
                </c:pt>
                <c:pt idx="570">
                  <c:v>1</c:v>
                </c:pt>
                <c:pt idx="571">
                  <c:v>1</c:v>
                </c:pt>
                <c:pt idx="572">
                  <c:v>1</c:v>
                </c:pt>
                <c:pt idx="573">
                  <c:v>1</c:v>
                </c:pt>
                <c:pt idx="574">
                  <c:v>1</c:v>
                </c:pt>
                <c:pt idx="575">
                  <c:v>1</c:v>
                </c:pt>
                <c:pt idx="576">
                  <c:v>1</c:v>
                </c:pt>
                <c:pt idx="577">
                  <c:v>1</c:v>
                </c:pt>
                <c:pt idx="578">
                  <c:v>1</c:v>
                </c:pt>
                <c:pt idx="579">
                  <c:v>0</c:v>
                </c:pt>
                <c:pt idx="580">
                  <c:v>1</c:v>
                </c:pt>
                <c:pt idx="581">
                  <c:v>-1</c:v>
                </c:pt>
                <c:pt idx="582">
                  <c:v>1</c:v>
                </c:pt>
                <c:pt idx="583">
                  <c:v>-1</c:v>
                </c:pt>
                <c:pt idx="584">
                  <c:v>0</c:v>
                </c:pt>
                <c:pt idx="585">
                  <c:v>0</c:v>
                </c:pt>
                <c:pt idx="586">
                  <c:v>1</c:v>
                </c:pt>
                <c:pt idx="587">
                  <c:v>-1</c:v>
                </c:pt>
                <c:pt idx="588">
                  <c:v>0</c:v>
                </c:pt>
                <c:pt idx="589">
                  <c:v>1</c:v>
                </c:pt>
                <c:pt idx="590">
                  <c:v>1</c:v>
                </c:pt>
                <c:pt idx="591">
                  <c:v>1</c:v>
                </c:pt>
                <c:pt idx="592">
                  <c:v>1</c:v>
                </c:pt>
                <c:pt idx="593">
                  <c:v>-1</c:v>
                </c:pt>
                <c:pt idx="594">
                  <c:v>1</c:v>
                </c:pt>
                <c:pt idx="595">
                  <c:v>1</c:v>
                </c:pt>
                <c:pt idx="596">
                  <c:v>1</c:v>
                </c:pt>
                <c:pt idx="597">
                  <c:v>1</c:v>
                </c:pt>
                <c:pt idx="598">
                  <c:v>1</c:v>
                </c:pt>
                <c:pt idx="599">
                  <c:v>1</c:v>
                </c:pt>
                <c:pt idx="600">
                  <c:v>0</c:v>
                </c:pt>
                <c:pt idx="601">
                  <c:v>0</c:v>
                </c:pt>
                <c:pt idx="602">
                  <c:v>1</c:v>
                </c:pt>
                <c:pt idx="603">
                  <c:v>1</c:v>
                </c:pt>
                <c:pt idx="604">
                  <c:v>0</c:v>
                </c:pt>
                <c:pt idx="605">
                  <c:v>1</c:v>
                </c:pt>
                <c:pt idx="606">
                  <c:v>0</c:v>
                </c:pt>
                <c:pt idx="607">
                  <c:v>1</c:v>
                </c:pt>
                <c:pt idx="608">
                  <c:v>1</c:v>
                </c:pt>
                <c:pt idx="609">
                  <c:v>1</c:v>
                </c:pt>
                <c:pt idx="610">
                  <c:v>1</c:v>
                </c:pt>
                <c:pt idx="611">
                  <c:v>1</c:v>
                </c:pt>
                <c:pt idx="612">
                  <c:v>1</c:v>
                </c:pt>
                <c:pt idx="613">
                  <c:v>1</c:v>
                </c:pt>
                <c:pt idx="614">
                  <c:v>1</c:v>
                </c:pt>
                <c:pt idx="615">
                  <c:v>1</c:v>
                </c:pt>
                <c:pt idx="616">
                  <c:v>1</c:v>
                </c:pt>
                <c:pt idx="617">
                  <c:v>0</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0</c:v>
                </c:pt>
                <c:pt idx="639">
                  <c:v>1</c:v>
                </c:pt>
                <c:pt idx="640">
                  <c:v>1</c:v>
                </c:pt>
                <c:pt idx="641">
                  <c:v>1</c:v>
                </c:pt>
                <c:pt idx="642">
                  <c:v>0</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0</c:v>
                </c:pt>
                <c:pt idx="658">
                  <c:v>1</c:v>
                </c:pt>
                <c:pt idx="659">
                  <c:v>-1</c:v>
                </c:pt>
                <c:pt idx="660">
                  <c:v>-1</c:v>
                </c:pt>
                <c:pt idx="661">
                  <c:v>-1</c:v>
                </c:pt>
                <c:pt idx="662">
                  <c:v>1</c:v>
                </c:pt>
                <c:pt idx="663">
                  <c:v>1</c:v>
                </c:pt>
                <c:pt idx="664">
                  <c:v>0</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numCache>
            </c:numRef>
          </c:xVal>
          <c:yVal>
            <c:numRef>
              <c:f>Transformations!$O$2:$O$733</c:f>
              <c:numCache>
                <c:formatCode>General</c:formatCode>
                <c:ptCount val="732"/>
                <c:pt idx="0">
                  <c:v>45</c:v>
                </c:pt>
                <c:pt idx="1">
                  <c:v>15</c:v>
                </c:pt>
                <c:pt idx="2">
                  <c:v>60</c:v>
                </c:pt>
                <c:pt idx="3">
                  <c:v>23</c:v>
                </c:pt>
                <c:pt idx="4">
                  <c:v>37</c:v>
                </c:pt>
                <c:pt idx="5">
                  <c:v>75</c:v>
                </c:pt>
                <c:pt idx="6">
                  <c:v>30</c:v>
                </c:pt>
                <c:pt idx="7">
                  <c:v>45</c:v>
                </c:pt>
                <c:pt idx="8">
                  <c:v>90</c:v>
                </c:pt>
                <c:pt idx="9">
                  <c:v>53</c:v>
                </c:pt>
                <c:pt idx="10">
                  <c:v>67</c:v>
                </c:pt>
                <c:pt idx="11">
                  <c:v>22</c:v>
                </c:pt>
                <c:pt idx="12">
                  <c:v>37</c:v>
                </c:pt>
                <c:pt idx="13">
                  <c:v>83</c:v>
                </c:pt>
                <c:pt idx="14">
                  <c:v>45</c:v>
                </c:pt>
                <c:pt idx="15">
                  <c:v>60</c:v>
                </c:pt>
                <c:pt idx="16">
                  <c:v>45</c:v>
                </c:pt>
                <c:pt idx="17">
                  <c:v>53</c:v>
                </c:pt>
                <c:pt idx="18">
                  <c:v>75</c:v>
                </c:pt>
                <c:pt idx="19">
                  <c:v>23</c:v>
                </c:pt>
                <c:pt idx="20">
                  <c:v>67</c:v>
                </c:pt>
                <c:pt idx="21">
                  <c:v>45</c:v>
                </c:pt>
                <c:pt idx="22">
                  <c:v>90</c:v>
                </c:pt>
                <c:pt idx="23">
                  <c:v>60</c:v>
                </c:pt>
                <c:pt idx="24">
                  <c:v>37</c:v>
                </c:pt>
                <c:pt idx="25">
                  <c:v>45</c:v>
                </c:pt>
                <c:pt idx="26">
                  <c:v>75</c:v>
                </c:pt>
                <c:pt idx="27">
                  <c:v>45</c:v>
                </c:pt>
                <c:pt idx="28">
                  <c:v>67</c:v>
                </c:pt>
                <c:pt idx="29">
                  <c:v>37</c:v>
                </c:pt>
                <c:pt idx="30">
                  <c:v>53</c:v>
                </c:pt>
                <c:pt idx="31">
                  <c:v>45</c:v>
                </c:pt>
                <c:pt idx="32">
                  <c:v>90</c:v>
                </c:pt>
                <c:pt idx="33">
                  <c:v>75</c:v>
                </c:pt>
                <c:pt idx="34">
                  <c:v>45</c:v>
                </c:pt>
                <c:pt idx="35">
                  <c:v>67</c:v>
                </c:pt>
                <c:pt idx="36">
                  <c:v>53</c:v>
                </c:pt>
                <c:pt idx="37">
                  <c:v>45</c:v>
                </c:pt>
                <c:pt idx="38">
                  <c:v>37</c:v>
                </c:pt>
                <c:pt idx="39">
                  <c:v>90</c:v>
                </c:pt>
                <c:pt idx="40">
                  <c:v>75</c:v>
                </c:pt>
                <c:pt idx="41">
                  <c:v>45</c:v>
                </c:pt>
                <c:pt idx="42">
                  <c:v>67</c:v>
                </c:pt>
                <c:pt idx="43">
                  <c:v>53</c:v>
                </c:pt>
                <c:pt idx="44">
                  <c:v>45</c:v>
                </c:pt>
                <c:pt idx="45">
                  <c:v>37</c:v>
                </c:pt>
                <c:pt idx="46">
                  <c:v>83</c:v>
                </c:pt>
                <c:pt idx="47">
                  <c:v>45</c:v>
                </c:pt>
                <c:pt idx="48">
                  <c:v>60</c:v>
                </c:pt>
                <c:pt idx="49">
                  <c:v>45</c:v>
                </c:pt>
                <c:pt idx="50">
                  <c:v>67</c:v>
                </c:pt>
                <c:pt idx="51">
                  <c:v>53</c:v>
                </c:pt>
                <c:pt idx="52">
                  <c:v>60</c:v>
                </c:pt>
                <c:pt idx="53">
                  <c:v>45</c:v>
                </c:pt>
                <c:pt idx="54">
                  <c:v>75</c:v>
                </c:pt>
                <c:pt idx="55">
                  <c:v>53</c:v>
                </c:pt>
                <c:pt idx="56">
                  <c:v>90</c:v>
                </c:pt>
                <c:pt idx="57">
                  <c:v>67</c:v>
                </c:pt>
                <c:pt idx="58">
                  <c:v>45</c:v>
                </c:pt>
                <c:pt idx="59">
                  <c:v>53</c:v>
                </c:pt>
                <c:pt idx="60">
                  <c:v>75</c:v>
                </c:pt>
                <c:pt idx="61">
                  <c:v>60</c:v>
                </c:pt>
                <c:pt idx="62">
                  <c:v>45</c:v>
                </c:pt>
                <c:pt idx="63">
                  <c:v>67</c:v>
                </c:pt>
                <c:pt idx="64">
                  <c:v>53</c:v>
                </c:pt>
                <c:pt idx="65">
                  <c:v>75</c:v>
                </c:pt>
                <c:pt idx="66">
                  <c:v>45</c:v>
                </c:pt>
                <c:pt idx="67">
                  <c:v>67</c:v>
                </c:pt>
                <c:pt idx="68">
                  <c:v>60</c:v>
                </c:pt>
                <c:pt idx="69">
                  <c:v>53</c:v>
                </c:pt>
                <c:pt idx="70">
                  <c:v>45</c:v>
                </c:pt>
                <c:pt idx="71">
                  <c:v>75</c:v>
                </c:pt>
                <c:pt idx="72">
                  <c:v>67</c:v>
                </c:pt>
                <c:pt idx="73">
                  <c:v>60</c:v>
                </c:pt>
                <c:pt idx="74">
                  <c:v>90</c:v>
                </c:pt>
                <c:pt idx="75">
                  <c:v>45</c:v>
                </c:pt>
                <c:pt idx="76">
                  <c:v>60</c:v>
                </c:pt>
                <c:pt idx="77">
                  <c:v>45</c:v>
                </c:pt>
                <c:pt idx="78">
                  <c:v>75</c:v>
                </c:pt>
                <c:pt idx="79">
                  <c:v>53</c:v>
                </c:pt>
                <c:pt idx="80">
                  <c:v>90</c:v>
                </c:pt>
                <c:pt idx="81">
                  <c:v>67</c:v>
                </c:pt>
                <c:pt idx="82">
                  <c:v>45</c:v>
                </c:pt>
                <c:pt idx="83">
                  <c:v>53</c:v>
                </c:pt>
                <c:pt idx="84">
                  <c:v>75</c:v>
                </c:pt>
                <c:pt idx="85">
                  <c:v>60</c:v>
                </c:pt>
                <c:pt idx="86">
                  <c:v>45</c:v>
                </c:pt>
                <c:pt idx="87">
                  <c:v>67</c:v>
                </c:pt>
                <c:pt idx="88">
                  <c:v>53</c:v>
                </c:pt>
                <c:pt idx="89">
                  <c:v>75</c:v>
                </c:pt>
                <c:pt idx="90">
                  <c:v>45</c:v>
                </c:pt>
                <c:pt idx="91">
                  <c:v>67</c:v>
                </c:pt>
                <c:pt idx="92">
                  <c:v>60</c:v>
                </c:pt>
                <c:pt idx="93">
                  <c:v>53</c:v>
                </c:pt>
                <c:pt idx="94">
                  <c:v>45</c:v>
                </c:pt>
                <c:pt idx="95">
                  <c:v>75</c:v>
                </c:pt>
                <c:pt idx="96">
                  <c:v>67</c:v>
                </c:pt>
                <c:pt idx="97">
                  <c:v>60</c:v>
                </c:pt>
                <c:pt idx="98">
                  <c:v>90</c:v>
                </c:pt>
                <c:pt idx="99">
                  <c:v>45</c:v>
                </c:pt>
                <c:pt idx="100">
                  <c:v>67</c:v>
                </c:pt>
                <c:pt idx="101">
                  <c:v>53</c:v>
                </c:pt>
                <c:pt idx="102">
                  <c:v>45</c:v>
                </c:pt>
                <c:pt idx="103">
                  <c:v>45</c:v>
                </c:pt>
                <c:pt idx="104">
                  <c:v>90</c:v>
                </c:pt>
                <c:pt idx="105">
                  <c:v>75</c:v>
                </c:pt>
                <c:pt idx="106">
                  <c:v>67</c:v>
                </c:pt>
                <c:pt idx="107">
                  <c:v>37</c:v>
                </c:pt>
                <c:pt idx="108">
                  <c:v>45</c:v>
                </c:pt>
                <c:pt idx="109">
                  <c:v>60</c:v>
                </c:pt>
                <c:pt idx="110">
                  <c:v>45</c:v>
                </c:pt>
                <c:pt idx="111">
                  <c:v>75</c:v>
                </c:pt>
                <c:pt idx="112">
                  <c:v>53</c:v>
                </c:pt>
                <c:pt idx="113">
                  <c:v>90</c:v>
                </c:pt>
                <c:pt idx="114">
                  <c:v>67</c:v>
                </c:pt>
                <c:pt idx="115">
                  <c:v>45</c:v>
                </c:pt>
                <c:pt idx="116">
                  <c:v>53</c:v>
                </c:pt>
                <c:pt idx="117">
                  <c:v>75</c:v>
                </c:pt>
                <c:pt idx="118">
                  <c:v>60</c:v>
                </c:pt>
                <c:pt idx="119">
                  <c:v>45</c:v>
                </c:pt>
                <c:pt idx="120">
                  <c:v>67</c:v>
                </c:pt>
                <c:pt idx="121">
                  <c:v>53</c:v>
                </c:pt>
                <c:pt idx="122">
                  <c:v>75</c:v>
                </c:pt>
                <c:pt idx="123">
                  <c:v>45</c:v>
                </c:pt>
                <c:pt idx="124">
                  <c:v>90</c:v>
                </c:pt>
                <c:pt idx="125">
                  <c:v>67</c:v>
                </c:pt>
                <c:pt idx="126">
                  <c:v>45</c:v>
                </c:pt>
                <c:pt idx="127">
                  <c:v>53</c:v>
                </c:pt>
                <c:pt idx="128">
                  <c:v>75</c:v>
                </c:pt>
                <c:pt idx="129">
                  <c:v>53</c:v>
                </c:pt>
                <c:pt idx="130">
                  <c:v>75</c:v>
                </c:pt>
                <c:pt idx="131">
                  <c:v>60</c:v>
                </c:pt>
                <c:pt idx="132">
                  <c:v>45</c:v>
                </c:pt>
                <c:pt idx="133">
                  <c:v>67</c:v>
                </c:pt>
                <c:pt idx="134">
                  <c:v>53</c:v>
                </c:pt>
                <c:pt idx="135">
                  <c:v>75</c:v>
                </c:pt>
                <c:pt idx="136">
                  <c:v>60</c:v>
                </c:pt>
                <c:pt idx="137">
                  <c:v>45</c:v>
                </c:pt>
                <c:pt idx="138">
                  <c:v>75</c:v>
                </c:pt>
                <c:pt idx="139">
                  <c:v>53</c:v>
                </c:pt>
                <c:pt idx="140">
                  <c:v>90</c:v>
                </c:pt>
                <c:pt idx="141">
                  <c:v>67</c:v>
                </c:pt>
                <c:pt idx="142">
                  <c:v>45</c:v>
                </c:pt>
                <c:pt idx="143">
                  <c:v>53</c:v>
                </c:pt>
                <c:pt idx="144">
                  <c:v>75</c:v>
                </c:pt>
                <c:pt idx="145">
                  <c:v>60</c:v>
                </c:pt>
                <c:pt idx="146">
                  <c:v>45</c:v>
                </c:pt>
                <c:pt idx="147">
                  <c:v>67</c:v>
                </c:pt>
                <c:pt idx="148">
                  <c:v>53</c:v>
                </c:pt>
                <c:pt idx="149">
                  <c:v>75</c:v>
                </c:pt>
                <c:pt idx="150">
                  <c:v>45</c:v>
                </c:pt>
                <c:pt idx="151">
                  <c:v>90</c:v>
                </c:pt>
                <c:pt idx="152">
                  <c:v>67</c:v>
                </c:pt>
                <c:pt idx="153">
                  <c:v>45</c:v>
                </c:pt>
                <c:pt idx="154">
                  <c:v>53</c:v>
                </c:pt>
                <c:pt idx="155">
                  <c:v>75</c:v>
                </c:pt>
                <c:pt idx="156">
                  <c:v>53</c:v>
                </c:pt>
                <c:pt idx="157">
                  <c:v>75</c:v>
                </c:pt>
                <c:pt idx="158">
                  <c:v>60</c:v>
                </c:pt>
                <c:pt idx="159">
                  <c:v>45</c:v>
                </c:pt>
                <c:pt idx="160">
                  <c:v>67</c:v>
                </c:pt>
                <c:pt idx="161">
                  <c:v>53</c:v>
                </c:pt>
                <c:pt idx="162">
                  <c:v>75</c:v>
                </c:pt>
                <c:pt idx="163">
                  <c:v>15</c:v>
                </c:pt>
                <c:pt idx="164">
                  <c:v>23</c:v>
                </c:pt>
                <c:pt idx="165">
                  <c:v>30</c:v>
                </c:pt>
                <c:pt idx="166">
                  <c:v>37</c:v>
                </c:pt>
                <c:pt idx="167">
                  <c:v>22</c:v>
                </c:pt>
                <c:pt idx="168">
                  <c:v>30</c:v>
                </c:pt>
                <c:pt idx="169">
                  <c:v>23</c:v>
                </c:pt>
                <c:pt idx="170">
                  <c:v>37</c:v>
                </c:pt>
                <c:pt idx="171">
                  <c:v>45</c:v>
                </c:pt>
                <c:pt idx="172">
                  <c:v>23</c:v>
                </c:pt>
                <c:pt idx="173">
                  <c:v>30</c:v>
                </c:pt>
                <c:pt idx="174">
                  <c:v>37</c:v>
                </c:pt>
                <c:pt idx="175">
                  <c:v>22</c:v>
                </c:pt>
                <c:pt idx="176">
                  <c:v>30</c:v>
                </c:pt>
                <c:pt idx="177">
                  <c:v>37</c:v>
                </c:pt>
                <c:pt idx="178">
                  <c:v>45</c:v>
                </c:pt>
                <c:pt idx="179">
                  <c:v>23</c:v>
                </c:pt>
                <c:pt idx="180">
                  <c:v>30</c:v>
                </c:pt>
                <c:pt idx="181">
                  <c:v>37</c:v>
                </c:pt>
                <c:pt idx="182">
                  <c:v>22</c:v>
                </c:pt>
                <c:pt idx="183">
                  <c:v>30</c:v>
                </c:pt>
                <c:pt idx="184">
                  <c:v>45</c:v>
                </c:pt>
                <c:pt idx="185">
                  <c:v>23</c:v>
                </c:pt>
                <c:pt idx="186">
                  <c:v>30</c:v>
                </c:pt>
                <c:pt idx="187">
                  <c:v>37</c:v>
                </c:pt>
                <c:pt idx="188">
                  <c:v>22</c:v>
                </c:pt>
                <c:pt idx="189">
                  <c:v>30</c:v>
                </c:pt>
                <c:pt idx="190">
                  <c:v>37</c:v>
                </c:pt>
                <c:pt idx="191">
                  <c:v>45</c:v>
                </c:pt>
                <c:pt idx="192">
                  <c:v>23</c:v>
                </c:pt>
                <c:pt idx="193">
                  <c:v>30</c:v>
                </c:pt>
                <c:pt idx="194">
                  <c:v>37</c:v>
                </c:pt>
                <c:pt idx="195">
                  <c:v>22</c:v>
                </c:pt>
                <c:pt idx="196">
                  <c:v>45</c:v>
                </c:pt>
                <c:pt idx="197">
                  <c:v>22</c:v>
                </c:pt>
                <c:pt idx="198">
                  <c:v>30</c:v>
                </c:pt>
                <c:pt idx="199">
                  <c:v>23</c:v>
                </c:pt>
                <c:pt idx="200">
                  <c:v>37</c:v>
                </c:pt>
                <c:pt idx="201">
                  <c:v>30</c:v>
                </c:pt>
                <c:pt idx="202">
                  <c:v>37</c:v>
                </c:pt>
                <c:pt idx="203">
                  <c:v>45</c:v>
                </c:pt>
                <c:pt idx="204">
                  <c:v>30</c:v>
                </c:pt>
                <c:pt idx="205">
                  <c:v>37</c:v>
                </c:pt>
                <c:pt idx="206">
                  <c:v>60</c:v>
                </c:pt>
                <c:pt idx="207">
                  <c:v>30</c:v>
                </c:pt>
                <c:pt idx="208">
                  <c:v>45</c:v>
                </c:pt>
                <c:pt idx="209">
                  <c:v>23</c:v>
                </c:pt>
                <c:pt idx="210">
                  <c:v>37</c:v>
                </c:pt>
                <c:pt idx="211">
                  <c:v>30</c:v>
                </c:pt>
                <c:pt idx="212">
                  <c:v>37</c:v>
                </c:pt>
                <c:pt idx="213">
                  <c:v>45</c:v>
                </c:pt>
                <c:pt idx="214">
                  <c:v>53</c:v>
                </c:pt>
                <c:pt idx="215">
                  <c:v>75</c:v>
                </c:pt>
                <c:pt idx="216">
                  <c:v>67</c:v>
                </c:pt>
                <c:pt idx="217">
                  <c:v>27</c:v>
                </c:pt>
                <c:pt idx="218">
                  <c:v>42</c:v>
                </c:pt>
                <c:pt idx="219">
                  <c:v>30</c:v>
                </c:pt>
                <c:pt idx="220">
                  <c:v>39</c:v>
                </c:pt>
                <c:pt idx="221">
                  <c:v>37</c:v>
                </c:pt>
                <c:pt idx="222">
                  <c:v>45</c:v>
                </c:pt>
                <c:pt idx="223">
                  <c:v>54</c:v>
                </c:pt>
                <c:pt idx="224">
                  <c:v>60</c:v>
                </c:pt>
                <c:pt idx="225">
                  <c:v>75</c:v>
                </c:pt>
                <c:pt idx="226">
                  <c:v>27</c:v>
                </c:pt>
                <c:pt idx="227">
                  <c:v>42</c:v>
                </c:pt>
                <c:pt idx="228">
                  <c:v>33</c:v>
                </c:pt>
                <c:pt idx="229">
                  <c:v>39</c:v>
                </c:pt>
                <c:pt idx="230">
                  <c:v>37</c:v>
                </c:pt>
                <c:pt idx="231">
                  <c:v>45</c:v>
                </c:pt>
                <c:pt idx="232">
                  <c:v>54</c:v>
                </c:pt>
                <c:pt idx="233">
                  <c:v>60</c:v>
                </c:pt>
                <c:pt idx="234">
                  <c:v>75</c:v>
                </c:pt>
                <c:pt idx="235">
                  <c:v>67</c:v>
                </c:pt>
                <c:pt idx="236">
                  <c:v>27</c:v>
                </c:pt>
                <c:pt idx="237">
                  <c:v>42</c:v>
                </c:pt>
                <c:pt idx="238">
                  <c:v>30</c:v>
                </c:pt>
                <c:pt idx="239">
                  <c:v>39</c:v>
                </c:pt>
                <c:pt idx="240">
                  <c:v>37</c:v>
                </c:pt>
                <c:pt idx="241">
                  <c:v>45</c:v>
                </c:pt>
                <c:pt idx="242">
                  <c:v>54</c:v>
                </c:pt>
                <c:pt idx="243">
                  <c:v>60</c:v>
                </c:pt>
                <c:pt idx="244">
                  <c:v>75</c:v>
                </c:pt>
                <c:pt idx="245">
                  <c:v>66</c:v>
                </c:pt>
                <c:pt idx="246">
                  <c:v>30</c:v>
                </c:pt>
                <c:pt idx="247">
                  <c:v>45</c:v>
                </c:pt>
                <c:pt idx="248">
                  <c:v>54</c:v>
                </c:pt>
                <c:pt idx="249">
                  <c:v>36</c:v>
                </c:pt>
                <c:pt idx="250">
                  <c:v>75</c:v>
                </c:pt>
                <c:pt idx="251">
                  <c:v>60</c:v>
                </c:pt>
                <c:pt idx="252">
                  <c:v>45</c:v>
                </c:pt>
                <c:pt idx="253">
                  <c:v>54</c:v>
                </c:pt>
                <c:pt idx="254">
                  <c:v>66</c:v>
                </c:pt>
                <c:pt idx="255">
                  <c:v>60</c:v>
                </c:pt>
                <c:pt idx="256">
                  <c:v>45</c:v>
                </c:pt>
                <c:pt idx="257">
                  <c:v>36</c:v>
                </c:pt>
                <c:pt idx="258">
                  <c:v>75</c:v>
                </c:pt>
                <c:pt idx="259">
                  <c:v>39</c:v>
                </c:pt>
                <c:pt idx="260">
                  <c:v>51</c:v>
                </c:pt>
                <c:pt idx="261">
                  <c:v>42</c:v>
                </c:pt>
                <c:pt idx="262">
                  <c:v>57</c:v>
                </c:pt>
                <c:pt idx="263">
                  <c:v>48</c:v>
                </c:pt>
                <c:pt idx="264">
                  <c:v>63</c:v>
                </c:pt>
                <c:pt idx="265">
                  <c:v>69</c:v>
                </c:pt>
                <c:pt idx="266">
                  <c:v>42</c:v>
                </c:pt>
                <c:pt idx="267">
                  <c:v>72</c:v>
                </c:pt>
                <c:pt idx="268">
                  <c:v>54</c:v>
                </c:pt>
                <c:pt idx="269">
                  <c:v>60</c:v>
                </c:pt>
                <c:pt idx="270">
                  <c:v>48</c:v>
                </c:pt>
                <c:pt idx="271">
                  <c:v>66</c:v>
                </c:pt>
                <c:pt idx="272">
                  <c:v>57</c:v>
                </c:pt>
                <c:pt idx="273">
                  <c:v>69</c:v>
                </c:pt>
                <c:pt idx="274">
                  <c:v>45</c:v>
                </c:pt>
                <c:pt idx="275">
                  <c:v>75</c:v>
                </c:pt>
                <c:pt idx="276">
                  <c:v>42</c:v>
                </c:pt>
                <c:pt idx="277">
                  <c:v>51</c:v>
                </c:pt>
                <c:pt idx="278">
                  <c:v>63</c:v>
                </c:pt>
                <c:pt idx="279">
                  <c:v>69</c:v>
                </c:pt>
                <c:pt idx="280">
                  <c:v>42</c:v>
                </c:pt>
                <c:pt idx="281">
                  <c:v>72</c:v>
                </c:pt>
                <c:pt idx="282">
                  <c:v>54</c:v>
                </c:pt>
                <c:pt idx="283">
                  <c:v>60</c:v>
                </c:pt>
                <c:pt idx="284">
                  <c:v>48</c:v>
                </c:pt>
                <c:pt idx="285">
                  <c:v>66</c:v>
                </c:pt>
                <c:pt idx="286">
                  <c:v>57</c:v>
                </c:pt>
                <c:pt idx="287">
                  <c:v>69</c:v>
                </c:pt>
                <c:pt idx="288">
                  <c:v>45</c:v>
                </c:pt>
                <c:pt idx="289">
                  <c:v>75</c:v>
                </c:pt>
                <c:pt idx="290">
                  <c:v>42</c:v>
                </c:pt>
                <c:pt idx="291">
                  <c:v>51</c:v>
                </c:pt>
                <c:pt idx="292">
                  <c:v>63</c:v>
                </c:pt>
                <c:pt idx="293">
                  <c:v>69</c:v>
                </c:pt>
                <c:pt idx="294">
                  <c:v>42</c:v>
                </c:pt>
                <c:pt idx="295">
                  <c:v>72</c:v>
                </c:pt>
                <c:pt idx="296">
                  <c:v>24</c:v>
                </c:pt>
                <c:pt idx="297">
                  <c:v>36</c:v>
                </c:pt>
                <c:pt idx="298">
                  <c:v>45</c:v>
                </c:pt>
                <c:pt idx="299">
                  <c:v>30</c:v>
                </c:pt>
                <c:pt idx="300">
                  <c:v>54</c:v>
                </c:pt>
                <c:pt idx="301">
                  <c:v>42</c:v>
                </c:pt>
                <c:pt idx="302">
                  <c:v>66</c:v>
                </c:pt>
                <c:pt idx="303">
                  <c:v>48</c:v>
                </c:pt>
                <c:pt idx="304">
                  <c:v>75</c:v>
                </c:pt>
                <c:pt idx="305">
                  <c:v>36</c:v>
                </c:pt>
                <c:pt idx="306">
                  <c:v>60</c:v>
                </c:pt>
                <c:pt idx="307">
                  <c:v>42</c:v>
                </c:pt>
                <c:pt idx="308">
                  <c:v>45</c:v>
                </c:pt>
                <c:pt idx="309">
                  <c:v>54</c:v>
                </c:pt>
                <c:pt idx="310">
                  <c:v>39</c:v>
                </c:pt>
                <c:pt idx="311">
                  <c:v>30</c:v>
                </c:pt>
                <c:pt idx="312">
                  <c:v>60</c:v>
                </c:pt>
                <c:pt idx="313">
                  <c:v>48</c:v>
                </c:pt>
                <c:pt idx="314">
                  <c:v>75</c:v>
                </c:pt>
                <c:pt idx="315">
                  <c:v>42</c:v>
                </c:pt>
                <c:pt idx="316">
                  <c:v>60</c:v>
                </c:pt>
                <c:pt idx="317">
                  <c:v>36</c:v>
                </c:pt>
                <c:pt idx="318">
                  <c:v>24</c:v>
                </c:pt>
                <c:pt idx="319">
                  <c:v>45</c:v>
                </c:pt>
                <c:pt idx="320">
                  <c:v>54</c:v>
                </c:pt>
                <c:pt idx="321">
                  <c:v>30</c:v>
                </c:pt>
                <c:pt idx="322">
                  <c:v>54</c:v>
                </c:pt>
                <c:pt idx="323">
                  <c:v>42</c:v>
                </c:pt>
                <c:pt idx="324">
                  <c:v>66</c:v>
                </c:pt>
                <c:pt idx="325">
                  <c:v>48</c:v>
                </c:pt>
                <c:pt idx="326">
                  <c:v>75</c:v>
                </c:pt>
                <c:pt idx="327">
                  <c:v>42</c:v>
                </c:pt>
                <c:pt idx="328">
                  <c:v>60</c:v>
                </c:pt>
                <c:pt idx="329">
                  <c:v>36</c:v>
                </c:pt>
                <c:pt idx="330">
                  <c:v>45</c:v>
                </c:pt>
                <c:pt idx="331">
                  <c:v>54</c:v>
                </c:pt>
                <c:pt idx="332">
                  <c:v>83</c:v>
                </c:pt>
                <c:pt idx="333">
                  <c:v>45</c:v>
                </c:pt>
                <c:pt idx="334">
                  <c:v>67</c:v>
                </c:pt>
                <c:pt idx="335">
                  <c:v>120</c:v>
                </c:pt>
                <c:pt idx="336">
                  <c:v>53</c:v>
                </c:pt>
                <c:pt idx="337">
                  <c:v>75</c:v>
                </c:pt>
                <c:pt idx="338">
                  <c:v>90</c:v>
                </c:pt>
                <c:pt idx="339">
                  <c:v>105</c:v>
                </c:pt>
                <c:pt idx="340">
                  <c:v>60</c:v>
                </c:pt>
                <c:pt idx="341">
                  <c:v>53</c:v>
                </c:pt>
                <c:pt idx="342">
                  <c:v>75</c:v>
                </c:pt>
                <c:pt idx="343">
                  <c:v>53</c:v>
                </c:pt>
                <c:pt idx="344">
                  <c:v>90</c:v>
                </c:pt>
                <c:pt idx="345">
                  <c:v>120</c:v>
                </c:pt>
                <c:pt idx="346">
                  <c:v>67</c:v>
                </c:pt>
                <c:pt idx="347">
                  <c:v>105</c:v>
                </c:pt>
                <c:pt idx="348">
                  <c:v>45</c:v>
                </c:pt>
                <c:pt idx="349">
                  <c:v>83</c:v>
                </c:pt>
                <c:pt idx="350">
                  <c:v>60</c:v>
                </c:pt>
                <c:pt idx="351">
                  <c:v>90</c:v>
                </c:pt>
                <c:pt idx="352">
                  <c:v>75</c:v>
                </c:pt>
                <c:pt idx="353">
                  <c:v>53</c:v>
                </c:pt>
                <c:pt idx="354">
                  <c:v>67</c:v>
                </c:pt>
                <c:pt idx="355">
                  <c:v>120</c:v>
                </c:pt>
                <c:pt idx="356">
                  <c:v>105</c:v>
                </c:pt>
                <c:pt idx="357">
                  <c:v>60</c:v>
                </c:pt>
                <c:pt idx="358">
                  <c:v>83</c:v>
                </c:pt>
                <c:pt idx="359">
                  <c:v>45</c:v>
                </c:pt>
                <c:pt idx="360">
                  <c:v>75</c:v>
                </c:pt>
                <c:pt idx="361">
                  <c:v>90</c:v>
                </c:pt>
                <c:pt idx="362">
                  <c:v>53</c:v>
                </c:pt>
                <c:pt idx="363">
                  <c:v>67</c:v>
                </c:pt>
                <c:pt idx="364">
                  <c:v>105</c:v>
                </c:pt>
                <c:pt idx="365">
                  <c:v>60</c:v>
                </c:pt>
                <c:pt idx="366">
                  <c:v>83</c:v>
                </c:pt>
                <c:pt idx="367">
                  <c:v>45</c:v>
                </c:pt>
                <c:pt idx="368">
                  <c:v>120</c:v>
                </c:pt>
                <c:pt idx="369">
                  <c:v>53</c:v>
                </c:pt>
                <c:pt idx="370">
                  <c:v>75</c:v>
                </c:pt>
                <c:pt idx="371">
                  <c:v>53</c:v>
                </c:pt>
                <c:pt idx="372">
                  <c:v>67</c:v>
                </c:pt>
                <c:pt idx="373">
                  <c:v>105</c:v>
                </c:pt>
                <c:pt idx="374">
                  <c:v>90</c:v>
                </c:pt>
                <c:pt idx="375">
                  <c:v>83</c:v>
                </c:pt>
                <c:pt idx="376">
                  <c:v>60</c:v>
                </c:pt>
                <c:pt idx="377">
                  <c:v>53</c:v>
                </c:pt>
                <c:pt idx="378">
                  <c:v>67</c:v>
                </c:pt>
                <c:pt idx="379">
                  <c:v>105</c:v>
                </c:pt>
                <c:pt idx="380">
                  <c:v>45</c:v>
                </c:pt>
                <c:pt idx="381">
                  <c:v>75</c:v>
                </c:pt>
                <c:pt idx="382">
                  <c:v>120</c:v>
                </c:pt>
                <c:pt idx="383">
                  <c:v>53</c:v>
                </c:pt>
                <c:pt idx="384">
                  <c:v>83</c:v>
                </c:pt>
                <c:pt idx="385">
                  <c:v>90</c:v>
                </c:pt>
                <c:pt idx="386">
                  <c:v>67</c:v>
                </c:pt>
                <c:pt idx="387">
                  <c:v>105</c:v>
                </c:pt>
                <c:pt idx="388">
                  <c:v>60</c:v>
                </c:pt>
                <c:pt idx="389">
                  <c:v>53</c:v>
                </c:pt>
                <c:pt idx="390">
                  <c:v>75</c:v>
                </c:pt>
                <c:pt idx="391">
                  <c:v>53</c:v>
                </c:pt>
                <c:pt idx="392">
                  <c:v>67</c:v>
                </c:pt>
                <c:pt idx="393">
                  <c:v>105</c:v>
                </c:pt>
                <c:pt idx="394">
                  <c:v>90</c:v>
                </c:pt>
                <c:pt idx="395">
                  <c:v>83</c:v>
                </c:pt>
                <c:pt idx="396">
                  <c:v>60</c:v>
                </c:pt>
                <c:pt idx="397">
                  <c:v>53</c:v>
                </c:pt>
                <c:pt idx="398">
                  <c:v>67</c:v>
                </c:pt>
                <c:pt idx="399">
                  <c:v>105</c:v>
                </c:pt>
                <c:pt idx="400">
                  <c:v>45</c:v>
                </c:pt>
                <c:pt idx="401">
                  <c:v>75</c:v>
                </c:pt>
                <c:pt idx="402">
                  <c:v>120</c:v>
                </c:pt>
                <c:pt idx="403">
                  <c:v>53</c:v>
                </c:pt>
                <c:pt idx="404">
                  <c:v>83</c:v>
                </c:pt>
                <c:pt idx="405">
                  <c:v>90</c:v>
                </c:pt>
                <c:pt idx="406">
                  <c:v>67</c:v>
                </c:pt>
                <c:pt idx="407">
                  <c:v>105</c:v>
                </c:pt>
                <c:pt idx="408">
                  <c:v>60</c:v>
                </c:pt>
                <c:pt idx="409">
                  <c:v>53</c:v>
                </c:pt>
                <c:pt idx="410">
                  <c:v>53</c:v>
                </c:pt>
                <c:pt idx="411">
                  <c:v>67</c:v>
                </c:pt>
                <c:pt idx="412">
                  <c:v>83</c:v>
                </c:pt>
                <c:pt idx="413">
                  <c:v>105</c:v>
                </c:pt>
                <c:pt idx="414">
                  <c:v>60</c:v>
                </c:pt>
                <c:pt idx="415">
                  <c:v>75</c:v>
                </c:pt>
                <c:pt idx="416">
                  <c:v>90</c:v>
                </c:pt>
                <c:pt idx="417">
                  <c:v>53</c:v>
                </c:pt>
                <c:pt idx="418">
                  <c:v>67</c:v>
                </c:pt>
                <c:pt idx="419">
                  <c:v>83</c:v>
                </c:pt>
                <c:pt idx="420">
                  <c:v>45</c:v>
                </c:pt>
                <c:pt idx="421">
                  <c:v>53</c:v>
                </c:pt>
                <c:pt idx="422">
                  <c:v>67</c:v>
                </c:pt>
                <c:pt idx="423">
                  <c:v>83</c:v>
                </c:pt>
                <c:pt idx="424">
                  <c:v>67</c:v>
                </c:pt>
                <c:pt idx="425">
                  <c:v>75</c:v>
                </c:pt>
                <c:pt idx="426">
                  <c:v>90</c:v>
                </c:pt>
                <c:pt idx="427">
                  <c:v>53</c:v>
                </c:pt>
                <c:pt idx="428">
                  <c:v>83</c:v>
                </c:pt>
                <c:pt idx="429">
                  <c:v>105</c:v>
                </c:pt>
                <c:pt idx="430">
                  <c:v>60</c:v>
                </c:pt>
                <c:pt idx="431">
                  <c:v>67</c:v>
                </c:pt>
                <c:pt idx="432">
                  <c:v>120</c:v>
                </c:pt>
                <c:pt idx="433">
                  <c:v>53</c:v>
                </c:pt>
                <c:pt idx="434">
                  <c:v>75</c:v>
                </c:pt>
                <c:pt idx="435">
                  <c:v>105</c:v>
                </c:pt>
                <c:pt idx="436">
                  <c:v>53</c:v>
                </c:pt>
                <c:pt idx="437">
                  <c:v>83</c:v>
                </c:pt>
                <c:pt idx="438">
                  <c:v>67</c:v>
                </c:pt>
                <c:pt idx="439">
                  <c:v>60</c:v>
                </c:pt>
                <c:pt idx="440">
                  <c:v>60</c:v>
                </c:pt>
                <c:pt idx="441">
                  <c:v>75</c:v>
                </c:pt>
                <c:pt idx="442">
                  <c:v>53</c:v>
                </c:pt>
                <c:pt idx="443">
                  <c:v>67</c:v>
                </c:pt>
                <c:pt idx="444">
                  <c:v>45</c:v>
                </c:pt>
                <c:pt idx="445">
                  <c:v>83</c:v>
                </c:pt>
                <c:pt idx="446">
                  <c:v>67</c:v>
                </c:pt>
                <c:pt idx="447">
                  <c:v>90</c:v>
                </c:pt>
                <c:pt idx="448">
                  <c:v>75</c:v>
                </c:pt>
                <c:pt idx="449">
                  <c:v>105</c:v>
                </c:pt>
                <c:pt idx="450">
                  <c:v>90</c:v>
                </c:pt>
                <c:pt idx="451">
                  <c:v>53</c:v>
                </c:pt>
                <c:pt idx="452">
                  <c:v>83</c:v>
                </c:pt>
                <c:pt idx="453">
                  <c:v>67</c:v>
                </c:pt>
                <c:pt idx="454">
                  <c:v>60</c:v>
                </c:pt>
                <c:pt idx="455">
                  <c:v>75</c:v>
                </c:pt>
                <c:pt idx="456">
                  <c:v>45</c:v>
                </c:pt>
                <c:pt idx="457">
                  <c:v>67</c:v>
                </c:pt>
                <c:pt idx="458">
                  <c:v>53</c:v>
                </c:pt>
                <c:pt idx="459">
                  <c:v>83</c:v>
                </c:pt>
                <c:pt idx="460">
                  <c:v>90</c:v>
                </c:pt>
                <c:pt idx="461">
                  <c:v>53</c:v>
                </c:pt>
                <c:pt idx="462">
                  <c:v>67</c:v>
                </c:pt>
                <c:pt idx="463">
                  <c:v>75</c:v>
                </c:pt>
                <c:pt idx="464">
                  <c:v>60</c:v>
                </c:pt>
                <c:pt idx="465">
                  <c:v>83</c:v>
                </c:pt>
                <c:pt idx="466">
                  <c:v>53</c:v>
                </c:pt>
                <c:pt idx="467">
                  <c:v>67</c:v>
                </c:pt>
                <c:pt idx="468">
                  <c:v>45</c:v>
                </c:pt>
                <c:pt idx="469">
                  <c:v>90</c:v>
                </c:pt>
                <c:pt idx="470">
                  <c:v>120</c:v>
                </c:pt>
                <c:pt idx="471">
                  <c:v>105</c:v>
                </c:pt>
                <c:pt idx="472">
                  <c:v>75</c:v>
                </c:pt>
                <c:pt idx="473">
                  <c:v>90</c:v>
                </c:pt>
                <c:pt idx="474">
                  <c:v>67</c:v>
                </c:pt>
                <c:pt idx="475">
                  <c:v>83</c:v>
                </c:pt>
                <c:pt idx="476">
                  <c:v>53</c:v>
                </c:pt>
                <c:pt idx="477">
                  <c:v>60</c:v>
                </c:pt>
                <c:pt idx="478">
                  <c:v>75</c:v>
                </c:pt>
                <c:pt idx="479">
                  <c:v>90</c:v>
                </c:pt>
                <c:pt idx="480">
                  <c:v>105</c:v>
                </c:pt>
                <c:pt idx="481">
                  <c:v>120</c:v>
                </c:pt>
                <c:pt idx="482">
                  <c:v>90</c:v>
                </c:pt>
                <c:pt idx="483">
                  <c:v>75</c:v>
                </c:pt>
                <c:pt idx="484">
                  <c:v>67</c:v>
                </c:pt>
                <c:pt idx="485">
                  <c:v>83</c:v>
                </c:pt>
                <c:pt idx="486">
                  <c:v>53</c:v>
                </c:pt>
                <c:pt idx="487">
                  <c:v>67</c:v>
                </c:pt>
                <c:pt idx="488">
                  <c:v>90</c:v>
                </c:pt>
                <c:pt idx="489">
                  <c:v>105</c:v>
                </c:pt>
                <c:pt idx="490">
                  <c:v>83</c:v>
                </c:pt>
                <c:pt idx="491">
                  <c:v>90</c:v>
                </c:pt>
                <c:pt idx="492">
                  <c:v>67</c:v>
                </c:pt>
                <c:pt idx="493">
                  <c:v>105</c:v>
                </c:pt>
                <c:pt idx="494">
                  <c:v>53</c:v>
                </c:pt>
                <c:pt idx="495">
                  <c:v>75</c:v>
                </c:pt>
                <c:pt idx="496">
                  <c:v>67</c:v>
                </c:pt>
                <c:pt idx="497">
                  <c:v>90</c:v>
                </c:pt>
                <c:pt idx="498">
                  <c:v>60</c:v>
                </c:pt>
                <c:pt idx="499">
                  <c:v>83</c:v>
                </c:pt>
                <c:pt idx="500">
                  <c:v>105</c:v>
                </c:pt>
                <c:pt idx="501">
                  <c:v>75</c:v>
                </c:pt>
                <c:pt idx="502">
                  <c:v>67</c:v>
                </c:pt>
                <c:pt idx="503">
                  <c:v>90</c:v>
                </c:pt>
                <c:pt idx="504">
                  <c:v>53</c:v>
                </c:pt>
                <c:pt idx="505">
                  <c:v>83</c:v>
                </c:pt>
                <c:pt idx="506">
                  <c:v>60</c:v>
                </c:pt>
                <c:pt idx="507">
                  <c:v>67</c:v>
                </c:pt>
                <c:pt idx="508">
                  <c:v>75</c:v>
                </c:pt>
                <c:pt idx="509">
                  <c:v>67</c:v>
                </c:pt>
                <c:pt idx="510">
                  <c:v>120</c:v>
                </c:pt>
                <c:pt idx="511">
                  <c:v>105</c:v>
                </c:pt>
                <c:pt idx="512">
                  <c:v>90</c:v>
                </c:pt>
                <c:pt idx="513">
                  <c:v>67</c:v>
                </c:pt>
                <c:pt idx="514">
                  <c:v>53</c:v>
                </c:pt>
                <c:pt idx="515">
                  <c:v>83</c:v>
                </c:pt>
                <c:pt idx="516">
                  <c:v>75</c:v>
                </c:pt>
                <c:pt idx="517">
                  <c:v>67</c:v>
                </c:pt>
                <c:pt idx="518">
                  <c:v>105</c:v>
                </c:pt>
                <c:pt idx="519">
                  <c:v>90</c:v>
                </c:pt>
                <c:pt idx="520">
                  <c:v>120</c:v>
                </c:pt>
                <c:pt idx="521">
                  <c:v>105</c:v>
                </c:pt>
                <c:pt idx="522">
                  <c:v>90</c:v>
                </c:pt>
                <c:pt idx="523">
                  <c:v>67</c:v>
                </c:pt>
                <c:pt idx="524">
                  <c:v>53</c:v>
                </c:pt>
                <c:pt idx="525">
                  <c:v>83</c:v>
                </c:pt>
                <c:pt idx="526">
                  <c:v>75</c:v>
                </c:pt>
                <c:pt idx="527">
                  <c:v>67</c:v>
                </c:pt>
                <c:pt idx="528">
                  <c:v>105</c:v>
                </c:pt>
                <c:pt idx="529">
                  <c:v>90</c:v>
                </c:pt>
                <c:pt idx="530">
                  <c:v>120</c:v>
                </c:pt>
                <c:pt idx="531">
                  <c:v>105</c:v>
                </c:pt>
                <c:pt idx="532">
                  <c:v>90</c:v>
                </c:pt>
                <c:pt idx="533">
                  <c:v>67</c:v>
                </c:pt>
                <c:pt idx="534">
                  <c:v>83</c:v>
                </c:pt>
                <c:pt idx="535">
                  <c:v>53</c:v>
                </c:pt>
                <c:pt idx="536">
                  <c:v>67</c:v>
                </c:pt>
                <c:pt idx="537">
                  <c:v>83</c:v>
                </c:pt>
                <c:pt idx="538">
                  <c:v>105</c:v>
                </c:pt>
                <c:pt idx="539">
                  <c:v>67</c:v>
                </c:pt>
                <c:pt idx="540">
                  <c:v>120</c:v>
                </c:pt>
                <c:pt idx="541">
                  <c:v>105</c:v>
                </c:pt>
                <c:pt idx="542">
                  <c:v>90</c:v>
                </c:pt>
                <c:pt idx="543">
                  <c:v>67</c:v>
                </c:pt>
                <c:pt idx="544">
                  <c:v>83</c:v>
                </c:pt>
                <c:pt idx="545">
                  <c:v>53</c:v>
                </c:pt>
                <c:pt idx="546">
                  <c:v>67</c:v>
                </c:pt>
                <c:pt idx="547">
                  <c:v>83</c:v>
                </c:pt>
                <c:pt idx="548">
                  <c:v>105</c:v>
                </c:pt>
                <c:pt idx="549">
                  <c:v>67</c:v>
                </c:pt>
                <c:pt idx="550">
                  <c:v>120</c:v>
                </c:pt>
                <c:pt idx="551">
                  <c:v>105</c:v>
                </c:pt>
                <c:pt idx="552">
                  <c:v>90</c:v>
                </c:pt>
                <c:pt idx="553">
                  <c:v>67</c:v>
                </c:pt>
                <c:pt idx="554">
                  <c:v>83</c:v>
                </c:pt>
                <c:pt idx="555">
                  <c:v>53</c:v>
                </c:pt>
                <c:pt idx="556">
                  <c:v>67</c:v>
                </c:pt>
                <c:pt idx="557">
                  <c:v>83</c:v>
                </c:pt>
                <c:pt idx="558">
                  <c:v>105</c:v>
                </c:pt>
                <c:pt idx="559">
                  <c:v>67</c:v>
                </c:pt>
                <c:pt idx="560">
                  <c:v>120</c:v>
                </c:pt>
                <c:pt idx="561">
                  <c:v>105</c:v>
                </c:pt>
                <c:pt idx="562">
                  <c:v>90</c:v>
                </c:pt>
                <c:pt idx="563">
                  <c:v>67</c:v>
                </c:pt>
                <c:pt idx="564">
                  <c:v>83</c:v>
                </c:pt>
                <c:pt idx="565">
                  <c:v>53</c:v>
                </c:pt>
                <c:pt idx="566">
                  <c:v>67</c:v>
                </c:pt>
                <c:pt idx="567">
                  <c:v>83</c:v>
                </c:pt>
                <c:pt idx="568">
                  <c:v>105</c:v>
                </c:pt>
                <c:pt idx="569">
                  <c:v>67</c:v>
                </c:pt>
                <c:pt idx="570">
                  <c:v>120</c:v>
                </c:pt>
                <c:pt idx="571">
                  <c:v>105</c:v>
                </c:pt>
                <c:pt idx="572">
                  <c:v>90</c:v>
                </c:pt>
                <c:pt idx="573">
                  <c:v>67</c:v>
                </c:pt>
                <c:pt idx="574">
                  <c:v>83</c:v>
                </c:pt>
                <c:pt idx="575">
                  <c:v>53</c:v>
                </c:pt>
                <c:pt idx="576">
                  <c:v>67</c:v>
                </c:pt>
                <c:pt idx="577">
                  <c:v>83</c:v>
                </c:pt>
                <c:pt idx="578">
                  <c:v>67</c:v>
                </c:pt>
                <c:pt idx="579">
                  <c:v>105</c:v>
                </c:pt>
                <c:pt idx="580">
                  <c:v>45</c:v>
                </c:pt>
                <c:pt idx="581">
                  <c:v>53</c:v>
                </c:pt>
                <c:pt idx="582">
                  <c:v>67</c:v>
                </c:pt>
                <c:pt idx="583">
                  <c:v>60</c:v>
                </c:pt>
                <c:pt idx="584">
                  <c:v>75</c:v>
                </c:pt>
                <c:pt idx="585">
                  <c:v>60</c:v>
                </c:pt>
                <c:pt idx="586">
                  <c:v>83</c:v>
                </c:pt>
                <c:pt idx="587">
                  <c:v>67</c:v>
                </c:pt>
                <c:pt idx="588">
                  <c:v>53</c:v>
                </c:pt>
                <c:pt idx="589">
                  <c:v>90</c:v>
                </c:pt>
                <c:pt idx="590">
                  <c:v>67</c:v>
                </c:pt>
                <c:pt idx="591">
                  <c:v>105</c:v>
                </c:pt>
                <c:pt idx="592">
                  <c:v>60</c:v>
                </c:pt>
                <c:pt idx="593">
                  <c:v>83</c:v>
                </c:pt>
                <c:pt idx="594">
                  <c:v>67</c:v>
                </c:pt>
                <c:pt idx="595">
                  <c:v>75</c:v>
                </c:pt>
                <c:pt idx="596">
                  <c:v>53</c:v>
                </c:pt>
                <c:pt idx="597">
                  <c:v>83</c:v>
                </c:pt>
                <c:pt idx="598">
                  <c:v>67</c:v>
                </c:pt>
                <c:pt idx="599">
                  <c:v>105</c:v>
                </c:pt>
                <c:pt idx="600">
                  <c:v>60</c:v>
                </c:pt>
                <c:pt idx="601">
                  <c:v>90</c:v>
                </c:pt>
                <c:pt idx="602">
                  <c:v>105</c:v>
                </c:pt>
                <c:pt idx="603">
                  <c:v>83</c:v>
                </c:pt>
                <c:pt idx="604">
                  <c:v>67</c:v>
                </c:pt>
                <c:pt idx="605">
                  <c:v>75</c:v>
                </c:pt>
                <c:pt idx="606">
                  <c:v>90</c:v>
                </c:pt>
                <c:pt idx="607">
                  <c:v>53</c:v>
                </c:pt>
                <c:pt idx="608">
                  <c:v>105</c:v>
                </c:pt>
                <c:pt idx="609">
                  <c:v>83</c:v>
                </c:pt>
                <c:pt idx="610">
                  <c:v>67</c:v>
                </c:pt>
                <c:pt idx="611">
                  <c:v>60</c:v>
                </c:pt>
                <c:pt idx="612">
                  <c:v>53</c:v>
                </c:pt>
                <c:pt idx="613">
                  <c:v>75</c:v>
                </c:pt>
                <c:pt idx="614">
                  <c:v>83</c:v>
                </c:pt>
                <c:pt idx="615">
                  <c:v>67</c:v>
                </c:pt>
                <c:pt idx="616">
                  <c:v>105</c:v>
                </c:pt>
                <c:pt idx="617">
                  <c:v>90</c:v>
                </c:pt>
                <c:pt idx="618">
                  <c:v>60</c:v>
                </c:pt>
                <c:pt idx="619">
                  <c:v>53</c:v>
                </c:pt>
                <c:pt idx="620">
                  <c:v>75</c:v>
                </c:pt>
                <c:pt idx="621">
                  <c:v>83</c:v>
                </c:pt>
                <c:pt idx="622">
                  <c:v>90</c:v>
                </c:pt>
                <c:pt idx="623">
                  <c:v>67</c:v>
                </c:pt>
                <c:pt idx="624">
                  <c:v>83</c:v>
                </c:pt>
                <c:pt idx="625">
                  <c:v>105</c:v>
                </c:pt>
                <c:pt idx="626">
                  <c:v>53</c:v>
                </c:pt>
                <c:pt idx="627">
                  <c:v>75</c:v>
                </c:pt>
                <c:pt idx="628">
                  <c:v>67</c:v>
                </c:pt>
                <c:pt idx="629">
                  <c:v>90</c:v>
                </c:pt>
                <c:pt idx="630">
                  <c:v>60</c:v>
                </c:pt>
                <c:pt idx="631">
                  <c:v>83</c:v>
                </c:pt>
                <c:pt idx="632">
                  <c:v>67</c:v>
                </c:pt>
                <c:pt idx="633">
                  <c:v>75</c:v>
                </c:pt>
                <c:pt idx="634">
                  <c:v>105</c:v>
                </c:pt>
                <c:pt idx="635">
                  <c:v>60</c:v>
                </c:pt>
                <c:pt idx="636">
                  <c:v>83</c:v>
                </c:pt>
                <c:pt idx="637">
                  <c:v>90</c:v>
                </c:pt>
                <c:pt idx="638">
                  <c:v>53</c:v>
                </c:pt>
                <c:pt idx="639">
                  <c:v>75</c:v>
                </c:pt>
                <c:pt idx="640">
                  <c:v>67</c:v>
                </c:pt>
                <c:pt idx="641">
                  <c:v>90</c:v>
                </c:pt>
                <c:pt idx="642">
                  <c:v>60</c:v>
                </c:pt>
                <c:pt idx="643">
                  <c:v>75</c:v>
                </c:pt>
                <c:pt idx="644">
                  <c:v>53</c:v>
                </c:pt>
                <c:pt idx="645">
                  <c:v>67</c:v>
                </c:pt>
                <c:pt idx="646">
                  <c:v>90</c:v>
                </c:pt>
                <c:pt idx="647">
                  <c:v>83</c:v>
                </c:pt>
                <c:pt idx="648">
                  <c:v>67</c:v>
                </c:pt>
                <c:pt idx="649">
                  <c:v>90</c:v>
                </c:pt>
                <c:pt idx="650">
                  <c:v>60</c:v>
                </c:pt>
                <c:pt idx="651">
                  <c:v>83</c:v>
                </c:pt>
                <c:pt idx="652">
                  <c:v>67</c:v>
                </c:pt>
                <c:pt idx="653">
                  <c:v>75</c:v>
                </c:pt>
                <c:pt idx="654">
                  <c:v>105</c:v>
                </c:pt>
                <c:pt idx="655">
                  <c:v>60</c:v>
                </c:pt>
                <c:pt idx="656">
                  <c:v>83</c:v>
                </c:pt>
                <c:pt idx="657">
                  <c:v>90</c:v>
                </c:pt>
                <c:pt idx="658">
                  <c:v>53</c:v>
                </c:pt>
                <c:pt idx="659">
                  <c:v>75</c:v>
                </c:pt>
                <c:pt idx="660">
                  <c:v>67</c:v>
                </c:pt>
                <c:pt idx="661">
                  <c:v>90</c:v>
                </c:pt>
                <c:pt idx="662">
                  <c:v>45</c:v>
                </c:pt>
                <c:pt idx="663">
                  <c:v>62</c:v>
                </c:pt>
                <c:pt idx="664">
                  <c:v>83</c:v>
                </c:pt>
                <c:pt idx="665">
                  <c:v>58</c:v>
                </c:pt>
                <c:pt idx="666">
                  <c:v>75</c:v>
                </c:pt>
                <c:pt idx="667">
                  <c:v>53</c:v>
                </c:pt>
                <c:pt idx="668">
                  <c:v>67</c:v>
                </c:pt>
                <c:pt idx="669">
                  <c:v>54</c:v>
                </c:pt>
                <c:pt idx="670">
                  <c:v>74</c:v>
                </c:pt>
                <c:pt idx="671">
                  <c:v>60</c:v>
                </c:pt>
                <c:pt idx="672">
                  <c:v>66</c:v>
                </c:pt>
                <c:pt idx="673">
                  <c:v>60</c:v>
                </c:pt>
                <c:pt idx="674">
                  <c:v>50</c:v>
                </c:pt>
                <c:pt idx="675">
                  <c:v>67</c:v>
                </c:pt>
                <c:pt idx="676">
                  <c:v>56</c:v>
                </c:pt>
                <c:pt idx="677">
                  <c:v>79</c:v>
                </c:pt>
                <c:pt idx="678">
                  <c:v>65</c:v>
                </c:pt>
                <c:pt idx="679">
                  <c:v>59</c:v>
                </c:pt>
                <c:pt idx="680">
                  <c:v>74</c:v>
                </c:pt>
                <c:pt idx="681">
                  <c:v>48</c:v>
                </c:pt>
                <c:pt idx="682">
                  <c:v>65</c:v>
                </c:pt>
                <c:pt idx="683">
                  <c:v>43</c:v>
                </c:pt>
                <c:pt idx="684">
                  <c:v>54</c:v>
                </c:pt>
                <c:pt idx="685">
                  <c:v>60</c:v>
                </c:pt>
                <c:pt idx="686">
                  <c:v>51</c:v>
                </c:pt>
                <c:pt idx="687">
                  <c:v>62</c:v>
                </c:pt>
                <c:pt idx="688">
                  <c:v>57</c:v>
                </c:pt>
                <c:pt idx="689">
                  <c:v>66</c:v>
                </c:pt>
                <c:pt idx="690">
                  <c:v>47</c:v>
                </c:pt>
                <c:pt idx="691">
                  <c:v>41</c:v>
                </c:pt>
                <c:pt idx="692">
                  <c:v>53</c:v>
                </c:pt>
                <c:pt idx="693">
                  <c:v>59</c:v>
                </c:pt>
                <c:pt idx="694">
                  <c:v>69</c:v>
                </c:pt>
                <c:pt idx="695">
                  <c:v>75</c:v>
                </c:pt>
                <c:pt idx="696">
                  <c:v>63</c:v>
                </c:pt>
                <c:pt idx="697">
                  <c:v>56</c:v>
                </c:pt>
                <c:pt idx="698">
                  <c:v>48</c:v>
                </c:pt>
                <c:pt idx="699">
                  <c:v>54</c:v>
                </c:pt>
                <c:pt idx="700">
                  <c:v>62</c:v>
                </c:pt>
                <c:pt idx="701">
                  <c:v>72</c:v>
                </c:pt>
                <c:pt idx="702">
                  <c:v>65</c:v>
                </c:pt>
                <c:pt idx="703">
                  <c:v>59</c:v>
                </c:pt>
                <c:pt idx="704">
                  <c:v>65</c:v>
                </c:pt>
                <c:pt idx="705">
                  <c:v>76</c:v>
                </c:pt>
                <c:pt idx="706">
                  <c:v>57</c:v>
                </c:pt>
                <c:pt idx="707">
                  <c:v>64</c:v>
                </c:pt>
                <c:pt idx="708">
                  <c:v>54</c:v>
                </c:pt>
                <c:pt idx="709">
                  <c:v>67</c:v>
                </c:pt>
                <c:pt idx="710">
                  <c:v>72</c:v>
                </c:pt>
                <c:pt idx="711">
                  <c:v>60</c:v>
                </c:pt>
                <c:pt idx="712">
                  <c:v>74</c:v>
                </c:pt>
                <c:pt idx="713">
                  <c:v>56</c:v>
                </c:pt>
                <c:pt idx="714">
                  <c:v>67</c:v>
                </c:pt>
                <c:pt idx="715">
                  <c:v>59</c:v>
                </c:pt>
                <c:pt idx="716">
                  <c:v>53</c:v>
                </c:pt>
                <c:pt idx="717">
                  <c:v>65</c:v>
                </c:pt>
                <c:pt idx="718">
                  <c:v>79</c:v>
                </c:pt>
                <c:pt idx="719">
                  <c:v>72</c:v>
                </c:pt>
                <c:pt idx="720">
                  <c:v>57</c:v>
                </c:pt>
                <c:pt idx="721">
                  <c:v>63</c:v>
                </c:pt>
                <c:pt idx="722">
                  <c:v>76</c:v>
                </c:pt>
                <c:pt idx="723">
                  <c:v>68</c:v>
                </c:pt>
                <c:pt idx="724">
                  <c:v>65</c:v>
                </c:pt>
                <c:pt idx="725">
                  <c:v>67</c:v>
                </c:pt>
                <c:pt idx="726">
                  <c:v>77</c:v>
                </c:pt>
                <c:pt idx="727">
                  <c:v>59</c:v>
                </c:pt>
                <c:pt idx="728">
                  <c:v>73</c:v>
                </c:pt>
                <c:pt idx="729">
                  <c:v>64</c:v>
                </c:pt>
                <c:pt idx="730">
                  <c:v>64</c:v>
                </c:pt>
                <c:pt idx="731">
                  <c:v>71</c:v>
                </c:pt>
              </c:numCache>
            </c:numRef>
          </c:yVal>
          <c:smooth val="0"/>
          <c:extLst>
            <c:ext xmlns:c16="http://schemas.microsoft.com/office/drawing/2014/chart" uri="{C3380CC4-5D6E-409C-BE32-E72D297353CC}">
              <c16:uniqueId val="{00000000-D449-404C-80F7-A07261112464}"/>
            </c:ext>
          </c:extLst>
        </c:ser>
        <c:dLbls>
          <c:showLegendKey val="0"/>
          <c:showVal val="0"/>
          <c:showCatName val="0"/>
          <c:showSerName val="0"/>
          <c:showPercent val="0"/>
          <c:showBubbleSize val="0"/>
        </c:dLbls>
        <c:axId val="1683904703"/>
        <c:axId val="1683287615"/>
      </c:scatterChart>
      <c:valAx>
        <c:axId val="16839047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287615"/>
        <c:crosses val="autoZero"/>
        <c:crossBetween val="midCat"/>
      </c:valAx>
      <c:valAx>
        <c:axId val="168328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9047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of the day and interactions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492674455090355E-2"/>
          <c:y val="0.15550491102896405"/>
          <c:w val="0.90086439131269258"/>
          <c:h val="0.77755568271637221"/>
        </c:manualLayout>
      </c:layout>
      <c:scatterChart>
        <c:scatterStyle val="lineMarker"/>
        <c:varyColors val="0"/>
        <c:ser>
          <c:idx val="0"/>
          <c:order val="0"/>
          <c:tx>
            <c:strRef>
              <c:f>Transformations!$Y$1</c:f>
              <c:strCache>
                <c:ptCount val="1"/>
                <c:pt idx="0">
                  <c:v>NEW HOUR</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Transformations!$O$2:$O$733</c:f>
              <c:numCache>
                <c:formatCode>General</c:formatCode>
                <c:ptCount val="732"/>
                <c:pt idx="0">
                  <c:v>45</c:v>
                </c:pt>
                <c:pt idx="1">
                  <c:v>15</c:v>
                </c:pt>
                <c:pt idx="2">
                  <c:v>60</c:v>
                </c:pt>
                <c:pt idx="3">
                  <c:v>23</c:v>
                </c:pt>
                <c:pt idx="4">
                  <c:v>37</c:v>
                </c:pt>
                <c:pt idx="5">
                  <c:v>75</c:v>
                </c:pt>
                <c:pt idx="6">
                  <c:v>30</c:v>
                </c:pt>
                <c:pt idx="7">
                  <c:v>45</c:v>
                </c:pt>
                <c:pt idx="8">
                  <c:v>90</c:v>
                </c:pt>
                <c:pt idx="9">
                  <c:v>53</c:v>
                </c:pt>
                <c:pt idx="10">
                  <c:v>67</c:v>
                </c:pt>
                <c:pt idx="11">
                  <c:v>22</c:v>
                </c:pt>
                <c:pt idx="12">
                  <c:v>37</c:v>
                </c:pt>
                <c:pt idx="13">
                  <c:v>83</c:v>
                </c:pt>
                <c:pt idx="14">
                  <c:v>45</c:v>
                </c:pt>
                <c:pt idx="15">
                  <c:v>60</c:v>
                </c:pt>
                <c:pt idx="16">
                  <c:v>45</c:v>
                </c:pt>
                <c:pt idx="17">
                  <c:v>53</c:v>
                </c:pt>
                <c:pt idx="18">
                  <c:v>75</c:v>
                </c:pt>
                <c:pt idx="19">
                  <c:v>23</c:v>
                </c:pt>
                <c:pt idx="20">
                  <c:v>67</c:v>
                </c:pt>
                <c:pt idx="21">
                  <c:v>45</c:v>
                </c:pt>
                <c:pt idx="22">
                  <c:v>90</c:v>
                </c:pt>
                <c:pt idx="23">
                  <c:v>60</c:v>
                </c:pt>
                <c:pt idx="24">
                  <c:v>37</c:v>
                </c:pt>
                <c:pt idx="25">
                  <c:v>45</c:v>
                </c:pt>
                <c:pt idx="26">
                  <c:v>75</c:v>
                </c:pt>
                <c:pt idx="27">
                  <c:v>45</c:v>
                </c:pt>
                <c:pt idx="28">
                  <c:v>67</c:v>
                </c:pt>
                <c:pt idx="29">
                  <c:v>37</c:v>
                </c:pt>
                <c:pt idx="30">
                  <c:v>53</c:v>
                </c:pt>
                <c:pt idx="31">
                  <c:v>45</c:v>
                </c:pt>
                <c:pt idx="32">
                  <c:v>90</c:v>
                </c:pt>
                <c:pt idx="33">
                  <c:v>75</c:v>
                </c:pt>
                <c:pt idx="34">
                  <c:v>45</c:v>
                </c:pt>
                <c:pt idx="35">
                  <c:v>67</c:v>
                </c:pt>
                <c:pt idx="36">
                  <c:v>53</c:v>
                </c:pt>
                <c:pt idx="37">
                  <c:v>45</c:v>
                </c:pt>
                <c:pt idx="38">
                  <c:v>37</c:v>
                </c:pt>
                <c:pt idx="39">
                  <c:v>90</c:v>
                </c:pt>
                <c:pt idx="40">
                  <c:v>75</c:v>
                </c:pt>
                <c:pt idx="41">
                  <c:v>45</c:v>
                </c:pt>
                <c:pt idx="42">
                  <c:v>67</c:v>
                </c:pt>
                <c:pt idx="43">
                  <c:v>53</c:v>
                </c:pt>
                <c:pt idx="44">
                  <c:v>45</c:v>
                </c:pt>
                <c:pt idx="45">
                  <c:v>37</c:v>
                </c:pt>
                <c:pt idx="46">
                  <c:v>83</c:v>
                </c:pt>
                <c:pt idx="47">
                  <c:v>45</c:v>
                </c:pt>
                <c:pt idx="48">
                  <c:v>60</c:v>
                </c:pt>
                <c:pt idx="49">
                  <c:v>45</c:v>
                </c:pt>
                <c:pt idx="50">
                  <c:v>67</c:v>
                </c:pt>
                <c:pt idx="51">
                  <c:v>53</c:v>
                </c:pt>
                <c:pt idx="52">
                  <c:v>60</c:v>
                </c:pt>
                <c:pt idx="53">
                  <c:v>45</c:v>
                </c:pt>
                <c:pt idx="54">
                  <c:v>75</c:v>
                </c:pt>
                <c:pt idx="55">
                  <c:v>53</c:v>
                </c:pt>
                <c:pt idx="56">
                  <c:v>90</c:v>
                </c:pt>
                <c:pt idx="57">
                  <c:v>67</c:v>
                </c:pt>
                <c:pt idx="58">
                  <c:v>45</c:v>
                </c:pt>
                <c:pt idx="59">
                  <c:v>53</c:v>
                </c:pt>
                <c:pt idx="60">
                  <c:v>75</c:v>
                </c:pt>
                <c:pt idx="61">
                  <c:v>60</c:v>
                </c:pt>
                <c:pt idx="62">
                  <c:v>45</c:v>
                </c:pt>
                <c:pt idx="63">
                  <c:v>67</c:v>
                </c:pt>
                <c:pt idx="64">
                  <c:v>53</c:v>
                </c:pt>
                <c:pt idx="65">
                  <c:v>75</c:v>
                </c:pt>
                <c:pt idx="66">
                  <c:v>45</c:v>
                </c:pt>
                <c:pt idx="67">
                  <c:v>67</c:v>
                </c:pt>
                <c:pt idx="68">
                  <c:v>60</c:v>
                </c:pt>
                <c:pt idx="69">
                  <c:v>53</c:v>
                </c:pt>
                <c:pt idx="70">
                  <c:v>45</c:v>
                </c:pt>
                <c:pt idx="71">
                  <c:v>75</c:v>
                </c:pt>
                <c:pt idx="72">
                  <c:v>67</c:v>
                </c:pt>
                <c:pt idx="73">
                  <c:v>60</c:v>
                </c:pt>
                <c:pt idx="74">
                  <c:v>90</c:v>
                </c:pt>
                <c:pt idx="75">
                  <c:v>45</c:v>
                </c:pt>
                <c:pt idx="76">
                  <c:v>60</c:v>
                </c:pt>
                <c:pt idx="77">
                  <c:v>45</c:v>
                </c:pt>
                <c:pt idx="78">
                  <c:v>75</c:v>
                </c:pt>
                <c:pt idx="79">
                  <c:v>53</c:v>
                </c:pt>
                <c:pt idx="80">
                  <c:v>90</c:v>
                </c:pt>
                <c:pt idx="81">
                  <c:v>67</c:v>
                </c:pt>
                <c:pt idx="82">
                  <c:v>45</c:v>
                </c:pt>
                <c:pt idx="83">
                  <c:v>53</c:v>
                </c:pt>
                <c:pt idx="84">
                  <c:v>75</c:v>
                </c:pt>
                <c:pt idx="85">
                  <c:v>60</c:v>
                </c:pt>
                <c:pt idx="86">
                  <c:v>45</c:v>
                </c:pt>
                <c:pt idx="87">
                  <c:v>67</c:v>
                </c:pt>
                <c:pt idx="88">
                  <c:v>53</c:v>
                </c:pt>
                <c:pt idx="89">
                  <c:v>75</c:v>
                </c:pt>
                <c:pt idx="90">
                  <c:v>45</c:v>
                </c:pt>
                <c:pt idx="91">
                  <c:v>67</c:v>
                </c:pt>
                <c:pt idx="92">
                  <c:v>60</c:v>
                </c:pt>
                <c:pt idx="93">
                  <c:v>53</c:v>
                </c:pt>
                <c:pt idx="94">
                  <c:v>45</c:v>
                </c:pt>
                <c:pt idx="95">
                  <c:v>75</c:v>
                </c:pt>
                <c:pt idx="96">
                  <c:v>67</c:v>
                </c:pt>
                <c:pt idx="97">
                  <c:v>60</c:v>
                </c:pt>
                <c:pt idx="98">
                  <c:v>90</c:v>
                </c:pt>
                <c:pt idx="99">
                  <c:v>45</c:v>
                </c:pt>
                <c:pt idx="100">
                  <c:v>67</c:v>
                </c:pt>
                <c:pt idx="101">
                  <c:v>53</c:v>
                </c:pt>
                <c:pt idx="102">
                  <c:v>45</c:v>
                </c:pt>
                <c:pt idx="103">
                  <c:v>45</c:v>
                </c:pt>
                <c:pt idx="104">
                  <c:v>90</c:v>
                </c:pt>
                <c:pt idx="105">
                  <c:v>75</c:v>
                </c:pt>
                <c:pt idx="106">
                  <c:v>67</c:v>
                </c:pt>
                <c:pt idx="107">
                  <c:v>37</c:v>
                </c:pt>
                <c:pt idx="108">
                  <c:v>45</c:v>
                </c:pt>
                <c:pt idx="109">
                  <c:v>60</c:v>
                </c:pt>
                <c:pt idx="110">
                  <c:v>45</c:v>
                </c:pt>
                <c:pt idx="111">
                  <c:v>75</c:v>
                </c:pt>
                <c:pt idx="112">
                  <c:v>53</c:v>
                </c:pt>
                <c:pt idx="113">
                  <c:v>90</c:v>
                </c:pt>
                <c:pt idx="114">
                  <c:v>67</c:v>
                </c:pt>
                <c:pt idx="115">
                  <c:v>45</c:v>
                </c:pt>
                <c:pt idx="116">
                  <c:v>53</c:v>
                </c:pt>
                <c:pt idx="117">
                  <c:v>75</c:v>
                </c:pt>
                <c:pt idx="118">
                  <c:v>60</c:v>
                </c:pt>
                <c:pt idx="119">
                  <c:v>45</c:v>
                </c:pt>
                <c:pt idx="120">
                  <c:v>67</c:v>
                </c:pt>
                <c:pt idx="121">
                  <c:v>53</c:v>
                </c:pt>
                <c:pt idx="122">
                  <c:v>75</c:v>
                </c:pt>
                <c:pt idx="123">
                  <c:v>45</c:v>
                </c:pt>
                <c:pt idx="124">
                  <c:v>90</c:v>
                </c:pt>
                <c:pt idx="125">
                  <c:v>67</c:v>
                </c:pt>
                <c:pt idx="126">
                  <c:v>45</c:v>
                </c:pt>
                <c:pt idx="127">
                  <c:v>53</c:v>
                </c:pt>
                <c:pt idx="128">
                  <c:v>75</c:v>
                </c:pt>
                <c:pt idx="129">
                  <c:v>53</c:v>
                </c:pt>
                <c:pt idx="130">
                  <c:v>75</c:v>
                </c:pt>
                <c:pt idx="131">
                  <c:v>60</c:v>
                </c:pt>
                <c:pt idx="132">
                  <c:v>45</c:v>
                </c:pt>
                <c:pt idx="133">
                  <c:v>67</c:v>
                </c:pt>
                <c:pt idx="134">
                  <c:v>53</c:v>
                </c:pt>
                <c:pt idx="135">
                  <c:v>75</c:v>
                </c:pt>
                <c:pt idx="136">
                  <c:v>60</c:v>
                </c:pt>
                <c:pt idx="137">
                  <c:v>45</c:v>
                </c:pt>
                <c:pt idx="138">
                  <c:v>75</c:v>
                </c:pt>
                <c:pt idx="139">
                  <c:v>53</c:v>
                </c:pt>
                <c:pt idx="140">
                  <c:v>90</c:v>
                </c:pt>
                <c:pt idx="141">
                  <c:v>67</c:v>
                </c:pt>
                <c:pt idx="142">
                  <c:v>45</c:v>
                </c:pt>
                <c:pt idx="143">
                  <c:v>53</c:v>
                </c:pt>
                <c:pt idx="144">
                  <c:v>75</c:v>
                </c:pt>
                <c:pt idx="145">
                  <c:v>60</c:v>
                </c:pt>
                <c:pt idx="146">
                  <c:v>45</c:v>
                </c:pt>
                <c:pt idx="147">
                  <c:v>67</c:v>
                </c:pt>
                <c:pt idx="148">
                  <c:v>53</c:v>
                </c:pt>
                <c:pt idx="149">
                  <c:v>75</c:v>
                </c:pt>
                <c:pt idx="150">
                  <c:v>45</c:v>
                </c:pt>
                <c:pt idx="151">
                  <c:v>90</c:v>
                </c:pt>
                <c:pt idx="152">
                  <c:v>67</c:v>
                </c:pt>
                <c:pt idx="153">
                  <c:v>45</c:v>
                </c:pt>
                <c:pt idx="154">
                  <c:v>53</c:v>
                </c:pt>
                <c:pt idx="155">
                  <c:v>75</c:v>
                </c:pt>
                <c:pt idx="156">
                  <c:v>53</c:v>
                </c:pt>
                <c:pt idx="157">
                  <c:v>75</c:v>
                </c:pt>
                <c:pt idx="158">
                  <c:v>60</c:v>
                </c:pt>
                <c:pt idx="159">
                  <c:v>45</c:v>
                </c:pt>
                <c:pt idx="160">
                  <c:v>67</c:v>
                </c:pt>
                <c:pt idx="161">
                  <c:v>53</c:v>
                </c:pt>
                <c:pt idx="162">
                  <c:v>75</c:v>
                </c:pt>
                <c:pt idx="163">
                  <c:v>15</c:v>
                </c:pt>
                <c:pt idx="164">
                  <c:v>23</c:v>
                </c:pt>
                <c:pt idx="165">
                  <c:v>30</c:v>
                </c:pt>
                <c:pt idx="166">
                  <c:v>37</c:v>
                </c:pt>
                <c:pt idx="167">
                  <c:v>22</c:v>
                </c:pt>
                <c:pt idx="168">
                  <c:v>30</c:v>
                </c:pt>
                <c:pt idx="169">
                  <c:v>23</c:v>
                </c:pt>
                <c:pt idx="170">
                  <c:v>37</c:v>
                </c:pt>
                <c:pt idx="171">
                  <c:v>45</c:v>
                </c:pt>
                <c:pt idx="172">
                  <c:v>23</c:v>
                </c:pt>
                <c:pt idx="173">
                  <c:v>30</c:v>
                </c:pt>
                <c:pt idx="174">
                  <c:v>37</c:v>
                </c:pt>
                <c:pt idx="175">
                  <c:v>22</c:v>
                </c:pt>
                <c:pt idx="176">
                  <c:v>30</c:v>
                </c:pt>
                <c:pt idx="177">
                  <c:v>37</c:v>
                </c:pt>
                <c:pt idx="178">
                  <c:v>45</c:v>
                </c:pt>
                <c:pt idx="179">
                  <c:v>23</c:v>
                </c:pt>
                <c:pt idx="180">
                  <c:v>30</c:v>
                </c:pt>
                <c:pt idx="181">
                  <c:v>37</c:v>
                </c:pt>
                <c:pt idx="182">
                  <c:v>22</c:v>
                </c:pt>
                <c:pt idx="183">
                  <c:v>30</c:v>
                </c:pt>
                <c:pt idx="184">
                  <c:v>45</c:v>
                </c:pt>
                <c:pt idx="185">
                  <c:v>23</c:v>
                </c:pt>
                <c:pt idx="186">
                  <c:v>30</c:v>
                </c:pt>
                <c:pt idx="187">
                  <c:v>37</c:v>
                </c:pt>
                <c:pt idx="188">
                  <c:v>22</c:v>
                </c:pt>
                <c:pt idx="189">
                  <c:v>30</c:v>
                </c:pt>
                <c:pt idx="190">
                  <c:v>37</c:v>
                </c:pt>
                <c:pt idx="191">
                  <c:v>45</c:v>
                </c:pt>
                <c:pt idx="192">
                  <c:v>23</c:v>
                </c:pt>
                <c:pt idx="193">
                  <c:v>30</c:v>
                </c:pt>
                <c:pt idx="194">
                  <c:v>37</c:v>
                </c:pt>
                <c:pt idx="195">
                  <c:v>22</c:v>
                </c:pt>
                <c:pt idx="196">
                  <c:v>45</c:v>
                </c:pt>
                <c:pt idx="197">
                  <c:v>22</c:v>
                </c:pt>
                <c:pt idx="198">
                  <c:v>30</c:v>
                </c:pt>
                <c:pt idx="199">
                  <c:v>23</c:v>
                </c:pt>
                <c:pt idx="200">
                  <c:v>37</c:v>
                </c:pt>
                <c:pt idx="201">
                  <c:v>30</c:v>
                </c:pt>
                <c:pt idx="202">
                  <c:v>37</c:v>
                </c:pt>
                <c:pt idx="203">
                  <c:v>45</c:v>
                </c:pt>
                <c:pt idx="204">
                  <c:v>30</c:v>
                </c:pt>
                <c:pt idx="205">
                  <c:v>37</c:v>
                </c:pt>
                <c:pt idx="206">
                  <c:v>60</c:v>
                </c:pt>
                <c:pt idx="207">
                  <c:v>30</c:v>
                </c:pt>
                <c:pt idx="208">
                  <c:v>45</c:v>
                </c:pt>
                <c:pt idx="209">
                  <c:v>23</c:v>
                </c:pt>
                <c:pt idx="210">
                  <c:v>37</c:v>
                </c:pt>
                <c:pt idx="211">
                  <c:v>30</c:v>
                </c:pt>
                <c:pt idx="212">
                  <c:v>37</c:v>
                </c:pt>
                <c:pt idx="213">
                  <c:v>45</c:v>
                </c:pt>
                <c:pt idx="214">
                  <c:v>53</c:v>
                </c:pt>
                <c:pt idx="215">
                  <c:v>75</c:v>
                </c:pt>
                <c:pt idx="216">
                  <c:v>67</c:v>
                </c:pt>
                <c:pt idx="217">
                  <c:v>27</c:v>
                </c:pt>
                <c:pt idx="218">
                  <c:v>42</c:v>
                </c:pt>
                <c:pt idx="219">
                  <c:v>30</c:v>
                </c:pt>
                <c:pt idx="220">
                  <c:v>39</c:v>
                </c:pt>
                <c:pt idx="221">
                  <c:v>37</c:v>
                </c:pt>
                <c:pt idx="222">
                  <c:v>45</c:v>
                </c:pt>
                <c:pt idx="223">
                  <c:v>54</c:v>
                </c:pt>
                <c:pt idx="224">
                  <c:v>60</c:v>
                </c:pt>
                <c:pt idx="225">
                  <c:v>75</c:v>
                </c:pt>
                <c:pt idx="226">
                  <c:v>27</c:v>
                </c:pt>
                <c:pt idx="227">
                  <c:v>42</c:v>
                </c:pt>
                <c:pt idx="228">
                  <c:v>33</c:v>
                </c:pt>
                <c:pt idx="229">
                  <c:v>39</c:v>
                </c:pt>
                <c:pt idx="230">
                  <c:v>37</c:v>
                </c:pt>
                <c:pt idx="231">
                  <c:v>45</c:v>
                </c:pt>
                <c:pt idx="232">
                  <c:v>54</c:v>
                </c:pt>
                <c:pt idx="233">
                  <c:v>60</c:v>
                </c:pt>
                <c:pt idx="234">
                  <c:v>75</c:v>
                </c:pt>
                <c:pt idx="235">
                  <c:v>67</c:v>
                </c:pt>
                <c:pt idx="236">
                  <c:v>27</c:v>
                </c:pt>
                <c:pt idx="237">
                  <c:v>42</c:v>
                </c:pt>
                <c:pt idx="238">
                  <c:v>30</c:v>
                </c:pt>
                <c:pt idx="239">
                  <c:v>39</c:v>
                </c:pt>
                <c:pt idx="240">
                  <c:v>37</c:v>
                </c:pt>
                <c:pt idx="241">
                  <c:v>45</c:v>
                </c:pt>
                <c:pt idx="242">
                  <c:v>54</c:v>
                </c:pt>
                <c:pt idx="243">
                  <c:v>60</c:v>
                </c:pt>
                <c:pt idx="244">
                  <c:v>75</c:v>
                </c:pt>
                <c:pt idx="245">
                  <c:v>66</c:v>
                </c:pt>
                <c:pt idx="246">
                  <c:v>30</c:v>
                </c:pt>
                <c:pt idx="247">
                  <c:v>45</c:v>
                </c:pt>
                <c:pt idx="248">
                  <c:v>54</c:v>
                </c:pt>
                <c:pt idx="249">
                  <c:v>36</c:v>
                </c:pt>
                <c:pt idx="250">
                  <c:v>75</c:v>
                </c:pt>
                <c:pt idx="251">
                  <c:v>60</c:v>
                </c:pt>
                <c:pt idx="252">
                  <c:v>45</c:v>
                </c:pt>
                <c:pt idx="253">
                  <c:v>54</c:v>
                </c:pt>
                <c:pt idx="254">
                  <c:v>66</c:v>
                </c:pt>
                <c:pt idx="255">
                  <c:v>60</c:v>
                </c:pt>
                <c:pt idx="256">
                  <c:v>45</c:v>
                </c:pt>
                <c:pt idx="257">
                  <c:v>36</c:v>
                </c:pt>
                <c:pt idx="258">
                  <c:v>75</c:v>
                </c:pt>
                <c:pt idx="259">
                  <c:v>39</c:v>
                </c:pt>
                <c:pt idx="260">
                  <c:v>51</c:v>
                </c:pt>
                <c:pt idx="261">
                  <c:v>42</c:v>
                </c:pt>
                <c:pt idx="262">
                  <c:v>57</c:v>
                </c:pt>
                <c:pt idx="263">
                  <c:v>48</c:v>
                </c:pt>
                <c:pt idx="264">
                  <c:v>63</c:v>
                </c:pt>
                <c:pt idx="265">
                  <c:v>69</c:v>
                </c:pt>
                <c:pt idx="266">
                  <c:v>42</c:v>
                </c:pt>
                <c:pt idx="267">
                  <c:v>72</c:v>
                </c:pt>
                <c:pt idx="268">
                  <c:v>54</c:v>
                </c:pt>
                <c:pt idx="269">
                  <c:v>60</c:v>
                </c:pt>
                <c:pt idx="270">
                  <c:v>48</c:v>
                </c:pt>
                <c:pt idx="271">
                  <c:v>66</c:v>
                </c:pt>
                <c:pt idx="272">
                  <c:v>57</c:v>
                </c:pt>
                <c:pt idx="273">
                  <c:v>69</c:v>
                </c:pt>
                <c:pt idx="274">
                  <c:v>45</c:v>
                </c:pt>
                <c:pt idx="275">
                  <c:v>75</c:v>
                </c:pt>
                <c:pt idx="276">
                  <c:v>42</c:v>
                </c:pt>
                <c:pt idx="277">
                  <c:v>51</c:v>
                </c:pt>
                <c:pt idx="278">
                  <c:v>63</c:v>
                </c:pt>
                <c:pt idx="279">
                  <c:v>69</c:v>
                </c:pt>
                <c:pt idx="280">
                  <c:v>42</c:v>
                </c:pt>
                <c:pt idx="281">
                  <c:v>72</c:v>
                </c:pt>
                <c:pt idx="282">
                  <c:v>54</c:v>
                </c:pt>
                <c:pt idx="283">
                  <c:v>60</c:v>
                </c:pt>
                <c:pt idx="284">
                  <c:v>48</c:v>
                </c:pt>
                <c:pt idx="285">
                  <c:v>66</c:v>
                </c:pt>
                <c:pt idx="286">
                  <c:v>57</c:v>
                </c:pt>
                <c:pt idx="287">
                  <c:v>69</c:v>
                </c:pt>
                <c:pt idx="288">
                  <c:v>45</c:v>
                </c:pt>
                <c:pt idx="289">
                  <c:v>75</c:v>
                </c:pt>
                <c:pt idx="290">
                  <c:v>42</c:v>
                </c:pt>
                <c:pt idx="291">
                  <c:v>51</c:v>
                </c:pt>
                <c:pt idx="292">
                  <c:v>63</c:v>
                </c:pt>
                <c:pt idx="293">
                  <c:v>69</c:v>
                </c:pt>
                <c:pt idx="294">
                  <c:v>42</c:v>
                </c:pt>
                <c:pt idx="295">
                  <c:v>72</c:v>
                </c:pt>
                <c:pt idx="296">
                  <c:v>24</c:v>
                </c:pt>
                <c:pt idx="297">
                  <c:v>36</c:v>
                </c:pt>
                <c:pt idx="298">
                  <c:v>45</c:v>
                </c:pt>
                <c:pt idx="299">
                  <c:v>30</c:v>
                </c:pt>
                <c:pt idx="300">
                  <c:v>54</c:v>
                </c:pt>
                <c:pt idx="301">
                  <c:v>42</c:v>
                </c:pt>
                <c:pt idx="302">
                  <c:v>66</c:v>
                </c:pt>
                <c:pt idx="303">
                  <c:v>48</c:v>
                </c:pt>
                <c:pt idx="304">
                  <c:v>75</c:v>
                </c:pt>
                <c:pt idx="305">
                  <c:v>36</c:v>
                </c:pt>
                <c:pt idx="306">
                  <c:v>60</c:v>
                </c:pt>
                <c:pt idx="307">
                  <c:v>42</c:v>
                </c:pt>
                <c:pt idx="308">
                  <c:v>45</c:v>
                </c:pt>
                <c:pt idx="309">
                  <c:v>54</c:v>
                </c:pt>
                <c:pt idx="310">
                  <c:v>39</c:v>
                </c:pt>
                <c:pt idx="311">
                  <c:v>30</c:v>
                </c:pt>
                <c:pt idx="312">
                  <c:v>60</c:v>
                </c:pt>
                <c:pt idx="313">
                  <c:v>48</c:v>
                </c:pt>
                <c:pt idx="314">
                  <c:v>75</c:v>
                </c:pt>
                <c:pt idx="315">
                  <c:v>42</c:v>
                </c:pt>
                <c:pt idx="316">
                  <c:v>60</c:v>
                </c:pt>
                <c:pt idx="317">
                  <c:v>36</c:v>
                </c:pt>
                <c:pt idx="318">
                  <c:v>24</c:v>
                </c:pt>
                <c:pt idx="319">
                  <c:v>45</c:v>
                </c:pt>
                <c:pt idx="320">
                  <c:v>54</c:v>
                </c:pt>
                <c:pt idx="321">
                  <c:v>30</c:v>
                </c:pt>
                <c:pt idx="322">
                  <c:v>54</c:v>
                </c:pt>
                <c:pt idx="323">
                  <c:v>42</c:v>
                </c:pt>
                <c:pt idx="324">
                  <c:v>66</c:v>
                </c:pt>
                <c:pt idx="325">
                  <c:v>48</c:v>
                </c:pt>
                <c:pt idx="326">
                  <c:v>75</c:v>
                </c:pt>
                <c:pt idx="327">
                  <c:v>42</c:v>
                </c:pt>
                <c:pt idx="328">
                  <c:v>60</c:v>
                </c:pt>
                <c:pt idx="329">
                  <c:v>36</c:v>
                </c:pt>
                <c:pt idx="330">
                  <c:v>45</c:v>
                </c:pt>
                <c:pt idx="331">
                  <c:v>54</c:v>
                </c:pt>
                <c:pt idx="332">
                  <c:v>83</c:v>
                </c:pt>
                <c:pt idx="333">
                  <c:v>45</c:v>
                </c:pt>
                <c:pt idx="334">
                  <c:v>67</c:v>
                </c:pt>
                <c:pt idx="335">
                  <c:v>120</c:v>
                </c:pt>
                <c:pt idx="336">
                  <c:v>53</c:v>
                </c:pt>
                <c:pt idx="337">
                  <c:v>75</c:v>
                </c:pt>
                <c:pt idx="338">
                  <c:v>90</c:v>
                </c:pt>
                <c:pt idx="339">
                  <c:v>105</c:v>
                </c:pt>
                <c:pt idx="340">
                  <c:v>60</c:v>
                </c:pt>
                <c:pt idx="341">
                  <c:v>53</c:v>
                </c:pt>
                <c:pt idx="342">
                  <c:v>75</c:v>
                </c:pt>
                <c:pt idx="343">
                  <c:v>53</c:v>
                </c:pt>
                <c:pt idx="344">
                  <c:v>90</c:v>
                </c:pt>
                <c:pt idx="345">
                  <c:v>120</c:v>
                </c:pt>
                <c:pt idx="346">
                  <c:v>67</c:v>
                </c:pt>
                <c:pt idx="347">
                  <c:v>105</c:v>
                </c:pt>
                <c:pt idx="348">
                  <c:v>45</c:v>
                </c:pt>
                <c:pt idx="349">
                  <c:v>83</c:v>
                </c:pt>
                <c:pt idx="350">
                  <c:v>60</c:v>
                </c:pt>
                <c:pt idx="351">
                  <c:v>90</c:v>
                </c:pt>
                <c:pt idx="352">
                  <c:v>75</c:v>
                </c:pt>
                <c:pt idx="353">
                  <c:v>53</c:v>
                </c:pt>
                <c:pt idx="354">
                  <c:v>67</c:v>
                </c:pt>
                <c:pt idx="355">
                  <c:v>120</c:v>
                </c:pt>
                <c:pt idx="356">
                  <c:v>105</c:v>
                </c:pt>
                <c:pt idx="357">
                  <c:v>60</c:v>
                </c:pt>
                <c:pt idx="358">
                  <c:v>83</c:v>
                </c:pt>
                <c:pt idx="359">
                  <c:v>45</c:v>
                </c:pt>
                <c:pt idx="360">
                  <c:v>75</c:v>
                </c:pt>
                <c:pt idx="361">
                  <c:v>90</c:v>
                </c:pt>
                <c:pt idx="362">
                  <c:v>53</c:v>
                </c:pt>
                <c:pt idx="363">
                  <c:v>67</c:v>
                </c:pt>
                <c:pt idx="364">
                  <c:v>105</c:v>
                </c:pt>
                <c:pt idx="365">
                  <c:v>60</c:v>
                </c:pt>
                <c:pt idx="366">
                  <c:v>83</c:v>
                </c:pt>
                <c:pt idx="367">
                  <c:v>45</c:v>
                </c:pt>
                <c:pt idx="368">
                  <c:v>120</c:v>
                </c:pt>
                <c:pt idx="369">
                  <c:v>53</c:v>
                </c:pt>
                <c:pt idx="370">
                  <c:v>75</c:v>
                </c:pt>
                <c:pt idx="371">
                  <c:v>53</c:v>
                </c:pt>
                <c:pt idx="372">
                  <c:v>67</c:v>
                </c:pt>
                <c:pt idx="373">
                  <c:v>105</c:v>
                </c:pt>
                <c:pt idx="374">
                  <c:v>90</c:v>
                </c:pt>
                <c:pt idx="375">
                  <c:v>83</c:v>
                </c:pt>
                <c:pt idx="376">
                  <c:v>60</c:v>
                </c:pt>
                <c:pt idx="377">
                  <c:v>53</c:v>
                </c:pt>
                <c:pt idx="378">
                  <c:v>67</c:v>
                </c:pt>
                <c:pt idx="379">
                  <c:v>105</c:v>
                </c:pt>
                <c:pt idx="380">
                  <c:v>45</c:v>
                </c:pt>
                <c:pt idx="381">
                  <c:v>75</c:v>
                </c:pt>
                <c:pt idx="382">
                  <c:v>120</c:v>
                </c:pt>
                <c:pt idx="383">
                  <c:v>53</c:v>
                </c:pt>
                <c:pt idx="384">
                  <c:v>83</c:v>
                </c:pt>
                <c:pt idx="385">
                  <c:v>90</c:v>
                </c:pt>
                <c:pt idx="386">
                  <c:v>67</c:v>
                </c:pt>
                <c:pt idx="387">
                  <c:v>105</c:v>
                </c:pt>
                <c:pt idx="388">
                  <c:v>60</c:v>
                </c:pt>
                <c:pt idx="389">
                  <c:v>53</c:v>
                </c:pt>
                <c:pt idx="390">
                  <c:v>75</c:v>
                </c:pt>
                <c:pt idx="391">
                  <c:v>53</c:v>
                </c:pt>
                <c:pt idx="392">
                  <c:v>67</c:v>
                </c:pt>
                <c:pt idx="393">
                  <c:v>105</c:v>
                </c:pt>
                <c:pt idx="394">
                  <c:v>90</c:v>
                </c:pt>
                <c:pt idx="395">
                  <c:v>83</c:v>
                </c:pt>
                <c:pt idx="396">
                  <c:v>60</c:v>
                </c:pt>
                <c:pt idx="397">
                  <c:v>53</c:v>
                </c:pt>
                <c:pt idx="398">
                  <c:v>67</c:v>
                </c:pt>
                <c:pt idx="399">
                  <c:v>105</c:v>
                </c:pt>
                <c:pt idx="400">
                  <c:v>45</c:v>
                </c:pt>
                <c:pt idx="401">
                  <c:v>75</c:v>
                </c:pt>
                <c:pt idx="402">
                  <c:v>120</c:v>
                </c:pt>
                <c:pt idx="403">
                  <c:v>53</c:v>
                </c:pt>
                <c:pt idx="404">
                  <c:v>83</c:v>
                </c:pt>
                <c:pt idx="405">
                  <c:v>90</c:v>
                </c:pt>
                <c:pt idx="406">
                  <c:v>67</c:v>
                </c:pt>
                <c:pt idx="407">
                  <c:v>105</c:v>
                </c:pt>
                <c:pt idx="408">
                  <c:v>60</c:v>
                </c:pt>
                <c:pt idx="409">
                  <c:v>53</c:v>
                </c:pt>
                <c:pt idx="410">
                  <c:v>53</c:v>
                </c:pt>
                <c:pt idx="411">
                  <c:v>67</c:v>
                </c:pt>
                <c:pt idx="412">
                  <c:v>83</c:v>
                </c:pt>
                <c:pt idx="413">
                  <c:v>105</c:v>
                </c:pt>
                <c:pt idx="414">
                  <c:v>60</c:v>
                </c:pt>
                <c:pt idx="415">
                  <c:v>75</c:v>
                </c:pt>
                <c:pt idx="416">
                  <c:v>90</c:v>
                </c:pt>
                <c:pt idx="417">
                  <c:v>53</c:v>
                </c:pt>
                <c:pt idx="418">
                  <c:v>67</c:v>
                </c:pt>
                <c:pt idx="419">
                  <c:v>83</c:v>
                </c:pt>
                <c:pt idx="420">
                  <c:v>45</c:v>
                </c:pt>
                <c:pt idx="421">
                  <c:v>53</c:v>
                </c:pt>
                <c:pt idx="422">
                  <c:v>67</c:v>
                </c:pt>
                <c:pt idx="423">
                  <c:v>83</c:v>
                </c:pt>
                <c:pt idx="424">
                  <c:v>67</c:v>
                </c:pt>
                <c:pt idx="425">
                  <c:v>75</c:v>
                </c:pt>
                <c:pt idx="426">
                  <c:v>90</c:v>
                </c:pt>
                <c:pt idx="427">
                  <c:v>53</c:v>
                </c:pt>
                <c:pt idx="428">
                  <c:v>83</c:v>
                </c:pt>
                <c:pt idx="429">
                  <c:v>105</c:v>
                </c:pt>
                <c:pt idx="430">
                  <c:v>60</c:v>
                </c:pt>
                <c:pt idx="431">
                  <c:v>67</c:v>
                </c:pt>
                <c:pt idx="432">
                  <c:v>120</c:v>
                </c:pt>
                <c:pt idx="433">
                  <c:v>53</c:v>
                </c:pt>
                <c:pt idx="434">
                  <c:v>75</c:v>
                </c:pt>
                <c:pt idx="435">
                  <c:v>105</c:v>
                </c:pt>
                <c:pt idx="436">
                  <c:v>53</c:v>
                </c:pt>
                <c:pt idx="437">
                  <c:v>83</c:v>
                </c:pt>
                <c:pt idx="438">
                  <c:v>67</c:v>
                </c:pt>
                <c:pt idx="439">
                  <c:v>60</c:v>
                </c:pt>
                <c:pt idx="440">
                  <c:v>60</c:v>
                </c:pt>
                <c:pt idx="441">
                  <c:v>75</c:v>
                </c:pt>
                <c:pt idx="442">
                  <c:v>53</c:v>
                </c:pt>
                <c:pt idx="443">
                  <c:v>67</c:v>
                </c:pt>
                <c:pt idx="444">
                  <c:v>45</c:v>
                </c:pt>
                <c:pt idx="445">
                  <c:v>83</c:v>
                </c:pt>
                <c:pt idx="446">
                  <c:v>67</c:v>
                </c:pt>
                <c:pt idx="447">
                  <c:v>90</c:v>
                </c:pt>
                <c:pt idx="448">
                  <c:v>75</c:v>
                </c:pt>
                <c:pt idx="449">
                  <c:v>105</c:v>
                </c:pt>
                <c:pt idx="450">
                  <c:v>90</c:v>
                </c:pt>
                <c:pt idx="451">
                  <c:v>53</c:v>
                </c:pt>
                <c:pt idx="452">
                  <c:v>83</c:v>
                </c:pt>
                <c:pt idx="453">
                  <c:v>67</c:v>
                </c:pt>
                <c:pt idx="454">
                  <c:v>60</c:v>
                </c:pt>
                <c:pt idx="455">
                  <c:v>75</c:v>
                </c:pt>
                <c:pt idx="456">
                  <c:v>45</c:v>
                </c:pt>
                <c:pt idx="457">
                  <c:v>67</c:v>
                </c:pt>
                <c:pt idx="458">
                  <c:v>53</c:v>
                </c:pt>
                <c:pt idx="459">
                  <c:v>83</c:v>
                </c:pt>
                <c:pt idx="460">
                  <c:v>90</c:v>
                </c:pt>
                <c:pt idx="461">
                  <c:v>53</c:v>
                </c:pt>
                <c:pt idx="462">
                  <c:v>67</c:v>
                </c:pt>
                <c:pt idx="463">
                  <c:v>75</c:v>
                </c:pt>
                <c:pt idx="464">
                  <c:v>60</c:v>
                </c:pt>
                <c:pt idx="465">
                  <c:v>83</c:v>
                </c:pt>
                <c:pt idx="466">
                  <c:v>53</c:v>
                </c:pt>
                <c:pt idx="467">
                  <c:v>67</c:v>
                </c:pt>
                <c:pt idx="468">
                  <c:v>45</c:v>
                </c:pt>
                <c:pt idx="469">
                  <c:v>90</c:v>
                </c:pt>
                <c:pt idx="470">
                  <c:v>120</c:v>
                </c:pt>
                <c:pt idx="471">
                  <c:v>105</c:v>
                </c:pt>
                <c:pt idx="472">
                  <c:v>75</c:v>
                </c:pt>
                <c:pt idx="473">
                  <c:v>90</c:v>
                </c:pt>
                <c:pt idx="474">
                  <c:v>67</c:v>
                </c:pt>
                <c:pt idx="475">
                  <c:v>83</c:v>
                </c:pt>
                <c:pt idx="476">
                  <c:v>53</c:v>
                </c:pt>
                <c:pt idx="477">
                  <c:v>60</c:v>
                </c:pt>
                <c:pt idx="478">
                  <c:v>75</c:v>
                </c:pt>
                <c:pt idx="479">
                  <c:v>90</c:v>
                </c:pt>
                <c:pt idx="480">
                  <c:v>105</c:v>
                </c:pt>
                <c:pt idx="481">
                  <c:v>120</c:v>
                </c:pt>
                <c:pt idx="482">
                  <c:v>90</c:v>
                </c:pt>
                <c:pt idx="483">
                  <c:v>75</c:v>
                </c:pt>
                <c:pt idx="484">
                  <c:v>67</c:v>
                </c:pt>
                <c:pt idx="485">
                  <c:v>83</c:v>
                </c:pt>
                <c:pt idx="486">
                  <c:v>53</c:v>
                </c:pt>
                <c:pt idx="487">
                  <c:v>67</c:v>
                </c:pt>
                <c:pt idx="488">
                  <c:v>90</c:v>
                </c:pt>
                <c:pt idx="489">
                  <c:v>105</c:v>
                </c:pt>
                <c:pt idx="490">
                  <c:v>83</c:v>
                </c:pt>
                <c:pt idx="491">
                  <c:v>90</c:v>
                </c:pt>
                <c:pt idx="492">
                  <c:v>67</c:v>
                </c:pt>
                <c:pt idx="493">
                  <c:v>105</c:v>
                </c:pt>
                <c:pt idx="494">
                  <c:v>53</c:v>
                </c:pt>
                <c:pt idx="495">
                  <c:v>75</c:v>
                </c:pt>
                <c:pt idx="496">
                  <c:v>67</c:v>
                </c:pt>
                <c:pt idx="497">
                  <c:v>90</c:v>
                </c:pt>
                <c:pt idx="498">
                  <c:v>60</c:v>
                </c:pt>
                <c:pt idx="499">
                  <c:v>83</c:v>
                </c:pt>
                <c:pt idx="500">
                  <c:v>105</c:v>
                </c:pt>
                <c:pt idx="501">
                  <c:v>75</c:v>
                </c:pt>
                <c:pt idx="502">
                  <c:v>67</c:v>
                </c:pt>
                <c:pt idx="503">
                  <c:v>90</c:v>
                </c:pt>
                <c:pt idx="504">
                  <c:v>53</c:v>
                </c:pt>
                <c:pt idx="505">
                  <c:v>83</c:v>
                </c:pt>
                <c:pt idx="506">
                  <c:v>60</c:v>
                </c:pt>
                <c:pt idx="507">
                  <c:v>67</c:v>
                </c:pt>
                <c:pt idx="508">
                  <c:v>75</c:v>
                </c:pt>
                <c:pt idx="509">
                  <c:v>67</c:v>
                </c:pt>
                <c:pt idx="510">
                  <c:v>120</c:v>
                </c:pt>
                <c:pt idx="511">
                  <c:v>105</c:v>
                </c:pt>
                <c:pt idx="512">
                  <c:v>90</c:v>
                </c:pt>
                <c:pt idx="513">
                  <c:v>67</c:v>
                </c:pt>
                <c:pt idx="514">
                  <c:v>53</c:v>
                </c:pt>
                <c:pt idx="515">
                  <c:v>83</c:v>
                </c:pt>
                <c:pt idx="516">
                  <c:v>75</c:v>
                </c:pt>
                <c:pt idx="517">
                  <c:v>67</c:v>
                </c:pt>
                <c:pt idx="518">
                  <c:v>105</c:v>
                </c:pt>
                <c:pt idx="519">
                  <c:v>90</c:v>
                </c:pt>
                <c:pt idx="520">
                  <c:v>120</c:v>
                </c:pt>
                <c:pt idx="521">
                  <c:v>105</c:v>
                </c:pt>
                <c:pt idx="522">
                  <c:v>90</c:v>
                </c:pt>
                <c:pt idx="523">
                  <c:v>67</c:v>
                </c:pt>
                <c:pt idx="524">
                  <c:v>53</c:v>
                </c:pt>
                <c:pt idx="525">
                  <c:v>83</c:v>
                </c:pt>
                <c:pt idx="526">
                  <c:v>75</c:v>
                </c:pt>
                <c:pt idx="527">
                  <c:v>67</c:v>
                </c:pt>
                <c:pt idx="528">
                  <c:v>105</c:v>
                </c:pt>
                <c:pt idx="529">
                  <c:v>90</c:v>
                </c:pt>
                <c:pt idx="530">
                  <c:v>120</c:v>
                </c:pt>
                <c:pt idx="531">
                  <c:v>105</c:v>
                </c:pt>
                <c:pt idx="532">
                  <c:v>90</c:v>
                </c:pt>
                <c:pt idx="533">
                  <c:v>67</c:v>
                </c:pt>
                <c:pt idx="534">
                  <c:v>83</c:v>
                </c:pt>
                <c:pt idx="535">
                  <c:v>53</c:v>
                </c:pt>
                <c:pt idx="536">
                  <c:v>67</c:v>
                </c:pt>
                <c:pt idx="537">
                  <c:v>83</c:v>
                </c:pt>
                <c:pt idx="538">
                  <c:v>105</c:v>
                </c:pt>
                <c:pt idx="539">
                  <c:v>67</c:v>
                </c:pt>
                <c:pt idx="540">
                  <c:v>120</c:v>
                </c:pt>
                <c:pt idx="541">
                  <c:v>105</c:v>
                </c:pt>
                <c:pt idx="542">
                  <c:v>90</c:v>
                </c:pt>
                <c:pt idx="543">
                  <c:v>67</c:v>
                </c:pt>
                <c:pt idx="544">
                  <c:v>83</c:v>
                </c:pt>
                <c:pt idx="545">
                  <c:v>53</c:v>
                </c:pt>
                <c:pt idx="546">
                  <c:v>67</c:v>
                </c:pt>
                <c:pt idx="547">
                  <c:v>83</c:v>
                </c:pt>
                <c:pt idx="548">
                  <c:v>105</c:v>
                </c:pt>
                <c:pt idx="549">
                  <c:v>67</c:v>
                </c:pt>
                <c:pt idx="550">
                  <c:v>120</c:v>
                </c:pt>
                <c:pt idx="551">
                  <c:v>105</c:v>
                </c:pt>
                <c:pt idx="552">
                  <c:v>90</c:v>
                </c:pt>
                <c:pt idx="553">
                  <c:v>67</c:v>
                </c:pt>
                <c:pt idx="554">
                  <c:v>83</c:v>
                </c:pt>
                <c:pt idx="555">
                  <c:v>53</c:v>
                </c:pt>
                <c:pt idx="556">
                  <c:v>67</c:v>
                </c:pt>
                <c:pt idx="557">
                  <c:v>83</c:v>
                </c:pt>
                <c:pt idx="558">
                  <c:v>105</c:v>
                </c:pt>
                <c:pt idx="559">
                  <c:v>67</c:v>
                </c:pt>
                <c:pt idx="560">
                  <c:v>120</c:v>
                </c:pt>
                <c:pt idx="561">
                  <c:v>105</c:v>
                </c:pt>
                <c:pt idx="562">
                  <c:v>90</c:v>
                </c:pt>
                <c:pt idx="563">
                  <c:v>67</c:v>
                </c:pt>
                <c:pt idx="564">
                  <c:v>83</c:v>
                </c:pt>
                <c:pt idx="565">
                  <c:v>53</c:v>
                </c:pt>
                <c:pt idx="566">
                  <c:v>67</c:v>
                </c:pt>
                <c:pt idx="567">
                  <c:v>83</c:v>
                </c:pt>
                <c:pt idx="568">
                  <c:v>105</c:v>
                </c:pt>
                <c:pt idx="569">
                  <c:v>67</c:v>
                </c:pt>
                <c:pt idx="570">
                  <c:v>120</c:v>
                </c:pt>
                <c:pt idx="571">
                  <c:v>105</c:v>
                </c:pt>
                <c:pt idx="572">
                  <c:v>90</c:v>
                </c:pt>
                <c:pt idx="573">
                  <c:v>67</c:v>
                </c:pt>
                <c:pt idx="574">
                  <c:v>83</c:v>
                </c:pt>
                <c:pt idx="575">
                  <c:v>53</c:v>
                </c:pt>
                <c:pt idx="576">
                  <c:v>67</c:v>
                </c:pt>
                <c:pt idx="577">
                  <c:v>83</c:v>
                </c:pt>
                <c:pt idx="578">
                  <c:v>67</c:v>
                </c:pt>
                <c:pt idx="579">
                  <c:v>105</c:v>
                </c:pt>
                <c:pt idx="580">
                  <c:v>45</c:v>
                </c:pt>
                <c:pt idx="581">
                  <c:v>53</c:v>
                </c:pt>
                <c:pt idx="582">
                  <c:v>67</c:v>
                </c:pt>
                <c:pt idx="583">
                  <c:v>60</c:v>
                </c:pt>
                <c:pt idx="584">
                  <c:v>75</c:v>
                </c:pt>
                <c:pt idx="585">
                  <c:v>60</c:v>
                </c:pt>
                <c:pt idx="586">
                  <c:v>83</c:v>
                </c:pt>
                <c:pt idx="587">
                  <c:v>67</c:v>
                </c:pt>
                <c:pt idx="588">
                  <c:v>53</c:v>
                </c:pt>
                <c:pt idx="589">
                  <c:v>90</c:v>
                </c:pt>
                <c:pt idx="590">
                  <c:v>67</c:v>
                </c:pt>
                <c:pt idx="591">
                  <c:v>105</c:v>
                </c:pt>
                <c:pt idx="592">
                  <c:v>60</c:v>
                </c:pt>
                <c:pt idx="593">
                  <c:v>83</c:v>
                </c:pt>
                <c:pt idx="594">
                  <c:v>67</c:v>
                </c:pt>
                <c:pt idx="595">
                  <c:v>75</c:v>
                </c:pt>
                <c:pt idx="596">
                  <c:v>53</c:v>
                </c:pt>
                <c:pt idx="597">
                  <c:v>83</c:v>
                </c:pt>
                <c:pt idx="598">
                  <c:v>67</c:v>
                </c:pt>
                <c:pt idx="599">
                  <c:v>105</c:v>
                </c:pt>
                <c:pt idx="600">
                  <c:v>60</c:v>
                </c:pt>
                <c:pt idx="601">
                  <c:v>90</c:v>
                </c:pt>
                <c:pt idx="602">
                  <c:v>105</c:v>
                </c:pt>
                <c:pt idx="603">
                  <c:v>83</c:v>
                </c:pt>
                <c:pt idx="604">
                  <c:v>67</c:v>
                </c:pt>
                <c:pt idx="605">
                  <c:v>75</c:v>
                </c:pt>
                <c:pt idx="606">
                  <c:v>90</c:v>
                </c:pt>
                <c:pt idx="607">
                  <c:v>53</c:v>
                </c:pt>
                <c:pt idx="608">
                  <c:v>105</c:v>
                </c:pt>
                <c:pt idx="609">
                  <c:v>83</c:v>
                </c:pt>
                <c:pt idx="610">
                  <c:v>67</c:v>
                </c:pt>
                <c:pt idx="611">
                  <c:v>60</c:v>
                </c:pt>
                <c:pt idx="612">
                  <c:v>53</c:v>
                </c:pt>
                <c:pt idx="613">
                  <c:v>75</c:v>
                </c:pt>
                <c:pt idx="614">
                  <c:v>83</c:v>
                </c:pt>
                <c:pt idx="615">
                  <c:v>67</c:v>
                </c:pt>
                <c:pt idx="616">
                  <c:v>105</c:v>
                </c:pt>
                <c:pt idx="617">
                  <c:v>90</c:v>
                </c:pt>
                <c:pt idx="618">
                  <c:v>60</c:v>
                </c:pt>
                <c:pt idx="619">
                  <c:v>53</c:v>
                </c:pt>
                <c:pt idx="620">
                  <c:v>75</c:v>
                </c:pt>
                <c:pt idx="621">
                  <c:v>83</c:v>
                </c:pt>
                <c:pt idx="622">
                  <c:v>90</c:v>
                </c:pt>
                <c:pt idx="623">
                  <c:v>67</c:v>
                </c:pt>
                <c:pt idx="624">
                  <c:v>83</c:v>
                </c:pt>
                <c:pt idx="625">
                  <c:v>105</c:v>
                </c:pt>
                <c:pt idx="626">
                  <c:v>53</c:v>
                </c:pt>
                <c:pt idx="627">
                  <c:v>75</c:v>
                </c:pt>
                <c:pt idx="628">
                  <c:v>67</c:v>
                </c:pt>
                <c:pt idx="629">
                  <c:v>90</c:v>
                </c:pt>
                <c:pt idx="630">
                  <c:v>60</c:v>
                </c:pt>
                <c:pt idx="631">
                  <c:v>83</c:v>
                </c:pt>
                <c:pt idx="632">
                  <c:v>67</c:v>
                </c:pt>
                <c:pt idx="633">
                  <c:v>75</c:v>
                </c:pt>
                <c:pt idx="634">
                  <c:v>105</c:v>
                </c:pt>
                <c:pt idx="635">
                  <c:v>60</c:v>
                </c:pt>
                <c:pt idx="636">
                  <c:v>83</c:v>
                </c:pt>
                <c:pt idx="637">
                  <c:v>90</c:v>
                </c:pt>
                <c:pt idx="638">
                  <c:v>53</c:v>
                </c:pt>
                <c:pt idx="639">
                  <c:v>75</c:v>
                </c:pt>
                <c:pt idx="640">
                  <c:v>67</c:v>
                </c:pt>
                <c:pt idx="641">
                  <c:v>90</c:v>
                </c:pt>
                <c:pt idx="642">
                  <c:v>60</c:v>
                </c:pt>
                <c:pt idx="643">
                  <c:v>75</c:v>
                </c:pt>
                <c:pt idx="644">
                  <c:v>53</c:v>
                </c:pt>
                <c:pt idx="645">
                  <c:v>67</c:v>
                </c:pt>
                <c:pt idx="646">
                  <c:v>90</c:v>
                </c:pt>
                <c:pt idx="647">
                  <c:v>83</c:v>
                </c:pt>
                <c:pt idx="648">
                  <c:v>67</c:v>
                </c:pt>
                <c:pt idx="649">
                  <c:v>90</c:v>
                </c:pt>
                <c:pt idx="650">
                  <c:v>60</c:v>
                </c:pt>
                <c:pt idx="651">
                  <c:v>83</c:v>
                </c:pt>
                <c:pt idx="652">
                  <c:v>67</c:v>
                </c:pt>
                <c:pt idx="653">
                  <c:v>75</c:v>
                </c:pt>
                <c:pt idx="654">
                  <c:v>105</c:v>
                </c:pt>
                <c:pt idx="655">
                  <c:v>60</c:v>
                </c:pt>
                <c:pt idx="656">
                  <c:v>83</c:v>
                </c:pt>
                <c:pt idx="657">
                  <c:v>90</c:v>
                </c:pt>
                <c:pt idx="658">
                  <c:v>53</c:v>
                </c:pt>
                <c:pt idx="659">
                  <c:v>75</c:v>
                </c:pt>
                <c:pt idx="660">
                  <c:v>67</c:v>
                </c:pt>
                <c:pt idx="661">
                  <c:v>90</c:v>
                </c:pt>
                <c:pt idx="662">
                  <c:v>45</c:v>
                </c:pt>
                <c:pt idx="663">
                  <c:v>62</c:v>
                </c:pt>
                <c:pt idx="664">
                  <c:v>83</c:v>
                </c:pt>
                <c:pt idx="665">
                  <c:v>58</c:v>
                </c:pt>
                <c:pt idx="666">
                  <c:v>75</c:v>
                </c:pt>
                <c:pt idx="667">
                  <c:v>53</c:v>
                </c:pt>
                <c:pt idx="668">
                  <c:v>67</c:v>
                </c:pt>
                <c:pt idx="669">
                  <c:v>54</c:v>
                </c:pt>
                <c:pt idx="670">
                  <c:v>74</c:v>
                </c:pt>
                <c:pt idx="671">
                  <c:v>60</c:v>
                </c:pt>
                <c:pt idx="672">
                  <c:v>66</c:v>
                </c:pt>
                <c:pt idx="673">
                  <c:v>60</c:v>
                </c:pt>
                <c:pt idx="674">
                  <c:v>50</c:v>
                </c:pt>
                <c:pt idx="675">
                  <c:v>67</c:v>
                </c:pt>
                <c:pt idx="676">
                  <c:v>56</c:v>
                </c:pt>
                <c:pt idx="677">
                  <c:v>79</c:v>
                </c:pt>
                <c:pt idx="678">
                  <c:v>65</c:v>
                </c:pt>
                <c:pt idx="679">
                  <c:v>59</c:v>
                </c:pt>
                <c:pt idx="680">
                  <c:v>74</c:v>
                </c:pt>
                <c:pt idx="681">
                  <c:v>48</c:v>
                </c:pt>
                <c:pt idx="682">
                  <c:v>65</c:v>
                </c:pt>
                <c:pt idx="683">
                  <c:v>43</c:v>
                </c:pt>
                <c:pt idx="684">
                  <c:v>54</c:v>
                </c:pt>
                <c:pt idx="685">
                  <c:v>60</c:v>
                </c:pt>
                <c:pt idx="686">
                  <c:v>51</c:v>
                </c:pt>
                <c:pt idx="687">
                  <c:v>62</c:v>
                </c:pt>
                <c:pt idx="688">
                  <c:v>57</c:v>
                </c:pt>
                <c:pt idx="689">
                  <c:v>66</c:v>
                </c:pt>
                <c:pt idx="690">
                  <c:v>47</c:v>
                </c:pt>
                <c:pt idx="691">
                  <c:v>41</c:v>
                </c:pt>
                <c:pt idx="692">
                  <c:v>53</c:v>
                </c:pt>
                <c:pt idx="693">
                  <c:v>59</c:v>
                </c:pt>
                <c:pt idx="694">
                  <c:v>69</c:v>
                </c:pt>
                <c:pt idx="695">
                  <c:v>75</c:v>
                </c:pt>
                <c:pt idx="696">
                  <c:v>63</c:v>
                </c:pt>
                <c:pt idx="697">
                  <c:v>56</c:v>
                </c:pt>
                <c:pt idx="698">
                  <c:v>48</c:v>
                </c:pt>
                <c:pt idx="699">
                  <c:v>54</c:v>
                </c:pt>
                <c:pt idx="700">
                  <c:v>62</c:v>
                </c:pt>
                <c:pt idx="701">
                  <c:v>72</c:v>
                </c:pt>
                <c:pt idx="702">
                  <c:v>65</c:v>
                </c:pt>
                <c:pt idx="703">
                  <c:v>59</c:v>
                </c:pt>
                <c:pt idx="704">
                  <c:v>65</c:v>
                </c:pt>
                <c:pt idx="705">
                  <c:v>76</c:v>
                </c:pt>
                <c:pt idx="706">
                  <c:v>57</c:v>
                </c:pt>
                <c:pt idx="707">
                  <c:v>64</c:v>
                </c:pt>
                <c:pt idx="708">
                  <c:v>54</c:v>
                </c:pt>
                <c:pt idx="709">
                  <c:v>67</c:v>
                </c:pt>
                <c:pt idx="710">
                  <c:v>72</c:v>
                </c:pt>
                <c:pt idx="711">
                  <c:v>60</c:v>
                </c:pt>
                <c:pt idx="712">
                  <c:v>74</c:v>
                </c:pt>
                <c:pt idx="713">
                  <c:v>56</c:v>
                </c:pt>
                <c:pt idx="714">
                  <c:v>67</c:v>
                </c:pt>
                <c:pt idx="715">
                  <c:v>59</c:v>
                </c:pt>
                <c:pt idx="716">
                  <c:v>53</c:v>
                </c:pt>
                <c:pt idx="717">
                  <c:v>65</c:v>
                </c:pt>
                <c:pt idx="718">
                  <c:v>79</c:v>
                </c:pt>
                <c:pt idx="719">
                  <c:v>72</c:v>
                </c:pt>
                <c:pt idx="720">
                  <c:v>57</c:v>
                </c:pt>
                <c:pt idx="721">
                  <c:v>63</c:v>
                </c:pt>
                <c:pt idx="722">
                  <c:v>76</c:v>
                </c:pt>
                <c:pt idx="723">
                  <c:v>68</c:v>
                </c:pt>
                <c:pt idx="724">
                  <c:v>65</c:v>
                </c:pt>
                <c:pt idx="725">
                  <c:v>67</c:v>
                </c:pt>
                <c:pt idx="726">
                  <c:v>77</c:v>
                </c:pt>
                <c:pt idx="727">
                  <c:v>59</c:v>
                </c:pt>
                <c:pt idx="728">
                  <c:v>73</c:v>
                </c:pt>
                <c:pt idx="729">
                  <c:v>64</c:v>
                </c:pt>
                <c:pt idx="730">
                  <c:v>64</c:v>
                </c:pt>
                <c:pt idx="731">
                  <c:v>71</c:v>
                </c:pt>
              </c:numCache>
            </c:numRef>
          </c:xVal>
          <c:yVal>
            <c:numRef>
              <c:f>Transformations!$Y$2:$Y$733</c:f>
              <c:numCache>
                <c:formatCode>General</c:formatCode>
                <c:ptCount val="732"/>
                <c:pt idx="0">
                  <c:v>12</c:v>
                </c:pt>
                <c:pt idx="1">
                  <c:v>8</c:v>
                </c:pt>
                <c:pt idx="2">
                  <c:v>15</c:v>
                </c:pt>
                <c:pt idx="3">
                  <c:v>18</c:v>
                </c:pt>
                <c:pt idx="4">
                  <c:v>19</c:v>
                </c:pt>
                <c:pt idx="5">
                  <c:v>9</c:v>
                </c:pt>
                <c:pt idx="6">
                  <c:v>14</c:v>
                </c:pt>
                <c:pt idx="7">
                  <c:v>19</c:v>
                </c:pt>
                <c:pt idx="8">
                  <c:v>8</c:v>
                </c:pt>
                <c:pt idx="9">
                  <c:v>12</c:v>
                </c:pt>
                <c:pt idx="10">
                  <c:v>15</c:v>
                </c:pt>
                <c:pt idx="11">
                  <c:v>10</c:v>
                </c:pt>
                <c:pt idx="12">
                  <c:v>14</c:v>
                </c:pt>
                <c:pt idx="13">
                  <c:v>18</c:v>
                </c:pt>
                <c:pt idx="14">
                  <c:v>9</c:v>
                </c:pt>
                <c:pt idx="15">
                  <c:v>13</c:v>
                </c:pt>
                <c:pt idx="16">
                  <c:v>17</c:v>
                </c:pt>
                <c:pt idx="17">
                  <c:v>0</c:v>
                </c:pt>
                <c:pt idx="18">
                  <c:v>11</c:v>
                </c:pt>
                <c:pt idx="19">
                  <c:v>15</c:v>
                </c:pt>
                <c:pt idx="20">
                  <c:v>8</c:v>
                </c:pt>
                <c:pt idx="21">
                  <c:v>13</c:v>
                </c:pt>
                <c:pt idx="22">
                  <c:v>16</c:v>
                </c:pt>
                <c:pt idx="23">
                  <c:v>9</c:v>
                </c:pt>
                <c:pt idx="24">
                  <c:v>14</c:v>
                </c:pt>
                <c:pt idx="25">
                  <c:v>12</c:v>
                </c:pt>
                <c:pt idx="26">
                  <c:v>16</c:v>
                </c:pt>
                <c:pt idx="27">
                  <c:v>19</c:v>
                </c:pt>
                <c:pt idx="28">
                  <c:v>11</c:v>
                </c:pt>
                <c:pt idx="29">
                  <c:v>15</c:v>
                </c:pt>
                <c:pt idx="30">
                  <c:v>17</c:v>
                </c:pt>
                <c:pt idx="31">
                  <c:v>18</c:v>
                </c:pt>
                <c:pt idx="32">
                  <c:v>13</c:v>
                </c:pt>
                <c:pt idx="33">
                  <c:v>9</c:v>
                </c:pt>
                <c:pt idx="34">
                  <c:v>14</c:v>
                </c:pt>
                <c:pt idx="35">
                  <c:v>17</c:v>
                </c:pt>
                <c:pt idx="36">
                  <c:v>20</c:v>
                </c:pt>
                <c:pt idx="37">
                  <c:v>12</c:v>
                </c:pt>
                <c:pt idx="38">
                  <c:v>16</c:v>
                </c:pt>
                <c:pt idx="39">
                  <c:v>9</c:v>
                </c:pt>
                <c:pt idx="40">
                  <c:v>14</c:v>
                </c:pt>
                <c:pt idx="41">
                  <c:v>19</c:v>
                </c:pt>
                <c:pt idx="42">
                  <c:v>17</c:v>
                </c:pt>
                <c:pt idx="43">
                  <c:v>20</c:v>
                </c:pt>
                <c:pt idx="44">
                  <c:v>11</c:v>
                </c:pt>
                <c:pt idx="45">
                  <c:v>15</c:v>
                </c:pt>
                <c:pt idx="46">
                  <c:v>18</c:v>
                </c:pt>
                <c:pt idx="47">
                  <c:v>10</c:v>
                </c:pt>
                <c:pt idx="48">
                  <c:v>19</c:v>
                </c:pt>
                <c:pt idx="49">
                  <c:v>16</c:v>
                </c:pt>
                <c:pt idx="50">
                  <c:v>8</c:v>
                </c:pt>
                <c:pt idx="51">
                  <c:v>13</c:v>
                </c:pt>
                <c:pt idx="52">
                  <c:v>9</c:v>
                </c:pt>
                <c:pt idx="53">
                  <c:v>21</c:v>
                </c:pt>
                <c:pt idx="54">
                  <c:v>14</c:v>
                </c:pt>
                <c:pt idx="55">
                  <c:v>18</c:v>
                </c:pt>
                <c:pt idx="56">
                  <c:v>10</c:v>
                </c:pt>
                <c:pt idx="57">
                  <c:v>19</c:v>
                </c:pt>
                <c:pt idx="58">
                  <c:v>8</c:v>
                </c:pt>
                <c:pt idx="59">
                  <c:v>14</c:v>
                </c:pt>
                <c:pt idx="60">
                  <c:v>19</c:v>
                </c:pt>
                <c:pt idx="61">
                  <c:v>11</c:v>
                </c:pt>
                <c:pt idx="62">
                  <c:v>16</c:v>
                </c:pt>
                <c:pt idx="63">
                  <c:v>20</c:v>
                </c:pt>
                <c:pt idx="64">
                  <c:v>9</c:v>
                </c:pt>
                <c:pt idx="65">
                  <c:v>14</c:v>
                </c:pt>
                <c:pt idx="66">
                  <c:v>18</c:v>
                </c:pt>
                <c:pt idx="67">
                  <c:v>10</c:v>
                </c:pt>
                <c:pt idx="68">
                  <c:v>7</c:v>
                </c:pt>
                <c:pt idx="69">
                  <c:v>15</c:v>
                </c:pt>
                <c:pt idx="70">
                  <c:v>9</c:v>
                </c:pt>
                <c:pt idx="71">
                  <c:v>14</c:v>
                </c:pt>
                <c:pt idx="72">
                  <c:v>18</c:v>
                </c:pt>
                <c:pt idx="73">
                  <c:v>11</c:v>
                </c:pt>
                <c:pt idx="74">
                  <c:v>16</c:v>
                </c:pt>
                <c:pt idx="75">
                  <c:v>19</c:v>
                </c:pt>
                <c:pt idx="76">
                  <c:v>9</c:v>
                </c:pt>
                <c:pt idx="77">
                  <c:v>21</c:v>
                </c:pt>
                <c:pt idx="78">
                  <c:v>14</c:v>
                </c:pt>
                <c:pt idx="79">
                  <c:v>18</c:v>
                </c:pt>
                <c:pt idx="80">
                  <c:v>10</c:v>
                </c:pt>
                <c:pt idx="81">
                  <c:v>19</c:v>
                </c:pt>
                <c:pt idx="82">
                  <c:v>8</c:v>
                </c:pt>
                <c:pt idx="83">
                  <c:v>14</c:v>
                </c:pt>
                <c:pt idx="84">
                  <c:v>19</c:v>
                </c:pt>
                <c:pt idx="85">
                  <c:v>11</c:v>
                </c:pt>
                <c:pt idx="86">
                  <c:v>16</c:v>
                </c:pt>
                <c:pt idx="87">
                  <c:v>20</c:v>
                </c:pt>
                <c:pt idx="88">
                  <c:v>9</c:v>
                </c:pt>
                <c:pt idx="89">
                  <c:v>14</c:v>
                </c:pt>
                <c:pt idx="90">
                  <c:v>18</c:v>
                </c:pt>
                <c:pt idx="91">
                  <c:v>10</c:v>
                </c:pt>
                <c:pt idx="92">
                  <c:v>7</c:v>
                </c:pt>
                <c:pt idx="93">
                  <c:v>15</c:v>
                </c:pt>
                <c:pt idx="94">
                  <c:v>9</c:v>
                </c:pt>
                <c:pt idx="95">
                  <c:v>14</c:v>
                </c:pt>
                <c:pt idx="96">
                  <c:v>18</c:v>
                </c:pt>
                <c:pt idx="97">
                  <c:v>11</c:v>
                </c:pt>
                <c:pt idx="98">
                  <c:v>16</c:v>
                </c:pt>
                <c:pt idx="99">
                  <c:v>19</c:v>
                </c:pt>
                <c:pt idx="100">
                  <c:v>10</c:v>
                </c:pt>
                <c:pt idx="101">
                  <c:v>13</c:v>
                </c:pt>
                <c:pt idx="102">
                  <c:v>17</c:v>
                </c:pt>
                <c:pt idx="103">
                  <c:v>18</c:v>
                </c:pt>
                <c:pt idx="104">
                  <c:v>13</c:v>
                </c:pt>
                <c:pt idx="105">
                  <c:v>16</c:v>
                </c:pt>
                <c:pt idx="106">
                  <c:v>11</c:v>
                </c:pt>
                <c:pt idx="107">
                  <c:v>14</c:v>
                </c:pt>
                <c:pt idx="108">
                  <c:v>12</c:v>
                </c:pt>
                <c:pt idx="109">
                  <c:v>15</c:v>
                </c:pt>
                <c:pt idx="110">
                  <c:v>21</c:v>
                </c:pt>
                <c:pt idx="111">
                  <c:v>14</c:v>
                </c:pt>
                <c:pt idx="112">
                  <c:v>18</c:v>
                </c:pt>
                <c:pt idx="113">
                  <c:v>10</c:v>
                </c:pt>
                <c:pt idx="114">
                  <c:v>19</c:v>
                </c:pt>
                <c:pt idx="115">
                  <c:v>8</c:v>
                </c:pt>
                <c:pt idx="116">
                  <c:v>14</c:v>
                </c:pt>
                <c:pt idx="117">
                  <c:v>19</c:v>
                </c:pt>
                <c:pt idx="118">
                  <c:v>11</c:v>
                </c:pt>
                <c:pt idx="119">
                  <c:v>16</c:v>
                </c:pt>
                <c:pt idx="120">
                  <c:v>18</c:v>
                </c:pt>
                <c:pt idx="121">
                  <c:v>15</c:v>
                </c:pt>
                <c:pt idx="122">
                  <c:v>9</c:v>
                </c:pt>
                <c:pt idx="123">
                  <c:v>14</c:v>
                </c:pt>
                <c:pt idx="124">
                  <c:v>10</c:v>
                </c:pt>
                <c:pt idx="125">
                  <c:v>19</c:v>
                </c:pt>
                <c:pt idx="126">
                  <c:v>8</c:v>
                </c:pt>
                <c:pt idx="127">
                  <c:v>16</c:v>
                </c:pt>
                <c:pt idx="128">
                  <c:v>11</c:v>
                </c:pt>
                <c:pt idx="129">
                  <c:v>14</c:v>
                </c:pt>
                <c:pt idx="130">
                  <c:v>19</c:v>
                </c:pt>
                <c:pt idx="131">
                  <c:v>11</c:v>
                </c:pt>
                <c:pt idx="132">
                  <c:v>16</c:v>
                </c:pt>
                <c:pt idx="133">
                  <c:v>18</c:v>
                </c:pt>
                <c:pt idx="134">
                  <c:v>15</c:v>
                </c:pt>
                <c:pt idx="135">
                  <c:v>9</c:v>
                </c:pt>
                <c:pt idx="136">
                  <c:v>14</c:v>
                </c:pt>
                <c:pt idx="137">
                  <c:v>21</c:v>
                </c:pt>
                <c:pt idx="138">
                  <c:v>13</c:v>
                </c:pt>
                <c:pt idx="139">
                  <c:v>18</c:v>
                </c:pt>
                <c:pt idx="140">
                  <c:v>10</c:v>
                </c:pt>
                <c:pt idx="141">
                  <c:v>19</c:v>
                </c:pt>
                <c:pt idx="142">
                  <c:v>8</c:v>
                </c:pt>
                <c:pt idx="143">
                  <c:v>14</c:v>
                </c:pt>
                <c:pt idx="144">
                  <c:v>19</c:v>
                </c:pt>
                <c:pt idx="145">
                  <c:v>9</c:v>
                </c:pt>
                <c:pt idx="146">
                  <c:v>16</c:v>
                </c:pt>
                <c:pt idx="147">
                  <c:v>18</c:v>
                </c:pt>
                <c:pt idx="148">
                  <c:v>15</c:v>
                </c:pt>
                <c:pt idx="149">
                  <c:v>10</c:v>
                </c:pt>
                <c:pt idx="150">
                  <c:v>11</c:v>
                </c:pt>
                <c:pt idx="151">
                  <c:v>20</c:v>
                </c:pt>
                <c:pt idx="152">
                  <c:v>18</c:v>
                </c:pt>
                <c:pt idx="153">
                  <c:v>11</c:v>
                </c:pt>
                <c:pt idx="154">
                  <c:v>16</c:v>
                </c:pt>
                <c:pt idx="155">
                  <c:v>13</c:v>
                </c:pt>
                <c:pt idx="156">
                  <c:v>14</c:v>
                </c:pt>
                <c:pt idx="157">
                  <c:v>19</c:v>
                </c:pt>
                <c:pt idx="158">
                  <c:v>11</c:v>
                </c:pt>
                <c:pt idx="159">
                  <c:v>16</c:v>
                </c:pt>
                <c:pt idx="160">
                  <c:v>18</c:v>
                </c:pt>
                <c:pt idx="161">
                  <c:v>15</c:v>
                </c:pt>
                <c:pt idx="162">
                  <c:v>9</c:v>
                </c:pt>
                <c:pt idx="163">
                  <c:v>8</c:v>
                </c:pt>
                <c:pt idx="164">
                  <c:v>15</c:v>
                </c:pt>
                <c:pt idx="165">
                  <c:v>21</c:v>
                </c:pt>
                <c:pt idx="166">
                  <c:v>11</c:v>
                </c:pt>
                <c:pt idx="167">
                  <c:v>14</c:v>
                </c:pt>
                <c:pt idx="168">
                  <c:v>16</c:v>
                </c:pt>
                <c:pt idx="169">
                  <c:v>19</c:v>
                </c:pt>
                <c:pt idx="170">
                  <c:v>9</c:v>
                </c:pt>
                <c:pt idx="171">
                  <c:v>18</c:v>
                </c:pt>
                <c:pt idx="172">
                  <c:v>14</c:v>
                </c:pt>
                <c:pt idx="173">
                  <c:v>11</c:v>
                </c:pt>
                <c:pt idx="174">
                  <c:v>16</c:v>
                </c:pt>
                <c:pt idx="175">
                  <c:v>9</c:v>
                </c:pt>
                <c:pt idx="176">
                  <c:v>20</c:v>
                </c:pt>
                <c:pt idx="177">
                  <c:v>15</c:v>
                </c:pt>
                <c:pt idx="178">
                  <c:v>18</c:v>
                </c:pt>
                <c:pt idx="179">
                  <c:v>16</c:v>
                </c:pt>
                <c:pt idx="180">
                  <c:v>12</c:v>
                </c:pt>
                <c:pt idx="181">
                  <c:v>14</c:v>
                </c:pt>
                <c:pt idx="182">
                  <c:v>19</c:v>
                </c:pt>
                <c:pt idx="183">
                  <c:v>9</c:v>
                </c:pt>
                <c:pt idx="184">
                  <c:v>18</c:v>
                </c:pt>
                <c:pt idx="185">
                  <c:v>14</c:v>
                </c:pt>
                <c:pt idx="186">
                  <c:v>11</c:v>
                </c:pt>
                <c:pt idx="187">
                  <c:v>16</c:v>
                </c:pt>
                <c:pt idx="188">
                  <c:v>9</c:v>
                </c:pt>
                <c:pt idx="189">
                  <c:v>20</c:v>
                </c:pt>
                <c:pt idx="190">
                  <c:v>15</c:v>
                </c:pt>
                <c:pt idx="191">
                  <c:v>18</c:v>
                </c:pt>
                <c:pt idx="192">
                  <c:v>16</c:v>
                </c:pt>
                <c:pt idx="193">
                  <c:v>12</c:v>
                </c:pt>
                <c:pt idx="194">
                  <c:v>14</c:v>
                </c:pt>
                <c:pt idx="195">
                  <c:v>19</c:v>
                </c:pt>
                <c:pt idx="196">
                  <c:v>10</c:v>
                </c:pt>
                <c:pt idx="197">
                  <c:v>17</c:v>
                </c:pt>
                <c:pt idx="198">
                  <c:v>9</c:v>
                </c:pt>
                <c:pt idx="199">
                  <c:v>14</c:v>
                </c:pt>
                <c:pt idx="200">
                  <c:v>20</c:v>
                </c:pt>
                <c:pt idx="201">
                  <c:v>15</c:v>
                </c:pt>
                <c:pt idx="202">
                  <c:v>11</c:v>
                </c:pt>
                <c:pt idx="203">
                  <c:v>16</c:v>
                </c:pt>
                <c:pt idx="204">
                  <c:v>13</c:v>
                </c:pt>
                <c:pt idx="205">
                  <c:v>19</c:v>
                </c:pt>
                <c:pt idx="206">
                  <c:v>8</c:v>
                </c:pt>
                <c:pt idx="207">
                  <c:v>16</c:v>
                </c:pt>
                <c:pt idx="208">
                  <c:v>11</c:v>
                </c:pt>
                <c:pt idx="209">
                  <c:v>14</c:v>
                </c:pt>
                <c:pt idx="210">
                  <c:v>19</c:v>
                </c:pt>
                <c:pt idx="211">
                  <c:v>15</c:v>
                </c:pt>
                <c:pt idx="212">
                  <c:v>10</c:v>
                </c:pt>
                <c:pt idx="213">
                  <c:v>16</c:v>
                </c:pt>
                <c:pt idx="214">
                  <c:v>13</c:v>
                </c:pt>
                <c:pt idx="215">
                  <c:v>19</c:v>
                </c:pt>
                <c:pt idx="216">
                  <c:v>8</c:v>
                </c:pt>
                <c:pt idx="217">
                  <c:v>17</c:v>
                </c:pt>
                <c:pt idx="218">
                  <c:v>12</c:v>
                </c:pt>
                <c:pt idx="219">
                  <c:v>15</c:v>
                </c:pt>
                <c:pt idx="220">
                  <c:v>21</c:v>
                </c:pt>
                <c:pt idx="221">
                  <c:v>14</c:v>
                </c:pt>
                <c:pt idx="222">
                  <c:v>11</c:v>
                </c:pt>
                <c:pt idx="223">
                  <c:v>16</c:v>
                </c:pt>
                <c:pt idx="224">
                  <c:v>14</c:v>
                </c:pt>
                <c:pt idx="225">
                  <c:v>18</c:v>
                </c:pt>
                <c:pt idx="226">
                  <c:v>16</c:v>
                </c:pt>
                <c:pt idx="227">
                  <c:v>11</c:v>
                </c:pt>
                <c:pt idx="228">
                  <c:v>14</c:v>
                </c:pt>
                <c:pt idx="229">
                  <c:v>20</c:v>
                </c:pt>
                <c:pt idx="230">
                  <c:v>15</c:v>
                </c:pt>
                <c:pt idx="231">
                  <c:v>10</c:v>
                </c:pt>
                <c:pt idx="232">
                  <c:v>16</c:v>
                </c:pt>
                <c:pt idx="233">
                  <c:v>13</c:v>
                </c:pt>
                <c:pt idx="234">
                  <c:v>19</c:v>
                </c:pt>
                <c:pt idx="235">
                  <c:v>8</c:v>
                </c:pt>
                <c:pt idx="236">
                  <c:v>17</c:v>
                </c:pt>
                <c:pt idx="237">
                  <c:v>12</c:v>
                </c:pt>
                <c:pt idx="238">
                  <c:v>15</c:v>
                </c:pt>
                <c:pt idx="239">
                  <c:v>21</c:v>
                </c:pt>
                <c:pt idx="240">
                  <c:v>14</c:v>
                </c:pt>
                <c:pt idx="241">
                  <c:v>11</c:v>
                </c:pt>
                <c:pt idx="242">
                  <c:v>16</c:v>
                </c:pt>
                <c:pt idx="243">
                  <c:v>14</c:v>
                </c:pt>
                <c:pt idx="244">
                  <c:v>19</c:v>
                </c:pt>
                <c:pt idx="245">
                  <c:v>9</c:v>
                </c:pt>
                <c:pt idx="246">
                  <c:v>15</c:v>
                </c:pt>
                <c:pt idx="247">
                  <c:v>17</c:v>
                </c:pt>
                <c:pt idx="248">
                  <c:v>20</c:v>
                </c:pt>
                <c:pt idx="249">
                  <c:v>8</c:v>
                </c:pt>
                <c:pt idx="250">
                  <c:v>12</c:v>
                </c:pt>
                <c:pt idx="251">
                  <c:v>9</c:v>
                </c:pt>
                <c:pt idx="252">
                  <c:v>14</c:v>
                </c:pt>
                <c:pt idx="253">
                  <c:v>10</c:v>
                </c:pt>
                <c:pt idx="254">
                  <c:v>18</c:v>
                </c:pt>
                <c:pt idx="255">
                  <c:v>11</c:v>
                </c:pt>
                <c:pt idx="256">
                  <c:v>16</c:v>
                </c:pt>
                <c:pt idx="257">
                  <c:v>7</c:v>
                </c:pt>
                <c:pt idx="258">
                  <c:v>13</c:v>
                </c:pt>
                <c:pt idx="259">
                  <c:v>22</c:v>
                </c:pt>
                <c:pt idx="260">
                  <c:v>14</c:v>
                </c:pt>
                <c:pt idx="261">
                  <c:v>10</c:v>
                </c:pt>
                <c:pt idx="262">
                  <c:v>19</c:v>
                </c:pt>
                <c:pt idx="263">
                  <c:v>16</c:v>
                </c:pt>
                <c:pt idx="264">
                  <c:v>12</c:v>
                </c:pt>
                <c:pt idx="265">
                  <c:v>8</c:v>
                </c:pt>
                <c:pt idx="266">
                  <c:v>6</c:v>
                </c:pt>
                <c:pt idx="267">
                  <c:v>17</c:v>
                </c:pt>
                <c:pt idx="268">
                  <c:v>14</c:v>
                </c:pt>
                <c:pt idx="269">
                  <c:v>9</c:v>
                </c:pt>
                <c:pt idx="270">
                  <c:v>21</c:v>
                </c:pt>
                <c:pt idx="271">
                  <c:v>10</c:v>
                </c:pt>
                <c:pt idx="272">
                  <c:v>18</c:v>
                </c:pt>
                <c:pt idx="273">
                  <c:v>13</c:v>
                </c:pt>
                <c:pt idx="274">
                  <c:v>7</c:v>
                </c:pt>
                <c:pt idx="275">
                  <c:v>15</c:v>
                </c:pt>
                <c:pt idx="276">
                  <c:v>20</c:v>
                </c:pt>
                <c:pt idx="277">
                  <c:v>11</c:v>
                </c:pt>
                <c:pt idx="278">
                  <c:v>12</c:v>
                </c:pt>
                <c:pt idx="279">
                  <c:v>8</c:v>
                </c:pt>
                <c:pt idx="280">
                  <c:v>6</c:v>
                </c:pt>
                <c:pt idx="281">
                  <c:v>17</c:v>
                </c:pt>
                <c:pt idx="282">
                  <c:v>14</c:v>
                </c:pt>
                <c:pt idx="283">
                  <c:v>9</c:v>
                </c:pt>
                <c:pt idx="284">
                  <c:v>21</c:v>
                </c:pt>
                <c:pt idx="285">
                  <c:v>10</c:v>
                </c:pt>
                <c:pt idx="286">
                  <c:v>18</c:v>
                </c:pt>
                <c:pt idx="287">
                  <c:v>13</c:v>
                </c:pt>
                <c:pt idx="288">
                  <c:v>7</c:v>
                </c:pt>
                <c:pt idx="289">
                  <c:v>15</c:v>
                </c:pt>
                <c:pt idx="290">
                  <c:v>20</c:v>
                </c:pt>
                <c:pt idx="291">
                  <c:v>11</c:v>
                </c:pt>
                <c:pt idx="292">
                  <c:v>12</c:v>
                </c:pt>
                <c:pt idx="293">
                  <c:v>8</c:v>
                </c:pt>
                <c:pt idx="294">
                  <c:v>6</c:v>
                </c:pt>
                <c:pt idx="295">
                  <c:v>17</c:v>
                </c:pt>
                <c:pt idx="296">
                  <c:v>16</c:v>
                </c:pt>
                <c:pt idx="297">
                  <c:v>14</c:v>
                </c:pt>
                <c:pt idx="298">
                  <c:v>11</c:v>
                </c:pt>
                <c:pt idx="299">
                  <c:v>19</c:v>
                </c:pt>
                <c:pt idx="300">
                  <c:v>2</c:v>
                </c:pt>
                <c:pt idx="301">
                  <c:v>13</c:v>
                </c:pt>
                <c:pt idx="302">
                  <c:v>17</c:v>
                </c:pt>
                <c:pt idx="303">
                  <c:v>10</c:v>
                </c:pt>
                <c:pt idx="304">
                  <c:v>15</c:v>
                </c:pt>
                <c:pt idx="305">
                  <c:v>9</c:v>
                </c:pt>
                <c:pt idx="306">
                  <c:v>22</c:v>
                </c:pt>
                <c:pt idx="307">
                  <c:v>14</c:v>
                </c:pt>
                <c:pt idx="308">
                  <c:v>11</c:v>
                </c:pt>
                <c:pt idx="309">
                  <c:v>3</c:v>
                </c:pt>
                <c:pt idx="310">
                  <c:v>23</c:v>
                </c:pt>
                <c:pt idx="311">
                  <c:v>16</c:v>
                </c:pt>
                <c:pt idx="312">
                  <c:v>8</c:v>
                </c:pt>
                <c:pt idx="313">
                  <c:v>17</c:v>
                </c:pt>
                <c:pt idx="314">
                  <c:v>14</c:v>
                </c:pt>
                <c:pt idx="315">
                  <c:v>12</c:v>
                </c:pt>
                <c:pt idx="316">
                  <c:v>19</c:v>
                </c:pt>
                <c:pt idx="317">
                  <c:v>14</c:v>
                </c:pt>
                <c:pt idx="318">
                  <c:v>21</c:v>
                </c:pt>
                <c:pt idx="319">
                  <c:v>10</c:v>
                </c:pt>
                <c:pt idx="320">
                  <c:v>18</c:v>
                </c:pt>
                <c:pt idx="321">
                  <c:v>16</c:v>
                </c:pt>
                <c:pt idx="322">
                  <c:v>3</c:v>
                </c:pt>
                <c:pt idx="323">
                  <c:v>10</c:v>
                </c:pt>
                <c:pt idx="324">
                  <c:v>15</c:v>
                </c:pt>
                <c:pt idx="325">
                  <c:v>14</c:v>
                </c:pt>
                <c:pt idx="326">
                  <c:v>11</c:v>
                </c:pt>
                <c:pt idx="327">
                  <c:v>12</c:v>
                </c:pt>
                <c:pt idx="328">
                  <c:v>22</c:v>
                </c:pt>
                <c:pt idx="329">
                  <c:v>14</c:v>
                </c:pt>
                <c:pt idx="330">
                  <c:v>11</c:v>
                </c:pt>
                <c:pt idx="331">
                  <c:v>3</c:v>
                </c:pt>
                <c:pt idx="332">
                  <c:v>6</c:v>
                </c:pt>
                <c:pt idx="333">
                  <c:v>10</c:v>
                </c:pt>
                <c:pt idx="334">
                  <c:v>19</c:v>
                </c:pt>
                <c:pt idx="335">
                  <c:v>14</c:v>
                </c:pt>
                <c:pt idx="336">
                  <c:v>21</c:v>
                </c:pt>
                <c:pt idx="337">
                  <c:v>17</c:v>
                </c:pt>
                <c:pt idx="338">
                  <c:v>12</c:v>
                </c:pt>
                <c:pt idx="339">
                  <c:v>8</c:v>
                </c:pt>
                <c:pt idx="340">
                  <c:v>18</c:v>
                </c:pt>
                <c:pt idx="341">
                  <c:v>15</c:v>
                </c:pt>
                <c:pt idx="342">
                  <c:v>16</c:v>
                </c:pt>
                <c:pt idx="343">
                  <c:v>19</c:v>
                </c:pt>
                <c:pt idx="344">
                  <c:v>20</c:v>
                </c:pt>
                <c:pt idx="345">
                  <c:v>7</c:v>
                </c:pt>
                <c:pt idx="346">
                  <c:v>8</c:v>
                </c:pt>
                <c:pt idx="347">
                  <c:v>14</c:v>
                </c:pt>
                <c:pt idx="348">
                  <c:v>12</c:v>
                </c:pt>
                <c:pt idx="349">
                  <c:v>23</c:v>
                </c:pt>
                <c:pt idx="350">
                  <c:v>17</c:v>
                </c:pt>
                <c:pt idx="351">
                  <c:v>15</c:v>
                </c:pt>
                <c:pt idx="352">
                  <c:v>11</c:v>
                </c:pt>
                <c:pt idx="353">
                  <c:v>9</c:v>
                </c:pt>
                <c:pt idx="354">
                  <c:v>14</c:v>
                </c:pt>
                <c:pt idx="355">
                  <c:v>10</c:v>
                </c:pt>
                <c:pt idx="356">
                  <c:v>18</c:v>
                </c:pt>
                <c:pt idx="357">
                  <c:v>21</c:v>
                </c:pt>
                <c:pt idx="358">
                  <c:v>13</c:v>
                </c:pt>
                <c:pt idx="359">
                  <c:v>17</c:v>
                </c:pt>
                <c:pt idx="360">
                  <c:v>19</c:v>
                </c:pt>
                <c:pt idx="361">
                  <c:v>12</c:v>
                </c:pt>
                <c:pt idx="362">
                  <c:v>16</c:v>
                </c:pt>
                <c:pt idx="363">
                  <c:v>7</c:v>
                </c:pt>
                <c:pt idx="364">
                  <c:v>18</c:v>
                </c:pt>
                <c:pt idx="365">
                  <c:v>9</c:v>
                </c:pt>
                <c:pt idx="366">
                  <c:v>14</c:v>
                </c:pt>
                <c:pt idx="367">
                  <c:v>11</c:v>
                </c:pt>
                <c:pt idx="368">
                  <c:v>16</c:v>
                </c:pt>
                <c:pt idx="369">
                  <c:v>10</c:v>
                </c:pt>
                <c:pt idx="370">
                  <c:v>22</c:v>
                </c:pt>
                <c:pt idx="371">
                  <c:v>17</c:v>
                </c:pt>
                <c:pt idx="372">
                  <c:v>15</c:v>
                </c:pt>
                <c:pt idx="373">
                  <c:v>8</c:v>
                </c:pt>
                <c:pt idx="374">
                  <c:v>13</c:v>
                </c:pt>
                <c:pt idx="375">
                  <c:v>20</c:v>
                </c:pt>
                <c:pt idx="376">
                  <c:v>14</c:v>
                </c:pt>
                <c:pt idx="377">
                  <c:v>17</c:v>
                </c:pt>
                <c:pt idx="378">
                  <c:v>12</c:v>
                </c:pt>
                <c:pt idx="379">
                  <c:v>19</c:v>
                </c:pt>
                <c:pt idx="380">
                  <c:v>16</c:v>
                </c:pt>
                <c:pt idx="381">
                  <c:v>10</c:v>
                </c:pt>
                <c:pt idx="382">
                  <c:v>23</c:v>
                </c:pt>
                <c:pt idx="383">
                  <c:v>14</c:v>
                </c:pt>
                <c:pt idx="384">
                  <c:v>11</c:v>
                </c:pt>
                <c:pt idx="385">
                  <c:v>18</c:v>
                </c:pt>
                <c:pt idx="386">
                  <c:v>19</c:v>
                </c:pt>
                <c:pt idx="387">
                  <c:v>20</c:v>
                </c:pt>
                <c:pt idx="388">
                  <c:v>15</c:v>
                </c:pt>
                <c:pt idx="389">
                  <c:v>14</c:v>
                </c:pt>
                <c:pt idx="390">
                  <c:v>22</c:v>
                </c:pt>
                <c:pt idx="391">
                  <c:v>17</c:v>
                </c:pt>
                <c:pt idx="392">
                  <c:v>15</c:v>
                </c:pt>
                <c:pt idx="393">
                  <c:v>8</c:v>
                </c:pt>
                <c:pt idx="394">
                  <c:v>13</c:v>
                </c:pt>
                <c:pt idx="395">
                  <c:v>20</c:v>
                </c:pt>
                <c:pt idx="396">
                  <c:v>14</c:v>
                </c:pt>
                <c:pt idx="397">
                  <c:v>17</c:v>
                </c:pt>
                <c:pt idx="398">
                  <c:v>12</c:v>
                </c:pt>
                <c:pt idx="399">
                  <c:v>19</c:v>
                </c:pt>
                <c:pt idx="400">
                  <c:v>16</c:v>
                </c:pt>
                <c:pt idx="401">
                  <c:v>10</c:v>
                </c:pt>
                <c:pt idx="402">
                  <c:v>23</c:v>
                </c:pt>
                <c:pt idx="403">
                  <c:v>14</c:v>
                </c:pt>
                <c:pt idx="404">
                  <c:v>11</c:v>
                </c:pt>
                <c:pt idx="405">
                  <c:v>18</c:v>
                </c:pt>
                <c:pt idx="406">
                  <c:v>19</c:v>
                </c:pt>
                <c:pt idx="407">
                  <c:v>20</c:v>
                </c:pt>
                <c:pt idx="408">
                  <c:v>15</c:v>
                </c:pt>
                <c:pt idx="409">
                  <c:v>14</c:v>
                </c:pt>
                <c:pt idx="410">
                  <c:v>10</c:v>
                </c:pt>
                <c:pt idx="411">
                  <c:v>17</c:v>
                </c:pt>
                <c:pt idx="412">
                  <c:v>12</c:v>
                </c:pt>
                <c:pt idx="413">
                  <c:v>14</c:v>
                </c:pt>
                <c:pt idx="414">
                  <c:v>19</c:v>
                </c:pt>
                <c:pt idx="415">
                  <c:v>21</c:v>
                </c:pt>
                <c:pt idx="416">
                  <c:v>23</c:v>
                </c:pt>
                <c:pt idx="417">
                  <c:v>8</c:v>
                </c:pt>
                <c:pt idx="418">
                  <c:v>15</c:v>
                </c:pt>
                <c:pt idx="419">
                  <c:v>18</c:v>
                </c:pt>
                <c:pt idx="420">
                  <c:v>21</c:v>
                </c:pt>
                <c:pt idx="421">
                  <c:v>16</c:v>
                </c:pt>
                <c:pt idx="422">
                  <c:v>14</c:v>
                </c:pt>
                <c:pt idx="423">
                  <c:v>22</c:v>
                </c:pt>
                <c:pt idx="424">
                  <c:v>13</c:v>
                </c:pt>
                <c:pt idx="425">
                  <c:v>19</c:v>
                </c:pt>
                <c:pt idx="426">
                  <c:v>17</c:v>
                </c:pt>
                <c:pt idx="427">
                  <c:v>10</c:v>
                </c:pt>
                <c:pt idx="428">
                  <c:v>21</c:v>
                </c:pt>
                <c:pt idx="429">
                  <c:v>14</c:v>
                </c:pt>
                <c:pt idx="430">
                  <c:v>18</c:v>
                </c:pt>
                <c:pt idx="431">
                  <c:v>9</c:v>
                </c:pt>
                <c:pt idx="432">
                  <c:v>22</c:v>
                </c:pt>
                <c:pt idx="433">
                  <c:v>23</c:v>
                </c:pt>
                <c:pt idx="434">
                  <c:v>16</c:v>
                </c:pt>
                <c:pt idx="435">
                  <c:v>13</c:v>
                </c:pt>
                <c:pt idx="436">
                  <c:v>20</c:v>
                </c:pt>
                <c:pt idx="437">
                  <c:v>18</c:v>
                </c:pt>
                <c:pt idx="438">
                  <c:v>14</c:v>
                </c:pt>
                <c:pt idx="439">
                  <c:v>11</c:v>
                </c:pt>
                <c:pt idx="440">
                  <c:v>19</c:v>
                </c:pt>
                <c:pt idx="441">
                  <c:v>11</c:v>
                </c:pt>
                <c:pt idx="442">
                  <c:v>21</c:v>
                </c:pt>
                <c:pt idx="443">
                  <c:v>14</c:v>
                </c:pt>
                <c:pt idx="444">
                  <c:v>17</c:v>
                </c:pt>
                <c:pt idx="445">
                  <c:v>22</c:v>
                </c:pt>
                <c:pt idx="446">
                  <c:v>19</c:v>
                </c:pt>
                <c:pt idx="447">
                  <c:v>14</c:v>
                </c:pt>
                <c:pt idx="448">
                  <c:v>10</c:v>
                </c:pt>
                <c:pt idx="449">
                  <c:v>15</c:v>
                </c:pt>
                <c:pt idx="450">
                  <c:v>20</c:v>
                </c:pt>
                <c:pt idx="451">
                  <c:v>14</c:v>
                </c:pt>
                <c:pt idx="452">
                  <c:v>22</c:v>
                </c:pt>
                <c:pt idx="453">
                  <c:v>18</c:v>
                </c:pt>
                <c:pt idx="454">
                  <c:v>13</c:v>
                </c:pt>
                <c:pt idx="455">
                  <c:v>21</c:v>
                </c:pt>
                <c:pt idx="456">
                  <c:v>16</c:v>
                </c:pt>
                <c:pt idx="457">
                  <c:v>11</c:v>
                </c:pt>
                <c:pt idx="458">
                  <c:v>19</c:v>
                </c:pt>
                <c:pt idx="459">
                  <c:v>14</c:v>
                </c:pt>
                <c:pt idx="460">
                  <c:v>22</c:v>
                </c:pt>
                <c:pt idx="461">
                  <c:v>21</c:v>
                </c:pt>
                <c:pt idx="462">
                  <c:v>14</c:v>
                </c:pt>
                <c:pt idx="463">
                  <c:v>17</c:v>
                </c:pt>
                <c:pt idx="464">
                  <c:v>19</c:v>
                </c:pt>
                <c:pt idx="465">
                  <c:v>12</c:v>
                </c:pt>
                <c:pt idx="466">
                  <c:v>16</c:v>
                </c:pt>
                <c:pt idx="467">
                  <c:v>21</c:v>
                </c:pt>
                <c:pt idx="468">
                  <c:v>13</c:v>
                </c:pt>
                <c:pt idx="469">
                  <c:v>22</c:v>
                </c:pt>
                <c:pt idx="470">
                  <c:v>15</c:v>
                </c:pt>
                <c:pt idx="471">
                  <c:v>18</c:v>
                </c:pt>
                <c:pt idx="472">
                  <c:v>12</c:v>
                </c:pt>
                <c:pt idx="473">
                  <c:v>14</c:v>
                </c:pt>
                <c:pt idx="474">
                  <c:v>21</c:v>
                </c:pt>
                <c:pt idx="475">
                  <c:v>17</c:v>
                </c:pt>
                <c:pt idx="476">
                  <c:v>19</c:v>
                </c:pt>
                <c:pt idx="477">
                  <c:v>14</c:v>
                </c:pt>
                <c:pt idx="478">
                  <c:v>12</c:v>
                </c:pt>
                <c:pt idx="479">
                  <c:v>16</c:v>
                </c:pt>
                <c:pt idx="480">
                  <c:v>20</c:v>
                </c:pt>
                <c:pt idx="481">
                  <c:v>17</c:v>
                </c:pt>
                <c:pt idx="482">
                  <c:v>14</c:v>
                </c:pt>
                <c:pt idx="483">
                  <c:v>19</c:v>
                </c:pt>
                <c:pt idx="484">
                  <c:v>12</c:v>
                </c:pt>
                <c:pt idx="485">
                  <c:v>21</c:v>
                </c:pt>
                <c:pt idx="486">
                  <c:v>16</c:v>
                </c:pt>
                <c:pt idx="487">
                  <c:v>22</c:v>
                </c:pt>
                <c:pt idx="488">
                  <c:v>19</c:v>
                </c:pt>
                <c:pt idx="489">
                  <c:v>15</c:v>
                </c:pt>
                <c:pt idx="490">
                  <c:v>17</c:v>
                </c:pt>
                <c:pt idx="491">
                  <c:v>15</c:v>
                </c:pt>
                <c:pt idx="492">
                  <c:v>14</c:v>
                </c:pt>
                <c:pt idx="493">
                  <c:v>18</c:v>
                </c:pt>
                <c:pt idx="494">
                  <c:v>21</c:v>
                </c:pt>
                <c:pt idx="495">
                  <c:v>16</c:v>
                </c:pt>
                <c:pt idx="496">
                  <c:v>19</c:v>
                </c:pt>
                <c:pt idx="497">
                  <c:v>13</c:v>
                </c:pt>
                <c:pt idx="498">
                  <c:v>16</c:v>
                </c:pt>
                <c:pt idx="499">
                  <c:v>22</c:v>
                </c:pt>
                <c:pt idx="500">
                  <c:v>21</c:v>
                </c:pt>
                <c:pt idx="501">
                  <c:v>17</c:v>
                </c:pt>
                <c:pt idx="502">
                  <c:v>14</c:v>
                </c:pt>
                <c:pt idx="503">
                  <c:v>16</c:v>
                </c:pt>
                <c:pt idx="504">
                  <c:v>19</c:v>
                </c:pt>
                <c:pt idx="505">
                  <c:v>5</c:v>
                </c:pt>
                <c:pt idx="506">
                  <c:v>13</c:v>
                </c:pt>
                <c:pt idx="507">
                  <c:v>14</c:v>
                </c:pt>
                <c:pt idx="508">
                  <c:v>16</c:v>
                </c:pt>
                <c:pt idx="509">
                  <c:v>18</c:v>
                </c:pt>
                <c:pt idx="510">
                  <c:v>20</c:v>
                </c:pt>
                <c:pt idx="511">
                  <c:v>21</c:v>
                </c:pt>
                <c:pt idx="512">
                  <c:v>19</c:v>
                </c:pt>
                <c:pt idx="513">
                  <c:v>22</c:v>
                </c:pt>
                <c:pt idx="514">
                  <c:v>19</c:v>
                </c:pt>
                <c:pt idx="515">
                  <c:v>20</c:v>
                </c:pt>
                <c:pt idx="516">
                  <c:v>21</c:v>
                </c:pt>
                <c:pt idx="517">
                  <c:v>18</c:v>
                </c:pt>
                <c:pt idx="518">
                  <c:v>22</c:v>
                </c:pt>
                <c:pt idx="519">
                  <c:v>19</c:v>
                </c:pt>
                <c:pt idx="520">
                  <c:v>20</c:v>
                </c:pt>
                <c:pt idx="521">
                  <c:v>21</c:v>
                </c:pt>
                <c:pt idx="522">
                  <c:v>19</c:v>
                </c:pt>
                <c:pt idx="523">
                  <c:v>22</c:v>
                </c:pt>
                <c:pt idx="524">
                  <c:v>20</c:v>
                </c:pt>
                <c:pt idx="525">
                  <c:v>21</c:v>
                </c:pt>
                <c:pt idx="526">
                  <c:v>19</c:v>
                </c:pt>
                <c:pt idx="527">
                  <c:v>22</c:v>
                </c:pt>
                <c:pt idx="528">
                  <c:v>20</c:v>
                </c:pt>
                <c:pt idx="529">
                  <c:v>18</c:v>
                </c:pt>
                <c:pt idx="530">
                  <c:v>20</c:v>
                </c:pt>
                <c:pt idx="531">
                  <c:v>22</c:v>
                </c:pt>
                <c:pt idx="532">
                  <c:v>19</c:v>
                </c:pt>
                <c:pt idx="533">
                  <c:v>21</c:v>
                </c:pt>
                <c:pt idx="534">
                  <c:v>18</c:v>
                </c:pt>
                <c:pt idx="535">
                  <c:v>20</c:v>
                </c:pt>
                <c:pt idx="536">
                  <c:v>17</c:v>
                </c:pt>
                <c:pt idx="537">
                  <c:v>21</c:v>
                </c:pt>
                <c:pt idx="538">
                  <c:v>22</c:v>
                </c:pt>
                <c:pt idx="539">
                  <c:v>19</c:v>
                </c:pt>
                <c:pt idx="540">
                  <c:v>21</c:v>
                </c:pt>
                <c:pt idx="541">
                  <c:v>19</c:v>
                </c:pt>
                <c:pt idx="542">
                  <c:v>22</c:v>
                </c:pt>
                <c:pt idx="543">
                  <c:v>17</c:v>
                </c:pt>
                <c:pt idx="544">
                  <c:v>20</c:v>
                </c:pt>
                <c:pt idx="545">
                  <c:v>21</c:v>
                </c:pt>
                <c:pt idx="546">
                  <c:v>18</c:v>
                </c:pt>
                <c:pt idx="547">
                  <c:v>19</c:v>
                </c:pt>
                <c:pt idx="548">
                  <c:v>22</c:v>
                </c:pt>
                <c:pt idx="549">
                  <c:v>20</c:v>
                </c:pt>
                <c:pt idx="550">
                  <c:v>18</c:v>
                </c:pt>
                <c:pt idx="551">
                  <c:v>21</c:v>
                </c:pt>
                <c:pt idx="552">
                  <c:v>19</c:v>
                </c:pt>
                <c:pt idx="553">
                  <c:v>22</c:v>
                </c:pt>
                <c:pt idx="554">
                  <c:v>20</c:v>
                </c:pt>
                <c:pt idx="555">
                  <c:v>18</c:v>
                </c:pt>
                <c:pt idx="556">
                  <c:v>19</c:v>
                </c:pt>
                <c:pt idx="557">
                  <c:v>20</c:v>
                </c:pt>
                <c:pt idx="558">
                  <c:v>21</c:v>
                </c:pt>
                <c:pt idx="559">
                  <c:v>20</c:v>
                </c:pt>
                <c:pt idx="560">
                  <c:v>19</c:v>
                </c:pt>
                <c:pt idx="561">
                  <c:v>20</c:v>
                </c:pt>
                <c:pt idx="562">
                  <c:v>18</c:v>
                </c:pt>
                <c:pt idx="563">
                  <c:v>21</c:v>
                </c:pt>
                <c:pt idx="564">
                  <c:v>16</c:v>
                </c:pt>
                <c:pt idx="565">
                  <c:v>19</c:v>
                </c:pt>
                <c:pt idx="566">
                  <c:v>17</c:v>
                </c:pt>
                <c:pt idx="567">
                  <c:v>18</c:v>
                </c:pt>
                <c:pt idx="568">
                  <c:v>20</c:v>
                </c:pt>
                <c:pt idx="569">
                  <c:v>21</c:v>
                </c:pt>
                <c:pt idx="570">
                  <c:v>22</c:v>
                </c:pt>
                <c:pt idx="571">
                  <c:v>19</c:v>
                </c:pt>
                <c:pt idx="572">
                  <c:v>17</c:v>
                </c:pt>
                <c:pt idx="573">
                  <c:v>21</c:v>
                </c:pt>
                <c:pt idx="574">
                  <c:v>18</c:v>
                </c:pt>
                <c:pt idx="575">
                  <c:v>20</c:v>
                </c:pt>
                <c:pt idx="576">
                  <c:v>19</c:v>
                </c:pt>
                <c:pt idx="577">
                  <c:v>21</c:v>
                </c:pt>
                <c:pt idx="578">
                  <c:v>18</c:v>
                </c:pt>
                <c:pt idx="579">
                  <c:v>20</c:v>
                </c:pt>
                <c:pt idx="580">
                  <c:v>19</c:v>
                </c:pt>
                <c:pt idx="581">
                  <c:v>21</c:v>
                </c:pt>
                <c:pt idx="582">
                  <c:v>14</c:v>
                </c:pt>
                <c:pt idx="583">
                  <c:v>16</c:v>
                </c:pt>
                <c:pt idx="584">
                  <c:v>13</c:v>
                </c:pt>
                <c:pt idx="585">
                  <c:v>19</c:v>
                </c:pt>
                <c:pt idx="586">
                  <c:v>14</c:v>
                </c:pt>
                <c:pt idx="587">
                  <c:v>21</c:v>
                </c:pt>
                <c:pt idx="588">
                  <c:v>12</c:v>
                </c:pt>
                <c:pt idx="589">
                  <c:v>23</c:v>
                </c:pt>
                <c:pt idx="590">
                  <c:v>20</c:v>
                </c:pt>
                <c:pt idx="591">
                  <c:v>15</c:v>
                </c:pt>
                <c:pt idx="592">
                  <c:v>18</c:v>
                </c:pt>
                <c:pt idx="593">
                  <c:v>14</c:v>
                </c:pt>
                <c:pt idx="594">
                  <c:v>21</c:v>
                </c:pt>
                <c:pt idx="595">
                  <c:v>19</c:v>
                </c:pt>
                <c:pt idx="596">
                  <c:v>10</c:v>
                </c:pt>
                <c:pt idx="597">
                  <c:v>22</c:v>
                </c:pt>
                <c:pt idx="598">
                  <c:v>12</c:v>
                </c:pt>
                <c:pt idx="599">
                  <c:v>16</c:v>
                </c:pt>
                <c:pt idx="600">
                  <c:v>14</c:v>
                </c:pt>
                <c:pt idx="601">
                  <c:v>17</c:v>
                </c:pt>
                <c:pt idx="602">
                  <c:v>15</c:v>
                </c:pt>
                <c:pt idx="603">
                  <c:v>18</c:v>
                </c:pt>
                <c:pt idx="604">
                  <c:v>14</c:v>
                </c:pt>
                <c:pt idx="605">
                  <c:v>19</c:v>
                </c:pt>
                <c:pt idx="606">
                  <c:v>12</c:v>
                </c:pt>
                <c:pt idx="607">
                  <c:v>21</c:v>
                </c:pt>
                <c:pt idx="608">
                  <c:v>15</c:v>
                </c:pt>
                <c:pt idx="609">
                  <c:v>11</c:v>
                </c:pt>
                <c:pt idx="610">
                  <c:v>16</c:v>
                </c:pt>
                <c:pt idx="611">
                  <c:v>14</c:v>
                </c:pt>
                <c:pt idx="612">
                  <c:v>19</c:v>
                </c:pt>
                <c:pt idx="613">
                  <c:v>13</c:v>
                </c:pt>
                <c:pt idx="614">
                  <c:v>18</c:v>
                </c:pt>
                <c:pt idx="615">
                  <c:v>16</c:v>
                </c:pt>
                <c:pt idx="616">
                  <c:v>20</c:v>
                </c:pt>
                <c:pt idx="617">
                  <c:v>14</c:v>
                </c:pt>
                <c:pt idx="618">
                  <c:v>17</c:v>
                </c:pt>
                <c:pt idx="619">
                  <c:v>22</c:v>
                </c:pt>
                <c:pt idx="620">
                  <c:v>16</c:v>
                </c:pt>
                <c:pt idx="621">
                  <c:v>19</c:v>
                </c:pt>
                <c:pt idx="622">
                  <c:v>14</c:v>
                </c:pt>
                <c:pt idx="623">
                  <c:v>18</c:v>
                </c:pt>
                <c:pt idx="624">
                  <c:v>12</c:v>
                </c:pt>
                <c:pt idx="625">
                  <c:v>17</c:v>
                </c:pt>
                <c:pt idx="626">
                  <c:v>20</c:v>
                </c:pt>
                <c:pt idx="627">
                  <c:v>14</c:v>
                </c:pt>
                <c:pt idx="628">
                  <c:v>19</c:v>
                </c:pt>
                <c:pt idx="629">
                  <c:v>16</c:v>
                </c:pt>
                <c:pt idx="630">
                  <c:v>22</c:v>
                </c:pt>
                <c:pt idx="631">
                  <c:v>14</c:v>
                </c:pt>
                <c:pt idx="632">
                  <c:v>18</c:v>
                </c:pt>
                <c:pt idx="633">
                  <c:v>13</c:v>
                </c:pt>
                <c:pt idx="634">
                  <c:v>20</c:v>
                </c:pt>
                <c:pt idx="635">
                  <c:v>16</c:v>
                </c:pt>
                <c:pt idx="636">
                  <c:v>19</c:v>
                </c:pt>
                <c:pt idx="637">
                  <c:v>14</c:v>
                </c:pt>
                <c:pt idx="638">
                  <c:v>22</c:v>
                </c:pt>
                <c:pt idx="639">
                  <c:v>16</c:v>
                </c:pt>
                <c:pt idx="640">
                  <c:v>19</c:v>
                </c:pt>
                <c:pt idx="641">
                  <c:v>17</c:v>
                </c:pt>
                <c:pt idx="642">
                  <c:v>13</c:v>
                </c:pt>
                <c:pt idx="643">
                  <c:v>14</c:v>
                </c:pt>
                <c:pt idx="644">
                  <c:v>12</c:v>
                </c:pt>
                <c:pt idx="645">
                  <c:v>16</c:v>
                </c:pt>
                <c:pt idx="646">
                  <c:v>19</c:v>
                </c:pt>
                <c:pt idx="647">
                  <c:v>14</c:v>
                </c:pt>
                <c:pt idx="648">
                  <c:v>19</c:v>
                </c:pt>
                <c:pt idx="649">
                  <c:v>16</c:v>
                </c:pt>
                <c:pt idx="650">
                  <c:v>22</c:v>
                </c:pt>
                <c:pt idx="651">
                  <c:v>14</c:v>
                </c:pt>
                <c:pt idx="652">
                  <c:v>18</c:v>
                </c:pt>
                <c:pt idx="653">
                  <c:v>13</c:v>
                </c:pt>
                <c:pt idx="654">
                  <c:v>20</c:v>
                </c:pt>
                <c:pt idx="655">
                  <c:v>16</c:v>
                </c:pt>
                <c:pt idx="656">
                  <c:v>19</c:v>
                </c:pt>
                <c:pt idx="657">
                  <c:v>14</c:v>
                </c:pt>
                <c:pt idx="658">
                  <c:v>22</c:v>
                </c:pt>
                <c:pt idx="659">
                  <c:v>16</c:v>
                </c:pt>
                <c:pt idx="660">
                  <c:v>19</c:v>
                </c:pt>
                <c:pt idx="661">
                  <c:v>17</c:v>
                </c:pt>
                <c:pt idx="662">
                  <c:v>15</c:v>
                </c:pt>
                <c:pt idx="663">
                  <c:v>12</c:v>
                </c:pt>
                <c:pt idx="664">
                  <c:v>16</c:v>
                </c:pt>
                <c:pt idx="665">
                  <c:v>18</c:v>
                </c:pt>
                <c:pt idx="666">
                  <c:v>14</c:v>
                </c:pt>
                <c:pt idx="667">
                  <c:v>17</c:v>
                </c:pt>
                <c:pt idx="668">
                  <c:v>20</c:v>
                </c:pt>
                <c:pt idx="669">
                  <c:v>16</c:v>
                </c:pt>
                <c:pt idx="670">
                  <c:v>13</c:v>
                </c:pt>
                <c:pt idx="671">
                  <c:v>17</c:v>
                </c:pt>
                <c:pt idx="672">
                  <c:v>20</c:v>
                </c:pt>
                <c:pt idx="673">
                  <c:v>14</c:v>
                </c:pt>
                <c:pt idx="674">
                  <c:v>18</c:v>
                </c:pt>
                <c:pt idx="675">
                  <c:v>22</c:v>
                </c:pt>
                <c:pt idx="676">
                  <c:v>15</c:v>
                </c:pt>
                <c:pt idx="677">
                  <c:v>12</c:v>
                </c:pt>
                <c:pt idx="678">
                  <c:v>16</c:v>
                </c:pt>
                <c:pt idx="679">
                  <c:v>18</c:v>
                </c:pt>
                <c:pt idx="680">
                  <c:v>14</c:v>
                </c:pt>
                <c:pt idx="681">
                  <c:v>17</c:v>
                </c:pt>
                <c:pt idx="682">
                  <c:v>20</c:v>
                </c:pt>
                <c:pt idx="683">
                  <c:v>15</c:v>
                </c:pt>
                <c:pt idx="684">
                  <c:v>12</c:v>
                </c:pt>
                <c:pt idx="685">
                  <c:v>16</c:v>
                </c:pt>
                <c:pt idx="686">
                  <c:v>18</c:v>
                </c:pt>
                <c:pt idx="687">
                  <c:v>14</c:v>
                </c:pt>
                <c:pt idx="688">
                  <c:v>17</c:v>
                </c:pt>
                <c:pt idx="689">
                  <c:v>20</c:v>
                </c:pt>
                <c:pt idx="690">
                  <c:v>22</c:v>
                </c:pt>
                <c:pt idx="691">
                  <c:v>15</c:v>
                </c:pt>
                <c:pt idx="692">
                  <c:v>12</c:v>
                </c:pt>
                <c:pt idx="693">
                  <c:v>16</c:v>
                </c:pt>
                <c:pt idx="694">
                  <c:v>18</c:v>
                </c:pt>
                <c:pt idx="695">
                  <c:v>14</c:v>
                </c:pt>
                <c:pt idx="696">
                  <c:v>17</c:v>
                </c:pt>
                <c:pt idx="697">
                  <c:v>20</c:v>
                </c:pt>
                <c:pt idx="698">
                  <c:v>14</c:v>
                </c:pt>
                <c:pt idx="699">
                  <c:v>17</c:v>
                </c:pt>
                <c:pt idx="700">
                  <c:v>22</c:v>
                </c:pt>
                <c:pt idx="701">
                  <c:v>15</c:v>
                </c:pt>
                <c:pt idx="702">
                  <c:v>18</c:v>
                </c:pt>
                <c:pt idx="703">
                  <c:v>14</c:v>
                </c:pt>
                <c:pt idx="704">
                  <c:v>16</c:v>
                </c:pt>
                <c:pt idx="705">
                  <c:v>12</c:v>
                </c:pt>
                <c:pt idx="706">
                  <c:v>18</c:v>
                </c:pt>
                <c:pt idx="707">
                  <c:v>14</c:v>
                </c:pt>
                <c:pt idx="708">
                  <c:v>17</c:v>
                </c:pt>
                <c:pt idx="709">
                  <c:v>20</c:v>
                </c:pt>
                <c:pt idx="710">
                  <c:v>15</c:v>
                </c:pt>
                <c:pt idx="711">
                  <c:v>22</c:v>
                </c:pt>
                <c:pt idx="712">
                  <c:v>14</c:v>
                </c:pt>
                <c:pt idx="713">
                  <c:v>16</c:v>
                </c:pt>
                <c:pt idx="714">
                  <c:v>18</c:v>
                </c:pt>
                <c:pt idx="715">
                  <c:v>12</c:v>
                </c:pt>
                <c:pt idx="716">
                  <c:v>17</c:v>
                </c:pt>
                <c:pt idx="717">
                  <c:v>20</c:v>
                </c:pt>
                <c:pt idx="718">
                  <c:v>15</c:v>
                </c:pt>
                <c:pt idx="719">
                  <c:v>12</c:v>
                </c:pt>
                <c:pt idx="720">
                  <c:v>16</c:v>
                </c:pt>
                <c:pt idx="721">
                  <c:v>18</c:v>
                </c:pt>
                <c:pt idx="722">
                  <c:v>14</c:v>
                </c:pt>
                <c:pt idx="723">
                  <c:v>17</c:v>
                </c:pt>
                <c:pt idx="724">
                  <c:v>20</c:v>
                </c:pt>
                <c:pt idx="725">
                  <c:v>16</c:v>
                </c:pt>
                <c:pt idx="726">
                  <c:v>12</c:v>
                </c:pt>
                <c:pt idx="727">
                  <c:v>18</c:v>
                </c:pt>
                <c:pt idx="728">
                  <c:v>14</c:v>
                </c:pt>
                <c:pt idx="729">
                  <c:v>17</c:v>
                </c:pt>
                <c:pt idx="730">
                  <c:v>20</c:v>
                </c:pt>
                <c:pt idx="731">
                  <c:v>15</c:v>
                </c:pt>
              </c:numCache>
            </c:numRef>
          </c:yVal>
          <c:smooth val="0"/>
          <c:extLst>
            <c:ext xmlns:c16="http://schemas.microsoft.com/office/drawing/2014/chart" uri="{C3380CC4-5D6E-409C-BE32-E72D297353CC}">
              <c16:uniqueId val="{00000000-7314-3541-81B7-D9194373F8F9}"/>
            </c:ext>
          </c:extLst>
        </c:ser>
        <c:dLbls>
          <c:showLegendKey val="0"/>
          <c:showVal val="0"/>
          <c:showCatName val="0"/>
          <c:showSerName val="0"/>
          <c:showPercent val="0"/>
          <c:showBubbleSize val="0"/>
        </c:dLbls>
        <c:axId val="1452037135"/>
        <c:axId val="1566917167"/>
      </c:scatterChart>
      <c:valAx>
        <c:axId val="1452037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917167"/>
        <c:crosses val="autoZero"/>
        <c:crossBetween val="midCat"/>
      </c:valAx>
      <c:valAx>
        <c:axId val="156691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371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of the day and sentiment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604111986001749E-2"/>
          <c:y val="0.19486111111111112"/>
          <c:w val="0.9223958880139983"/>
          <c:h val="0.72125801983085447"/>
        </c:manualLayout>
      </c:layout>
      <c:scatterChart>
        <c:scatterStyle val="lineMarker"/>
        <c:varyColors val="0"/>
        <c:ser>
          <c:idx val="0"/>
          <c:order val="0"/>
          <c:tx>
            <c:strRef>
              <c:f>Transformations!$Y$1</c:f>
              <c:strCache>
                <c:ptCount val="1"/>
                <c:pt idx="0">
                  <c:v>NEW HOUR</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Transformations!$D$2:$D$733</c:f>
              <c:numCache>
                <c:formatCode>0</c:formatCode>
                <c:ptCount val="732"/>
                <c:pt idx="0">
                  <c:v>1</c:v>
                </c:pt>
                <c:pt idx="1">
                  <c:v>-1</c:v>
                </c:pt>
                <c:pt idx="2">
                  <c:v>1</c:v>
                </c:pt>
                <c:pt idx="3">
                  <c:v>1</c:v>
                </c:pt>
                <c:pt idx="4">
                  <c:v>0</c:v>
                </c:pt>
                <c:pt idx="5">
                  <c:v>1</c:v>
                </c:pt>
                <c:pt idx="6">
                  <c:v>1</c:v>
                </c:pt>
                <c:pt idx="7">
                  <c:v>1</c:v>
                </c:pt>
                <c:pt idx="8">
                  <c:v>-1</c:v>
                </c:pt>
                <c:pt idx="9">
                  <c:v>0</c:v>
                </c:pt>
                <c:pt idx="10">
                  <c:v>1</c:v>
                </c:pt>
                <c:pt idx="11">
                  <c:v>-1</c:v>
                </c:pt>
                <c:pt idx="12">
                  <c:v>1</c:v>
                </c:pt>
                <c:pt idx="13">
                  <c:v>1</c:v>
                </c:pt>
                <c:pt idx="14">
                  <c:v>0</c:v>
                </c:pt>
                <c:pt idx="15">
                  <c:v>1</c:v>
                </c:pt>
                <c:pt idx="16">
                  <c:v>1</c:v>
                </c:pt>
                <c:pt idx="17">
                  <c:v>1</c:v>
                </c:pt>
                <c:pt idx="18">
                  <c:v>0</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0</c:v>
                </c:pt>
                <c:pt idx="62">
                  <c:v>1</c:v>
                </c:pt>
                <c:pt idx="63">
                  <c:v>1</c:v>
                </c:pt>
                <c:pt idx="64">
                  <c:v>-1</c:v>
                </c:pt>
                <c:pt idx="65">
                  <c:v>0</c:v>
                </c:pt>
                <c:pt idx="66">
                  <c:v>1</c:v>
                </c:pt>
                <c:pt idx="67">
                  <c:v>1</c:v>
                </c:pt>
                <c:pt idx="68">
                  <c:v>0</c:v>
                </c:pt>
                <c:pt idx="69">
                  <c:v>-1</c:v>
                </c:pt>
                <c:pt idx="70">
                  <c:v>1</c:v>
                </c:pt>
                <c:pt idx="71">
                  <c:v>0</c:v>
                </c:pt>
                <c:pt idx="72">
                  <c:v>1</c:v>
                </c:pt>
                <c:pt idx="73">
                  <c:v>1</c:v>
                </c:pt>
                <c:pt idx="74">
                  <c:v>1</c:v>
                </c:pt>
                <c:pt idx="75">
                  <c:v>-1</c:v>
                </c:pt>
                <c:pt idx="76">
                  <c:v>-1</c:v>
                </c:pt>
                <c:pt idx="77">
                  <c:v>-1</c:v>
                </c:pt>
                <c:pt idx="78">
                  <c:v>-1</c:v>
                </c:pt>
                <c:pt idx="79">
                  <c:v>-1</c:v>
                </c:pt>
                <c:pt idx="80">
                  <c:v>1</c:v>
                </c:pt>
                <c:pt idx="81">
                  <c:v>1</c:v>
                </c:pt>
                <c:pt idx="82">
                  <c:v>1</c:v>
                </c:pt>
                <c:pt idx="83">
                  <c:v>1</c:v>
                </c:pt>
                <c:pt idx="84">
                  <c:v>1</c:v>
                </c:pt>
                <c:pt idx="85">
                  <c:v>0</c:v>
                </c:pt>
                <c:pt idx="86">
                  <c:v>1</c:v>
                </c:pt>
                <c:pt idx="87">
                  <c:v>1</c:v>
                </c:pt>
                <c:pt idx="88">
                  <c:v>-1</c:v>
                </c:pt>
                <c:pt idx="89">
                  <c:v>0</c:v>
                </c:pt>
                <c:pt idx="90">
                  <c:v>1</c:v>
                </c:pt>
                <c:pt idx="91">
                  <c:v>1</c:v>
                </c:pt>
                <c:pt idx="92">
                  <c:v>0</c:v>
                </c:pt>
                <c:pt idx="93">
                  <c:v>-1</c:v>
                </c:pt>
                <c:pt idx="94">
                  <c:v>1</c:v>
                </c:pt>
                <c:pt idx="95">
                  <c:v>0</c:v>
                </c:pt>
                <c:pt idx="96">
                  <c:v>1</c:v>
                </c:pt>
                <c:pt idx="97">
                  <c:v>1</c:v>
                </c:pt>
                <c:pt idx="98">
                  <c:v>1</c:v>
                </c:pt>
                <c:pt idx="99">
                  <c:v>-1</c:v>
                </c:pt>
                <c:pt idx="100">
                  <c:v>1</c:v>
                </c:pt>
                <c:pt idx="101">
                  <c:v>1</c:v>
                </c:pt>
                <c:pt idx="102">
                  <c:v>-1</c:v>
                </c:pt>
                <c:pt idx="103">
                  <c:v>1</c:v>
                </c:pt>
                <c:pt idx="104">
                  <c:v>0</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0</c:v>
                </c:pt>
                <c:pt idx="197">
                  <c:v>0</c:v>
                </c:pt>
                <c:pt idx="198">
                  <c:v>0</c:v>
                </c:pt>
                <c:pt idx="199">
                  <c:v>0</c:v>
                </c:pt>
                <c:pt idx="200">
                  <c:v>-1</c:v>
                </c:pt>
                <c:pt idx="201">
                  <c:v>0</c:v>
                </c:pt>
                <c:pt idx="202">
                  <c:v>0</c:v>
                </c:pt>
                <c:pt idx="203">
                  <c:v>1</c:v>
                </c:pt>
                <c:pt idx="204">
                  <c:v>1</c:v>
                </c:pt>
                <c:pt idx="205">
                  <c:v>1</c:v>
                </c:pt>
                <c:pt idx="206">
                  <c:v>0</c:v>
                </c:pt>
                <c:pt idx="207">
                  <c:v>0</c:v>
                </c:pt>
                <c:pt idx="208">
                  <c:v>0</c:v>
                </c:pt>
                <c:pt idx="209">
                  <c:v>0</c:v>
                </c:pt>
                <c:pt idx="210">
                  <c:v>-1</c:v>
                </c:pt>
                <c:pt idx="211">
                  <c:v>0</c:v>
                </c:pt>
                <c:pt idx="212">
                  <c:v>0</c:v>
                </c:pt>
                <c:pt idx="213">
                  <c:v>1</c:v>
                </c:pt>
                <c:pt idx="214">
                  <c:v>1</c:v>
                </c:pt>
                <c:pt idx="215">
                  <c:v>1</c:v>
                </c:pt>
                <c:pt idx="216">
                  <c:v>0</c:v>
                </c:pt>
                <c:pt idx="217">
                  <c:v>0</c:v>
                </c:pt>
                <c:pt idx="218">
                  <c:v>0</c:v>
                </c:pt>
                <c:pt idx="219">
                  <c:v>0</c:v>
                </c:pt>
                <c:pt idx="220">
                  <c:v>-1</c:v>
                </c:pt>
                <c:pt idx="221">
                  <c:v>0</c:v>
                </c:pt>
                <c:pt idx="222">
                  <c:v>0</c:v>
                </c:pt>
                <c:pt idx="223">
                  <c:v>1</c:v>
                </c:pt>
                <c:pt idx="224">
                  <c:v>1</c:v>
                </c:pt>
                <c:pt idx="225">
                  <c:v>1</c:v>
                </c:pt>
                <c:pt idx="226">
                  <c:v>0</c:v>
                </c:pt>
                <c:pt idx="227">
                  <c:v>0</c:v>
                </c:pt>
                <c:pt idx="228">
                  <c:v>0</c:v>
                </c:pt>
                <c:pt idx="229">
                  <c:v>-1</c:v>
                </c:pt>
                <c:pt idx="230">
                  <c:v>0</c:v>
                </c:pt>
                <c:pt idx="231">
                  <c:v>0</c:v>
                </c:pt>
                <c:pt idx="232">
                  <c:v>1</c:v>
                </c:pt>
                <c:pt idx="233">
                  <c:v>1</c:v>
                </c:pt>
                <c:pt idx="234">
                  <c:v>1</c:v>
                </c:pt>
                <c:pt idx="235">
                  <c:v>0</c:v>
                </c:pt>
                <c:pt idx="236">
                  <c:v>0</c:v>
                </c:pt>
                <c:pt idx="237">
                  <c:v>0</c:v>
                </c:pt>
                <c:pt idx="238">
                  <c:v>0</c:v>
                </c:pt>
                <c:pt idx="239">
                  <c:v>-1</c:v>
                </c:pt>
                <c:pt idx="240">
                  <c:v>0</c:v>
                </c:pt>
                <c:pt idx="241">
                  <c:v>0</c:v>
                </c:pt>
                <c:pt idx="242">
                  <c:v>1</c:v>
                </c:pt>
                <c:pt idx="243">
                  <c:v>1</c:v>
                </c:pt>
                <c:pt idx="244">
                  <c:v>1</c:v>
                </c:pt>
                <c:pt idx="245">
                  <c:v>0</c:v>
                </c:pt>
                <c:pt idx="246">
                  <c:v>0</c:v>
                </c:pt>
                <c:pt idx="247">
                  <c:v>1</c:v>
                </c:pt>
                <c:pt idx="248">
                  <c:v>1</c:v>
                </c:pt>
                <c:pt idx="249">
                  <c:v>1</c:v>
                </c:pt>
                <c:pt idx="250">
                  <c:v>0</c:v>
                </c:pt>
                <c:pt idx="251">
                  <c:v>1</c:v>
                </c:pt>
                <c:pt idx="252">
                  <c:v>0</c:v>
                </c:pt>
                <c:pt idx="253">
                  <c:v>1</c:v>
                </c:pt>
                <c:pt idx="254">
                  <c:v>1</c:v>
                </c:pt>
                <c:pt idx="255">
                  <c:v>1</c:v>
                </c:pt>
                <c:pt idx="256">
                  <c:v>1</c:v>
                </c:pt>
                <c:pt idx="257">
                  <c:v>1</c:v>
                </c:pt>
                <c:pt idx="258">
                  <c:v>1</c:v>
                </c:pt>
                <c:pt idx="259">
                  <c:v>1</c:v>
                </c:pt>
                <c:pt idx="260">
                  <c:v>0</c:v>
                </c:pt>
                <c:pt idx="261">
                  <c:v>0</c:v>
                </c:pt>
                <c:pt idx="262">
                  <c:v>1</c:v>
                </c:pt>
                <c:pt idx="263">
                  <c:v>1</c:v>
                </c:pt>
                <c:pt idx="264">
                  <c:v>1</c:v>
                </c:pt>
                <c:pt idx="265">
                  <c:v>0</c:v>
                </c:pt>
                <c:pt idx="266">
                  <c:v>1</c:v>
                </c:pt>
                <c:pt idx="267">
                  <c:v>1</c:v>
                </c:pt>
                <c:pt idx="268">
                  <c:v>1</c:v>
                </c:pt>
                <c:pt idx="269">
                  <c:v>1</c:v>
                </c:pt>
                <c:pt idx="270">
                  <c:v>0</c:v>
                </c:pt>
                <c:pt idx="271">
                  <c:v>1</c:v>
                </c:pt>
                <c:pt idx="272">
                  <c:v>1</c:v>
                </c:pt>
                <c:pt idx="273">
                  <c:v>1</c:v>
                </c:pt>
                <c:pt idx="274">
                  <c:v>1</c:v>
                </c:pt>
                <c:pt idx="275">
                  <c:v>1</c:v>
                </c:pt>
                <c:pt idx="276">
                  <c:v>1</c:v>
                </c:pt>
                <c:pt idx="277">
                  <c:v>1</c:v>
                </c:pt>
                <c:pt idx="278">
                  <c:v>1</c:v>
                </c:pt>
                <c:pt idx="279">
                  <c:v>0</c:v>
                </c:pt>
                <c:pt idx="280">
                  <c:v>1</c:v>
                </c:pt>
                <c:pt idx="281">
                  <c:v>1</c:v>
                </c:pt>
                <c:pt idx="282">
                  <c:v>1</c:v>
                </c:pt>
                <c:pt idx="283">
                  <c:v>1</c:v>
                </c:pt>
                <c:pt idx="284">
                  <c:v>0</c:v>
                </c:pt>
                <c:pt idx="285">
                  <c:v>1</c:v>
                </c:pt>
                <c:pt idx="286">
                  <c:v>1</c:v>
                </c:pt>
                <c:pt idx="287">
                  <c:v>1</c:v>
                </c:pt>
                <c:pt idx="288">
                  <c:v>1</c:v>
                </c:pt>
                <c:pt idx="289">
                  <c:v>1</c:v>
                </c:pt>
                <c:pt idx="290">
                  <c:v>1</c:v>
                </c:pt>
                <c:pt idx="291">
                  <c:v>1</c:v>
                </c:pt>
                <c:pt idx="292">
                  <c:v>1</c:v>
                </c:pt>
                <c:pt idx="293">
                  <c:v>0</c:v>
                </c:pt>
                <c:pt idx="294">
                  <c:v>1</c:v>
                </c:pt>
                <c:pt idx="295">
                  <c:v>1</c:v>
                </c:pt>
                <c:pt idx="296">
                  <c:v>-1</c:v>
                </c:pt>
                <c:pt idx="297">
                  <c:v>-1</c:v>
                </c:pt>
                <c:pt idx="298">
                  <c:v>-1</c:v>
                </c:pt>
                <c:pt idx="299">
                  <c:v>-1</c:v>
                </c:pt>
                <c:pt idx="300">
                  <c:v>-1</c:v>
                </c:pt>
                <c:pt idx="301">
                  <c:v>-1</c:v>
                </c:pt>
                <c:pt idx="302">
                  <c:v>-1</c:v>
                </c:pt>
                <c:pt idx="303">
                  <c:v>-1</c:v>
                </c:pt>
                <c:pt idx="304">
                  <c:v>-1</c:v>
                </c:pt>
                <c:pt idx="305">
                  <c:v>-1</c:v>
                </c:pt>
                <c:pt idx="306">
                  <c:v>0</c:v>
                </c:pt>
                <c:pt idx="307">
                  <c:v>-1</c:v>
                </c:pt>
                <c:pt idx="308">
                  <c:v>-1</c:v>
                </c:pt>
                <c:pt idx="309">
                  <c:v>-1</c:v>
                </c:pt>
                <c:pt idx="310">
                  <c:v>-1</c:v>
                </c:pt>
                <c:pt idx="311">
                  <c:v>-1</c:v>
                </c:pt>
                <c:pt idx="312">
                  <c:v>-1</c:v>
                </c:pt>
                <c:pt idx="313">
                  <c:v>-1</c:v>
                </c:pt>
                <c:pt idx="314">
                  <c:v>-1</c:v>
                </c:pt>
                <c:pt idx="315">
                  <c:v>-1</c:v>
                </c:pt>
                <c:pt idx="316">
                  <c:v>0</c:v>
                </c:pt>
                <c:pt idx="317">
                  <c:v>-1</c:v>
                </c:pt>
                <c:pt idx="318">
                  <c:v>-1</c:v>
                </c:pt>
                <c:pt idx="319">
                  <c:v>-1</c:v>
                </c:pt>
                <c:pt idx="320">
                  <c:v>-1</c:v>
                </c:pt>
                <c:pt idx="321">
                  <c:v>-1</c:v>
                </c:pt>
                <c:pt idx="322">
                  <c:v>-1</c:v>
                </c:pt>
                <c:pt idx="323">
                  <c:v>-1</c:v>
                </c:pt>
                <c:pt idx="324">
                  <c:v>-1</c:v>
                </c:pt>
                <c:pt idx="325">
                  <c:v>-1</c:v>
                </c:pt>
                <c:pt idx="326">
                  <c:v>-1</c:v>
                </c:pt>
                <c:pt idx="327">
                  <c:v>-1</c:v>
                </c:pt>
                <c:pt idx="328">
                  <c:v>0</c:v>
                </c:pt>
                <c:pt idx="329">
                  <c:v>-1</c:v>
                </c:pt>
                <c:pt idx="330">
                  <c:v>-1</c:v>
                </c:pt>
                <c:pt idx="331">
                  <c:v>-1</c:v>
                </c:pt>
                <c:pt idx="332">
                  <c:v>1</c:v>
                </c:pt>
                <c:pt idx="333">
                  <c:v>1</c:v>
                </c:pt>
                <c:pt idx="334">
                  <c:v>0</c:v>
                </c:pt>
                <c:pt idx="335">
                  <c:v>1</c:v>
                </c:pt>
                <c:pt idx="336">
                  <c:v>1</c:v>
                </c:pt>
                <c:pt idx="337">
                  <c:v>-1</c:v>
                </c:pt>
                <c:pt idx="338">
                  <c:v>1</c:v>
                </c:pt>
                <c:pt idx="339">
                  <c:v>1</c:v>
                </c:pt>
                <c:pt idx="340">
                  <c:v>-1</c:v>
                </c:pt>
                <c:pt idx="341">
                  <c:v>0</c:v>
                </c:pt>
                <c:pt idx="342">
                  <c:v>0</c:v>
                </c:pt>
                <c:pt idx="343">
                  <c:v>1</c:v>
                </c:pt>
                <c:pt idx="344">
                  <c:v>1</c:v>
                </c:pt>
                <c:pt idx="345">
                  <c:v>1</c:v>
                </c:pt>
                <c:pt idx="346">
                  <c:v>1</c:v>
                </c:pt>
                <c:pt idx="347">
                  <c:v>1</c:v>
                </c:pt>
                <c:pt idx="348">
                  <c:v>1</c:v>
                </c:pt>
                <c:pt idx="349">
                  <c:v>0</c:v>
                </c:pt>
                <c:pt idx="350">
                  <c:v>1</c:v>
                </c:pt>
                <c:pt idx="351">
                  <c:v>1</c:v>
                </c:pt>
                <c:pt idx="352">
                  <c:v>1</c:v>
                </c:pt>
                <c:pt idx="353">
                  <c:v>1</c:v>
                </c:pt>
                <c:pt idx="354">
                  <c:v>1</c:v>
                </c:pt>
                <c:pt idx="355">
                  <c:v>0</c:v>
                </c:pt>
                <c:pt idx="356">
                  <c:v>0</c:v>
                </c:pt>
                <c:pt idx="357">
                  <c:v>0</c:v>
                </c:pt>
                <c:pt idx="358">
                  <c:v>1</c:v>
                </c:pt>
                <c:pt idx="359">
                  <c:v>1</c:v>
                </c:pt>
                <c:pt idx="360">
                  <c:v>1</c:v>
                </c:pt>
                <c:pt idx="361">
                  <c:v>1</c:v>
                </c:pt>
                <c:pt idx="362">
                  <c:v>0</c:v>
                </c:pt>
                <c:pt idx="363">
                  <c:v>1</c:v>
                </c:pt>
                <c:pt idx="364">
                  <c:v>1</c:v>
                </c:pt>
                <c:pt idx="365">
                  <c:v>1</c:v>
                </c:pt>
                <c:pt idx="366">
                  <c:v>1</c:v>
                </c:pt>
                <c:pt idx="367">
                  <c:v>1</c:v>
                </c:pt>
                <c:pt idx="368">
                  <c:v>1</c:v>
                </c:pt>
                <c:pt idx="369">
                  <c:v>0</c:v>
                </c:pt>
                <c:pt idx="370">
                  <c:v>1</c:v>
                </c:pt>
                <c:pt idx="371">
                  <c:v>1</c:v>
                </c:pt>
                <c:pt idx="372">
                  <c:v>1</c:v>
                </c:pt>
                <c:pt idx="373">
                  <c:v>1</c:v>
                </c:pt>
                <c:pt idx="374">
                  <c:v>0</c:v>
                </c:pt>
                <c:pt idx="375">
                  <c:v>1</c:v>
                </c:pt>
                <c:pt idx="376">
                  <c:v>1</c:v>
                </c:pt>
                <c:pt idx="377">
                  <c:v>0</c:v>
                </c:pt>
                <c:pt idx="378">
                  <c:v>1</c:v>
                </c:pt>
                <c:pt idx="379">
                  <c:v>1</c:v>
                </c:pt>
                <c:pt idx="380">
                  <c:v>1</c:v>
                </c:pt>
                <c:pt idx="381">
                  <c:v>1</c:v>
                </c:pt>
                <c:pt idx="382">
                  <c:v>1</c:v>
                </c:pt>
                <c:pt idx="383">
                  <c:v>1</c:v>
                </c:pt>
                <c:pt idx="384">
                  <c:v>1</c:v>
                </c:pt>
                <c:pt idx="385">
                  <c:v>0</c:v>
                </c:pt>
                <c:pt idx="386">
                  <c:v>1</c:v>
                </c:pt>
                <c:pt idx="387">
                  <c:v>1</c:v>
                </c:pt>
                <c:pt idx="388">
                  <c:v>1</c:v>
                </c:pt>
                <c:pt idx="389">
                  <c:v>1</c:v>
                </c:pt>
                <c:pt idx="390">
                  <c:v>1</c:v>
                </c:pt>
                <c:pt idx="391">
                  <c:v>1</c:v>
                </c:pt>
                <c:pt idx="392">
                  <c:v>1</c:v>
                </c:pt>
                <c:pt idx="393">
                  <c:v>0</c:v>
                </c:pt>
                <c:pt idx="394">
                  <c:v>1</c:v>
                </c:pt>
                <c:pt idx="395">
                  <c:v>1</c:v>
                </c:pt>
                <c:pt idx="396">
                  <c:v>1</c:v>
                </c:pt>
                <c:pt idx="397">
                  <c:v>0</c:v>
                </c:pt>
                <c:pt idx="398">
                  <c:v>1</c:v>
                </c:pt>
                <c:pt idx="399">
                  <c:v>1</c:v>
                </c:pt>
                <c:pt idx="400">
                  <c:v>1</c:v>
                </c:pt>
                <c:pt idx="401">
                  <c:v>1</c:v>
                </c:pt>
                <c:pt idx="402">
                  <c:v>1</c:v>
                </c:pt>
                <c:pt idx="403">
                  <c:v>1</c:v>
                </c:pt>
                <c:pt idx="404">
                  <c:v>1</c:v>
                </c:pt>
                <c:pt idx="405">
                  <c:v>0</c:v>
                </c:pt>
                <c:pt idx="406">
                  <c:v>1</c:v>
                </c:pt>
                <c:pt idx="407">
                  <c:v>0</c:v>
                </c:pt>
                <c:pt idx="408">
                  <c:v>1</c:v>
                </c:pt>
                <c:pt idx="409">
                  <c:v>1</c:v>
                </c:pt>
                <c:pt idx="410">
                  <c:v>0</c:v>
                </c:pt>
                <c:pt idx="411">
                  <c:v>1</c:v>
                </c:pt>
                <c:pt idx="412">
                  <c:v>1</c:v>
                </c:pt>
                <c:pt idx="413">
                  <c:v>1</c:v>
                </c:pt>
                <c:pt idx="414">
                  <c:v>1</c:v>
                </c:pt>
                <c:pt idx="415">
                  <c:v>0</c:v>
                </c:pt>
                <c:pt idx="416">
                  <c:v>1</c:v>
                </c:pt>
                <c:pt idx="417">
                  <c:v>1</c:v>
                </c:pt>
                <c:pt idx="418">
                  <c:v>1</c:v>
                </c:pt>
                <c:pt idx="419">
                  <c:v>1</c:v>
                </c:pt>
                <c:pt idx="420">
                  <c:v>-1</c:v>
                </c:pt>
                <c:pt idx="421">
                  <c:v>-1</c:v>
                </c:pt>
                <c:pt idx="422">
                  <c:v>-1</c:v>
                </c:pt>
                <c:pt idx="423">
                  <c:v>-1</c:v>
                </c:pt>
                <c:pt idx="424">
                  <c:v>-1</c:v>
                </c:pt>
                <c:pt idx="425">
                  <c:v>-1</c:v>
                </c:pt>
                <c:pt idx="426">
                  <c:v>0</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0</c:v>
                </c:pt>
                <c:pt idx="460">
                  <c:v>-1</c:v>
                </c:pt>
                <c:pt idx="461">
                  <c:v>0</c:v>
                </c:pt>
                <c:pt idx="462">
                  <c:v>-1</c:v>
                </c:pt>
                <c:pt idx="463">
                  <c:v>-1</c:v>
                </c:pt>
                <c:pt idx="464">
                  <c:v>-1</c:v>
                </c:pt>
                <c:pt idx="465">
                  <c:v>-1</c:v>
                </c:pt>
                <c:pt idx="466">
                  <c:v>-1</c:v>
                </c:pt>
                <c:pt idx="467">
                  <c:v>0</c:v>
                </c:pt>
                <c:pt idx="468">
                  <c:v>-1</c:v>
                </c:pt>
                <c:pt idx="469">
                  <c:v>-1</c:v>
                </c:pt>
                <c:pt idx="470">
                  <c:v>1</c:v>
                </c:pt>
                <c:pt idx="471">
                  <c:v>1</c:v>
                </c:pt>
                <c:pt idx="472">
                  <c:v>1</c:v>
                </c:pt>
                <c:pt idx="473">
                  <c:v>1</c:v>
                </c:pt>
                <c:pt idx="474">
                  <c:v>1</c:v>
                </c:pt>
                <c:pt idx="475">
                  <c:v>1</c:v>
                </c:pt>
                <c:pt idx="476">
                  <c:v>0</c:v>
                </c:pt>
                <c:pt idx="477">
                  <c:v>1</c:v>
                </c:pt>
                <c:pt idx="478">
                  <c:v>1</c:v>
                </c:pt>
                <c:pt idx="479">
                  <c:v>1</c:v>
                </c:pt>
                <c:pt idx="480">
                  <c:v>1</c:v>
                </c:pt>
                <c:pt idx="481">
                  <c:v>1</c:v>
                </c:pt>
                <c:pt idx="482">
                  <c:v>1</c:v>
                </c:pt>
                <c:pt idx="483">
                  <c:v>0</c:v>
                </c:pt>
                <c:pt idx="484">
                  <c:v>0</c:v>
                </c:pt>
                <c:pt idx="485">
                  <c:v>1</c:v>
                </c:pt>
                <c:pt idx="486">
                  <c:v>1</c:v>
                </c:pt>
                <c:pt idx="487">
                  <c:v>1</c:v>
                </c:pt>
                <c:pt idx="488">
                  <c:v>1</c:v>
                </c:pt>
                <c:pt idx="489">
                  <c:v>1</c:v>
                </c:pt>
                <c:pt idx="490">
                  <c:v>0</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0</c:v>
                </c:pt>
                <c:pt idx="511">
                  <c:v>1</c:v>
                </c:pt>
                <c:pt idx="512">
                  <c:v>1</c:v>
                </c:pt>
                <c:pt idx="513">
                  <c:v>0</c:v>
                </c:pt>
                <c:pt idx="514">
                  <c:v>1</c:v>
                </c:pt>
                <c:pt idx="515">
                  <c:v>1</c:v>
                </c:pt>
                <c:pt idx="516">
                  <c:v>1</c:v>
                </c:pt>
                <c:pt idx="517">
                  <c:v>1</c:v>
                </c:pt>
                <c:pt idx="518">
                  <c:v>1</c:v>
                </c:pt>
                <c:pt idx="519">
                  <c:v>1</c:v>
                </c:pt>
                <c:pt idx="520">
                  <c:v>1</c:v>
                </c:pt>
                <c:pt idx="521">
                  <c:v>1</c:v>
                </c:pt>
                <c:pt idx="522">
                  <c:v>0</c:v>
                </c:pt>
                <c:pt idx="523">
                  <c:v>1</c:v>
                </c:pt>
                <c:pt idx="524">
                  <c:v>1</c:v>
                </c:pt>
                <c:pt idx="525">
                  <c:v>1</c:v>
                </c:pt>
                <c:pt idx="526">
                  <c:v>1</c:v>
                </c:pt>
                <c:pt idx="527">
                  <c:v>1</c:v>
                </c:pt>
                <c:pt idx="528">
                  <c:v>1</c:v>
                </c:pt>
                <c:pt idx="529">
                  <c:v>0</c:v>
                </c:pt>
                <c:pt idx="530">
                  <c:v>1</c:v>
                </c:pt>
                <c:pt idx="531">
                  <c:v>0</c:v>
                </c:pt>
                <c:pt idx="532">
                  <c:v>1</c:v>
                </c:pt>
                <c:pt idx="533">
                  <c:v>1</c:v>
                </c:pt>
                <c:pt idx="534">
                  <c:v>0</c:v>
                </c:pt>
                <c:pt idx="535">
                  <c:v>1</c:v>
                </c:pt>
                <c:pt idx="536">
                  <c:v>1</c:v>
                </c:pt>
                <c:pt idx="537">
                  <c:v>0</c:v>
                </c:pt>
                <c:pt idx="538">
                  <c:v>0</c:v>
                </c:pt>
                <c:pt idx="539">
                  <c:v>1</c:v>
                </c:pt>
                <c:pt idx="540">
                  <c:v>1</c:v>
                </c:pt>
                <c:pt idx="541">
                  <c:v>1</c:v>
                </c:pt>
                <c:pt idx="542">
                  <c:v>1</c:v>
                </c:pt>
                <c:pt idx="543">
                  <c:v>0</c:v>
                </c:pt>
                <c:pt idx="544">
                  <c:v>1</c:v>
                </c:pt>
                <c:pt idx="545">
                  <c:v>1</c:v>
                </c:pt>
                <c:pt idx="546">
                  <c:v>1</c:v>
                </c:pt>
                <c:pt idx="547">
                  <c:v>1</c:v>
                </c:pt>
                <c:pt idx="548">
                  <c:v>1</c:v>
                </c:pt>
                <c:pt idx="549">
                  <c:v>1</c:v>
                </c:pt>
                <c:pt idx="550">
                  <c:v>-1</c:v>
                </c:pt>
                <c:pt idx="551">
                  <c:v>-1</c:v>
                </c:pt>
                <c:pt idx="552">
                  <c:v>0</c:v>
                </c:pt>
                <c:pt idx="553">
                  <c:v>-1</c:v>
                </c:pt>
                <c:pt idx="554">
                  <c:v>0</c:v>
                </c:pt>
                <c:pt idx="555">
                  <c:v>-1</c:v>
                </c:pt>
                <c:pt idx="556">
                  <c:v>0</c:v>
                </c:pt>
                <c:pt idx="557">
                  <c:v>-1</c:v>
                </c:pt>
                <c:pt idx="558">
                  <c:v>-1</c:v>
                </c:pt>
                <c:pt idx="559">
                  <c:v>-1</c:v>
                </c:pt>
                <c:pt idx="560">
                  <c:v>1</c:v>
                </c:pt>
                <c:pt idx="561">
                  <c:v>1</c:v>
                </c:pt>
                <c:pt idx="562">
                  <c:v>1</c:v>
                </c:pt>
                <c:pt idx="563">
                  <c:v>1</c:v>
                </c:pt>
                <c:pt idx="564">
                  <c:v>1</c:v>
                </c:pt>
                <c:pt idx="565">
                  <c:v>1</c:v>
                </c:pt>
                <c:pt idx="566">
                  <c:v>1</c:v>
                </c:pt>
                <c:pt idx="567">
                  <c:v>0</c:v>
                </c:pt>
                <c:pt idx="568">
                  <c:v>1</c:v>
                </c:pt>
                <c:pt idx="569">
                  <c:v>1</c:v>
                </c:pt>
                <c:pt idx="570">
                  <c:v>1</c:v>
                </c:pt>
                <c:pt idx="571">
                  <c:v>1</c:v>
                </c:pt>
                <c:pt idx="572">
                  <c:v>1</c:v>
                </c:pt>
                <c:pt idx="573">
                  <c:v>1</c:v>
                </c:pt>
                <c:pt idx="574">
                  <c:v>1</c:v>
                </c:pt>
                <c:pt idx="575">
                  <c:v>1</c:v>
                </c:pt>
                <c:pt idx="576">
                  <c:v>1</c:v>
                </c:pt>
                <c:pt idx="577">
                  <c:v>1</c:v>
                </c:pt>
                <c:pt idx="578">
                  <c:v>1</c:v>
                </c:pt>
                <c:pt idx="579">
                  <c:v>0</c:v>
                </c:pt>
                <c:pt idx="580">
                  <c:v>1</c:v>
                </c:pt>
                <c:pt idx="581">
                  <c:v>-1</c:v>
                </c:pt>
                <c:pt idx="582">
                  <c:v>1</c:v>
                </c:pt>
                <c:pt idx="583">
                  <c:v>-1</c:v>
                </c:pt>
                <c:pt idx="584">
                  <c:v>0</c:v>
                </c:pt>
                <c:pt idx="585">
                  <c:v>0</c:v>
                </c:pt>
                <c:pt idx="586">
                  <c:v>1</c:v>
                </c:pt>
                <c:pt idx="587">
                  <c:v>-1</c:v>
                </c:pt>
                <c:pt idx="588">
                  <c:v>0</c:v>
                </c:pt>
                <c:pt idx="589">
                  <c:v>1</c:v>
                </c:pt>
                <c:pt idx="590">
                  <c:v>1</c:v>
                </c:pt>
                <c:pt idx="591">
                  <c:v>1</c:v>
                </c:pt>
                <c:pt idx="592">
                  <c:v>1</c:v>
                </c:pt>
                <c:pt idx="593">
                  <c:v>-1</c:v>
                </c:pt>
                <c:pt idx="594">
                  <c:v>1</c:v>
                </c:pt>
                <c:pt idx="595">
                  <c:v>1</c:v>
                </c:pt>
                <c:pt idx="596">
                  <c:v>1</c:v>
                </c:pt>
                <c:pt idx="597">
                  <c:v>1</c:v>
                </c:pt>
                <c:pt idx="598">
                  <c:v>1</c:v>
                </c:pt>
                <c:pt idx="599">
                  <c:v>1</c:v>
                </c:pt>
                <c:pt idx="600">
                  <c:v>0</c:v>
                </c:pt>
                <c:pt idx="601">
                  <c:v>0</c:v>
                </c:pt>
                <c:pt idx="602">
                  <c:v>1</c:v>
                </c:pt>
                <c:pt idx="603">
                  <c:v>1</c:v>
                </c:pt>
                <c:pt idx="604">
                  <c:v>0</c:v>
                </c:pt>
                <c:pt idx="605">
                  <c:v>1</c:v>
                </c:pt>
                <c:pt idx="606">
                  <c:v>0</c:v>
                </c:pt>
                <c:pt idx="607">
                  <c:v>1</c:v>
                </c:pt>
                <c:pt idx="608">
                  <c:v>1</c:v>
                </c:pt>
                <c:pt idx="609">
                  <c:v>1</c:v>
                </c:pt>
                <c:pt idx="610">
                  <c:v>1</c:v>
                </c:pt>
                <c:pt idx="611">
                  <c:v>1</c:v>
                </c:pt>
                <c:pt idx="612">
                  <c:v>1</c:v>
                </c:pt>
                <c:pt idx="613">
                  <c:v>1</c:v>
                </c:pt>
                <c:pt idx="614">
                  <c:v>1</c:v>
                </c:pt>
                <c:pt idx="615">
                  <c:v>1</c:v>
                </c:pt>
                <c:pt idx="616">
                  <c:v>1</c:v>
                </c:pt>
                <c:pt idx="617">
                  <c:v>0</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0</c:v>
                </c:pt>
                <c:pt idx="639">
                  <c:v>1</c:v>
                </c:pt>
                <c:pt idx="640">
                  <c:v>1</c:v>
                </c:pt>
                <c:pt idx="641">
                  <c:v>1</c:v>
                </c:pt>
                <c:pt idx="642">
                  <c:v>0</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0</c:v>
                </c:pt>
                <c:pt idx="658">
                  <c:v>1</c:v>
                </c:pt>
                <c:pt idx="659">
                  <c:v>-1</c:v>
                </c:pt>
                <c:pt idx="660">
                  <c:v>-1</c:v>
                </c:pt>
                <c:pt idx="661">
                  <c:v>-1</c:v>
                </c:pt>
                <c:pt idx="662">
                  <c:v>1</c:v>
                </c:pt>
                <c:pt idx="663">
                  <c:v>1</c:v>
                </c:pt>
                <c:pt idx="664">
                  <c:v>0</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numCache>
            </c:numRef>
          </c:xVal>
          <c:yVal>
            <c:numRef>
              <c:f>Transformations!$Y$2:$Y$733</c:f>
              <c:numCache>
                <c:formatCode>General</c:formatCode>
                <c:ptCount val="732"/>
                <c:pt idx="0">
                  <c:v>12</c:v>
                </c:pt>
                <c:pt idx="1">
                  <c:v>8</c:v>
                </c:pt>
                <c:pt idx="2">
                  <c:v>15</c:v>
                </c:pt>
                <c:pt idx="3">
                  <c:v>18</c:v>
                </c:pt>
                <c:pt idx="4">
                  <c:v>19</c:v>
                </c:pt>
                <c:pt idx="5">
                  <c:v>9</c:v>
                </c:pt>
                <c:pt idx="6">
                  <c:v>14</c:v>
                </c:pt>
                <c:pt idx="7">
                  <c:v>19</c:v>
                </c:pt>
                <c:pt idx="8">
                  <c:v>8</c:v>
                </c:pt>
                <c:pt idx="9">
                  <c:v>12</c:v>
                </c:pt>
                <c:pt idx="10">
                  <c:v>15</c:v>
                </c:pt>
                <c:pt idx="11">
                  <c:v>10</c:v>
                </c:pt>
                <c:pt idx="12">
                  <c:v>14</c:v>
                </c:pt>
                <c:pt idx="13">
                  <c:v>18</c:v>
                </c:pt>
                <c:pt idx="14">
                  <c:v>9</c:v>
                </c:pt>
                <c:pt idx="15">
                  <c:v>13</c:v>
                </c:pt>
                <c:pt idx="16">
                  <c:v>17</c:v>
                </c:pt>
                <c:pt idx="17">
                  <c:v>0</c:v>
                </c:pt>
                <c:pt idx="18">
                  <c:v>11</c:v>
                </c:pt>
                <c:pt idx="19">
                  <c:v>15</c:v>
                </c:pt>
                <c:pt idx="20">
                  <c:v>8</c:v>
                </c:pt>
                <c:pt idx="21">
                  <c:v>13</c:v>
                </c:pt>
                <c:pt idx="22">
                  <c:v>16</c:v>
                </c:pt>
                <c:pt idx="23">
                  <c:v>9</c:v>
                </c:pt>
                <c:pt idx="24">
                  <c:v>14</c:v>
                </c:pt>
                <c:pt idx="25">
                  <c:v>12</c:v>
                </c:pt>
                <c:pt idx="26">
                  <c:v>16</c:v>
                </c:pt>
                <c:pt idx="27">
                  <c:v>19</c:v>
                </c:pt>
                <c:pt idx="28">
                  <c:v>11</c:v>
                </c:pt>
                <c:pt idx="29">
                  <c:v>15</c:v>
                </c:pt>
                <c:pt idx="30">
                  <c:v>17</c:v>
                </c:pt>
                <c:pt idx="31">
                  <c:v>18</c:v>
                </c:pt>
                <c:pt idx="32">
                  <c:v>13</c:v>
                </c:pt>
                <c:pt idx="33">
                  <c:v>9</c:v>
                </c:pt>
                <c:pt idx="34">
                  <c:v>14</c:v>
                </c:pt>
                <c:pt idx="35">
                  <c:v>17</c:v>
                </c:pt>
                <c:pt idx="36">
                  <c:v>20</c:v>
                </c:pt>
                <c:pt idx="37">
                  <c:v>12</c:v>
                </c:pt>
                <c:pt idx="38">
                  <c:v>16</c:v>
                </c:pt>
                <c:pt idx="39">
                  <c:v>9</c:v>
                </c:pt>
                <c:pt idx="40">
                  <c:v>14</c:v>
                </c:pt>
                <c:pt idx="41">
                  <c:v>19</c:v>
                </c:pt>
                <c:pt idx="42">
                  <c:v>17</c:v>
                </c:pt>
                <c:pt idx="43">
                  <c:v>20</c:v>
                </c:pt>
                <c:pt idx="44">
                  <c:v>11</c:v>
                </c:pt>
                <c:pt idx="45">
                  <c:v>15</c:v>
                </c:pt>
                <c:pt idx="46">
                  <c:v>18</c:v>
                </c:pt>
                <c:pt idx="47">
                  <c:v>10</c:v>
                </c:pt>
                <c:pt idx="48">
                  <c:v>19</c:v>
                </c:pt>
                <c:pt idx="49">
                  <c:v>16</c:v>
                </c:pt>
                <c:pt idx="50">
                  <c:v>8</c:v>
                </c:pt>
                <c:pt idx="51">
                  <c:v>13</c:v>
                </c:pt>
                <c:pt idx="52">
                  <c:v>9</c:v>
                </c:pt>
                <c:pt idx="53">
                  <c:v>21</c:v>
                </c:pt>
                <c:pt idx="54">
                  <c:v>14</c:v>
                </c:pt>
                <c:pt idx="55">
                  <c:v>18</c:v>
                </c:pt>
                <c:pt idx="56">
                  <c:v>10</c:v>
                </c:pt>
                <c:pt idx="57">
                  <c:v>19</c:v>
                </c:pt>
                <c:pt idx="58">
                  <c:v>8</c:v>
                </c:pt>
                <c:pt idx="59">
                  <c:v>14</c:v>
                </c:pt>
                <c:pt idx="60">
                  <c:v>19</c:v>
                </c:pt>
                <c:pt idx="61">
                  <c:v>11</c:v>
                </c:pt>
                <c:pt idx="62">
                  <c:v>16</c:v>
                </c:pt>
                <c:pt idx="63">
                  <c:v>20</c:v>
                </c:pt>
                <c:pt idx="64">
                  <c:v>9</c:v>
                </c:pt>
                <c:pt idx="65">
                  <c:v>14</c:v>
                </c:pt>
                <c:pt idx="66">
                  <c:v>18</c:v>
                </c:pt>
                <c:pt idx="67">
                  <c:v>10</c:v>
                </c:pt>
                <c:pt idx="68">
                  <c:v>7</c:v>
                </c:pt>
                <c:pt idx="69">
                  <c:v>15</c:v>
                </c:pt>
                <c:pt idx="70">
                  <c:v>9</c:v>
                </c:pt>
                <c:pt idx="71">
                  <c:v>14</c:v>
                </c:pt>
                <c:pt idx="72">
                  <c:v>18</c:v>
                </c:pt>
                <c:pt idx="73">
                  <c:v>11</c:v>
                </c:pt>
                <c:pt idx="74">
                  <c:v>16</c:v>
                </c:pt>
                <c:pt idx="75">
                  <c:v>19</c:v>
                </c:pt>
                <c:pt idx="76">
                  <c:v>9</c:v>
                </c:pt>
                <c:pt idx="77">
                  <c:v>21</c:v>
                </c:pt>
                <c:pt idx="78">
                  <c:v>14</c:v>
                </c:pt>
                <c:pt idx="79">
                  <c:v>18</c:v>
                </c:pt>
                <c:pt idx="80">
                  <c:v>10</c:v>
                </c:pt>
                <c:pt idx="81">
                  <c:v>19</c:v>
                </c:pt>
                <c:pt idx="82">
                  <c:v>8</c:v>
                </c:pt>
                <c:pt idx="83">
                  <c:v>14</c:v>
                </c:pt>
                <c:pt idx="84">
                  <c:v>19</c:v>
                </c:pt>
                <c:pt idx="85">
                  <c:v>11</c:v>
                </c:pt>
                <c:pt idx="86">
                  <c:v>16</c:v>
                </c:pt>
                <c:pt idx="87">
                  <c:v>20</c:v>
                </c:pt>
                <c:pt idx="88">
                  <c:v>9</c:v>
                </c:pt>
                <c:pt idx="89">
                  <c:v>14</c:v>
                </c:pt>
                <c:pt idx="90">
                  <c:v>18</c:v>
                </c:pt>
                <c:pt idx="91">
                  <c:v>10</c:v>
                </c:pt>
                <c:pt idx="92">
                  <c:v>7</c:v>
                </c:pt>
                <c:pt idx="93">
                  <c:v>15</c:v>
                </c:pt>
                <c:pt idx="94">
                  <c:v>9</c:v>
                </c:pt>
                <c:pt idx="95">
                  <c:v>14</c:v>
                </c:pt>
                <c:pt idx="96">
                  <c:v>18</c:v>
                </c:pt>
                <c:pt idx="97">
                  <c:v>11</c:v>
                </c:pt>
                <c:pt idx="98">
                  <c:v>16</c:v>
                </c:pt>
                <c:pt idx="99">
                  <c:v>19</c:v>
                </c:pt>
                <c:pt idx="100">
                  <c:v>10</c:v>
                </c:pt>
                <c:pt idx="101">
                  <c:v>13</c:v>
                </c:pt>
                <c:pt idx="102">
                  <c:v>17</c:v>
                </c:pt>
                <c:pt idx="103">
                  <c:v>18</c:v>
                </c:pt>
                <c:pt idx="104">
                  <c:v>13</c:v>
                </c:pt>
                <c:pt idx="105">
                  <c:v>16</c:v>
                </c:pt>
                <c:pt idx="106">
                  <c:v>11</c:v>
                </c:pt>
                <c:pt idx="107">
                  <c:v>14</c:v>
                </c:pt>
                <c:pt idx="108">
                  <c:v>12</c:v>
                </c:pt>
                <c:pt idx="109">
                  <c:v>15</c:v>
                </c:pt>
                <c:pt idx="110">
                  <c:v>21</c:v>
                </c:pt>
                <c:pt idx="111">
                  <c:v>14</c:v>
                </c:pt>
                <c:pt idx="112">
                  <c:v>18</c:v>
                </c:pt>
                <c:pt idx="113">
                  <c:v>10</c:v>
                </c:pt>
                <c:pt idx="114">
                  <c:v>19</c:v>
                </c:pt>
                <c:pt idx="115">
                  <c:v>8</c:v>
                </c:pt>
                <c:pt idx="116">
                  <c:v>14</c:v>
                </c:pt>
                <c:pt idx="117">
                  <c:v>19</c:v>
                </c:pt>
                <c:pt idx="118">
                  <c:v>11</c:v>
                </c:pt>
                <c:pt idx="119">
                  <c:v>16</c:v>
                </c:pt>
                <c:pt idx="120">
                  <c:v>18</c:v>
                </c:pt>
                <c:pt idx="121">
                  <c:v>15</c:v>
                </c:pt>
                <c:pt idx="122">
                  <c:v>9</c:v>
                </c:pt>
                <c:pt idx="123">
                  <c:v>14</c:v>
                </c:pt>
                <c:pt idx="124">
                  <c:v>10</c:v>
                </c:pt>
                <c:pt idx="125">
                  <c:v>19</c:v>
                </c:pt>
                <c:pt idx="126">
                  <c:v>8</c:v>
                </c:pt>
                <c:pt idx="127">
                  <c:v>16</c:v>
                </c:pt>
                <c:pt idx="128">
                  <c:v>11</c:v>
                </c:pt>
                <c:pt idx="129">
                  <c:v>14</c:v>
                </c:pt>
                <c:pt idx="130">
                  <c:v>19</c:v>
                </c:pt>
                <c:pt idx="131">
                  <c:v>11</c:v>
                </c:pt>
                <c:pt idx="132">
                  <c:v>16</c:v>
                </c:pt>
                <c:pt idx="133">
                  <c:v>18</c:v>
                </c:pt>
                <c:pt idx="134">
                  <c:v>15</c:v>
                </c:pt>
                <c:pt idx="135">
                  <c:v>9</c:v>
                </c:pt>
                <c:pt idx="136">
                  <c:v>14</c:v>
                </c:pt>
                <c:pt idx="137">
                  <c:v>21</c:v>
                </c:pt>
                <c:pt idx="138">
                  <c:v>13</c:v>
                </c:pt>
                <c:pt idx="139">
                  <c:v>18</c:v>
                </c:pt>
                <c:pt idx="140">
                  <c:v>10</c:v>
                </c:pt>
                <c:pt idx="141">
                  <c:v>19</c:v>
                </c:pt>
                <c:pt idx="142">
                  <c:v>8</c:v>
                </c:pt>
                <c:pt idx="143">
                  <c:v>14</c:v>
                </c:pt>
                <c:pt idx="144">
                  <c:v>19</c:v>
                </c:pt>
                <c:pt idx="145">
                  <c:v>9</c:v>
                </c:pt>
                <c:pt idx="146">
                  <c:v>16</c:v>
                </c:pt>
                <c:pt idx="147">
                  <c:v>18</c:v>
                </c:pt>
                <c:pt idx="148">
                  <c:v>15</c:v>
                </c:pt>
                <c:pt idx="149">
                  <c:v>10</c:v>
                </c:pt>
                <c:pt idx="150">
                  <c:v>11</c:v>
                </c:pt>
                <c:pt idx="151">
                  <c:v>20</c:v>
                </c:pt>
                <c:pt idx="152">
                  <c:v>18</c:v>
                </c:pt>
                <c:pt idx="153">
                  <c:v>11</c:v>
                </c:pt>
                <c:pt idx="154">
                  <c:v>16</c:v>
                </c:pt>
                <c:pt idx="155">
                  <c:v>13</c:v>
                </c:pt>
                <c:pt idx="156">
                  <c:v>14</c:v>
                </c:pt>
                <c:pt idx="157">
                  <c:v>19</c:v>
                </c:pt>
                <c:pt idx="158">
                  <c:v>11</c:v>
                </c:pt>
                <c:pt idx="159">
                  <c:v>16</c:v>
                </c:pt>
                <c:pt idx="160">
                  <c:v>18</c:v>
                </c:pt>
                <c:pt idx="161">
                  <c:v>15</c:v>
                </c:pt>
                <c:pt idx="162">
                  <c:v>9</c:v>
                </c:pt>
                <c:pt idx="163">
                  <c:v>8</c:v>
                </c:pt>
                <c:pt idx="164">
                  <c:v>15</c:v>
                </c:pt>
                <c:pt idx="165">
                  <c:v>21</c:v>
                </c:pt>
                <c:pt idx="166">
                  <c:v>11</c:v>
                </c:pt>
                <c:pt idx="167">
                  <c:v>14</c:v>
                </c:pt>
                <c:pt idx="168">
                  <c:v>16</c:v>
                </c:pt>
                <c:pt idx="169">
                  <c:v>19</c:v>
                </c:pt>
                <c:pt idx="170">
                  <c:v>9</c:v>
                </c:pt>
                <c:pt idx="171">
                  <c:v>18</c:v>
                </c:pt>
                <c:pt idx="172">
                  <c:v>14</c:v>
                </c:pt>
                <c:pt idx="173">
                  <c:v>11</c:v>
                </c:pt>
                <c:pt idx="174">
                  <c:v>16</c:v>
                </c:pt>
                <c:pt idx="175">
                  <c:v>9</c:v>
                </c:pt>
                <c:pt idx="176">
                  <c:v>20</c:v>
                </c:pt>
                <c:pt idx="177">
                  <c:v>15</c:v>
                </c:pt>
                <c:pt idx="178">
                  <c:v>18</c:v>
                </c:pt>
                <c:pt idx="179">
                  <c:v>16</c:v>
                </c:pt>
                <c:pt idx="180">
                  <c:v>12</c:v>
                </c:pt>
                <c:pt idx="181">
                  <c:v>14</c:v>
                </c:pt>
                <c:pt idx="182">
                  <c:v>19</c:v>
                </c:pt>
                <c:pt idx="183">
                  <c:v>9</c:v>
                </c:pt>
                <c:pt idx="184">
                  <c:v>18</c:v>
                </c:pt>
                <c:pt idx="185">
                  <c:v>14</c:v>
                </c:pt>
                <c:pt idx="186">
                  <c:v>11</c:v>
                </c:pt>
                <c:pt idx="187">
                  <c:v>16</c:v>
                </c:pt>
                <c:pt idx="188">
                  <c:v>9</c:v>
                </c:pt>
                <c:pt idx="189">
                  <c:v>20</c:v>
                </c:pt>
                <c:pt idx="190">
                  <c:v>15</c:v>
                </c:pt>
                <c:pt idx="191">
                  <c:v>18</c:v>
                </c:pt>
                <c:pt idx="192">
                  <c:v>16</c:v>
                </c:pt>
                <c:pt idx="193">
                  <c:v>12</c:v>
                </c:pt>
                <c:pt idx="194">
                  <c:v>14</c:v>
                </c:pt>
                <c:pt idx="195">
                  <c:v>19</c:v>
                </c:pt>
                <c:pt idx="196">
                  <c:v>10</c:v>
                </c:pt>
                <c:pt idx="197">
                  <c:v>17</c:v>
                </c:pt>
                <c:pt idx="198">
                  <c:v>9</c:v>
                </c:pt>
                <c:pt idx="199">
                  <c:v>14</c:v>
                </c:pt>
                <c:pt idx="200">
                  <c:v>20</c:v>
                </c:pt>
                <c:pt idx="201">
                  <c:v>15</c:v>
                </c:pt>
                <c:pt idx="202">
                  <c:v>11</c:v>
                </c:pt>
                <c:pt idx="203">
                  <c:v>16</c:v>
                </c:pt>
                <c:pt idx="204">
                  <c:v>13</c:v>
                </c:pt>
                <c:pt idx="205">
                  <c:v>19</c:v>
                </c:pt>
                <c:pt idx="206">
                  <c:v>8</c:v>
                </c:pt>
                <c:pt idx="207">
                  <c:v>16</c:v>
                </c:pt>
                <c:pt idx="208">
                  <c:v>11</c:v>
                </c:pt>
                <c:pt idx="209">
                  <c:v>14</c:v>
                </c:pt>
                <c:pt idx="210">
                  <c:v>19</c:v>
                </c:pt>
                <c:pt idx="211">
                  <c:v>15</c:v>
                </c:pt>
                <c:pt idx="212">
                  <c:v>10</c:v>
                </c:pt>
                <c:pt idx="213">
                  <c:v>16</c:v>
                </c:pt>
                <c:pt idx="214">
                  <c:v>13</c:v>
                </c:pt>
                <c:pt idx="215">
                  <c:v>19</c:v>
                </c:pt>
                <c:pt idx="216">
                  <c:v>8</c:v>
                </c:pt>
                <c:pt idx="217">
                  <c:v>17</c:v>
                </c:pt>
                <c:pt idx="218">
                  <c:v>12</c:v>
                </c:pt>
                <c:pt idx="219">
                  <c:v>15</c:v>
                </c:pt>
                <c:pt idx="220">
                  <c:v>21</c:v>
                </c:pt>
                <c:pt idx="221">
                  <c:v>14</c:v>
                </c:pt>
                <c:pt idx="222">
                  <c:v>11</c:v>
                </c:pt>
                <c:pt idx="223">
                  <c:v>16</c:v>
                </c:pt>
                <c:pt idx="224">
                  <c:v>14</c:v>
                </c:pt>
                <c:pt idx="225">
                  <c:v>18</c:v>
                </c:pt>
                <c:pt idx="226">
                  <c:v>16</c:v>
                </c:pt>
                <c:pt idx="227">
                  <c:v>11</c:v>
                </c:pt>
                <c:pt idx="228">
                  <c:v>14</c:v>
                </c:pt>
                <c:pt idx="229">
                  <c:v>20</c:v>
                </c:pt>
                <c:pt idx="230">
                  <c:v>15</c:v>
                </c:pt>
                <c:pt idx="231">
                  <c:v>10</c:v>
                </c:pt>
                <c:pt idx="232">
                  <c:v>16</c:v>
                </c:pt>
                <c:pt idx="233">
                  <c:v>13</c:v>
                </c:pt>
                <c:pt idx="234">
                  <c:v>19</c:v>
                </c:pt>
                <c:pt idx="235">
                  <c:v>8</c:v>
                </c:pt>
                <c:pt idx="236">
                  <c:v>17</c:v>
                </c:pt>
                <c:pt idx="237">
                  <c:v>12</c:v>
                </c:pt>
                <c:pt idx="238">
                  <c:v>15</c:v>
                </c:pt>
                <c:pt idx="239">
                  <c:v>21</c:v>
                </c:pt>
                <c:pt idx="240">
                  <c:v>14</c:v>
                </c:pt>
                <c:pt idx="241">
                  <c:v>11</c:v>
                </c:pt>
                <c:pt idx="242">
                  <c:v>16</c:v>
                </c:pt>
                <c:pt idx="243">
                  <c:v>14</c:v>
                </c:pt>
                <c:pt idx="244">
                  <c:v>19</c:v>
                </c:pt>
                <c:pt idx="245">
                  <c:v>9</c:v>
                </c:pt>
                <c:pt idx="246">
                  <c:v>15</c:v>
                </c:pt>
                <c:pt idx="247">
                  <c:v>17</c:v>
                </c:pt>
                <c:pt idx="248">
                  <c:v>20</c:v>
                </c:pt>
                <c:pt idx="249">
                  <c:v>8</c:v>
                </c:pt>
                <c:pt idx="250">
                  <c:v>12</c:v>
                </c:pt>
                <c:pt idx="251">
                  <c:v>9</c:v>
                </c:pt>
                <c:pt idx="252">
                  <c:v>14</c:v>
                </c:pt>
                <c:pt idx="253">
                  <c:v>10</c:v>
                </c:pt>
                <c:pt idx="254">
                  <c:v>18</c:v>
                </c:pt>
                <c:pt idx="255">
                  <c:v>11</c:v>
                </c:pt>
                <c:pt idx="256">
                  <c:v>16</c:v>
                </c:pt>
                <c:pt idx="257">
                  <c:v>7</c:v>
                </c:pt>
                <c:pt idx="258">
                  <c:v>13</c:v>
                </c:pt>
                <c:pt idx="259">
                  <c:v>22</c:v>
                </c:pt>
                <c:pt idx="260">
                  <c:v>14</c:v>
                </c:pt>
                <c:pt idx="261">
                  <c:v>10</c:v>
                </c:pt>
                <c:pt idx="262">
                  <c:v>19</c:v>
                </c:pt>
                <c:pt idx="263">
                  <c:v>16</c:v>
                </c:pt>
                <c:pt idx="264">
                  <c:v>12</c:v>
                </c:pt>
                <c:pt idx="265">
                  <c:v>8</c:v>
                </c:pt>
                <c:pt idx="266">
                  <c:v>6</c:v>
                </c:pt>
                <c:pt idx="267">
                  <c:v>17</c:v>
                </c:pt>
                <c:pt idx="268">
                  <c:v>14</c:v>
                </c:pt>
                <c:pt idx="269">
                  <c:v>9</c:v>
                </c:pt>
                <c:pt idx="270">
                  <c:v>21</c:v>
                </c:pt>
                <c:pt idx="271">
                  <c:v>10</c:v>
                </c:pt>
                <c:pt idx="272">
                  <c:v>18</c:v>
                </c:pt>
                <c:pt idx="273">
                  <c:v>13</c:v>
                </c:pt>
                <c:pt idx="274">
                  <c:v>7</c:v>
                </c:pt>
                <c:pt idx="275">
                  <c:v>15</c:v>
                </c:pt>
                <c:pt idx="276">
                  <c:v>20</c:v>
                </c:pt>
                <c:pt idx="277">
                  <c:v>11</c:v>
                </c:pt>
                <c:pt idx="278">
                  <c:v>12</c:v>
                </c:pt>
                <c:pt idx="279">
                  <c:v>8</c:v>
                </c:pt>
                <c:pt idx="280">
                  <c:v>6</c:v>
                </c:pt>
                <c:pt idx="281">
                  <c:v>17</c:v>
                </c:pt>
                <c:pt idx="282">
                  <c:v>14</c:v>
                </c:pt>
                <c:pt idx="283">
                  <c:v>9</c:v>
                </c:pt>
                <c:pt idx="284">
                  <c:v>21</c:v>
                </c:pt>
                <c:pt idx="285">
                  <c:v>10</c:v>
                </c:pt>
                <c:pt idx="286">
                  <c:v>18</c:v>
                </c:pt>
                <c:pt idx="287">
                  <c:v>13</c:v>
                </c:pt>
                <c:pt idx="288">
                  <c:v>7</c:v>
                </c:pt>
                <c:pt idx="289">
                  <c:v>15</c:v>
                </c:pt>
                <c:pt idx="290">
                  <c:v>20</c:v>
                </c:pt>
                <c:pt idx="291">
                  <c:v>11</c:v>
                </c:pt>
                <c:pt idx="292">
                  <c:v>12</c:v>
                </c:pt>
                <c:pt idx="293">
                  <c:v>8</c:v>
                </c:pt>
                <c:pt idx="294">
                  <c:v>6</c:v>
                </c:pt>
                <c:pt idx="295">
                  <c:v>17</c:v>
                </c:pt>
                <c:pt idx="296">
                  <c:v>16</c:v>
                </c:pt>
                <c:pt idx="297">
                  <c:v>14</c:v>
                </c:pt>
                <c:pt idx="298">
                  <c:v>11</c:v>
                </c:pt>
                <c:pt idx="299">
                  <c:v>19</c:v>
                </c:pt>
                <c:pt idx="300">
                  <c:v>2</c:v>
                </c:pt>
                <c:pt idx="301">
                  <c:v>13</c:v>
                </c:pt>
                <c:pt idx="302">
                  <c:v>17</c:v>
                </c:pt>
                <c:pt idx="303">
                  <c:v>10</c:v>
                </c:pt>
                <c:pt idx="304">
                  <c:v>15</c:v>
                </c:pt>
                <c:pt idx="305">
                  <c:v>9</c:v>
                </c:pt>
                <c:pt idx="306">
                  <c:v>22</c:v>
                </c:pt>
                <c:pt idx="307">
                  <c:v>14</c:v>
                </c:pt>
                <c:pt idx="308">
                  <c:v>11</c:v>
                </c:pt>
                <c:pt idx="309">
                  <c:v>3</c:v>
                </c:pt>
                <c:pt idx="310">
                  <c:v>23</c:v>
                </c:pt>
                <c:pt idx="311">
                  <c:v>16</c:v>
                </c:pt>
                <c:pt idx="312">
                  <c:v>8</c:v>
                </c:pt>
                <c:pt idx="313">
                  <c:v>17</c:v>
                </c:pt>
                <c:pt idx="314">
                  <c:v>14</c:v>
                </c:pt>
                <c:pt idx="315">
                  <c:v>12</c:v>
                </c:pt>
                <c:pt idx="316">
                  <c:v>19</c:v>
                </c:pt>
                <c:pt idx="317">
                  <c:v>14</c:v>
                </c:pt>
                <c:pt idx="318">
                  <c:v>21</c:v>
                </c:pt>
                <c:pt idx="319">
                  <c:v>10</c:v>
                </c:pt>
                <c:pt idx="320">
                  <c:v>18</c:v>
                </c:pt>
                <c:pt idx="321">
                  <c:v>16</c:v>
                </c:pt>
                <c:pt idx="322">
                  <c:v>3</c:v>
                </c:pt>
                <c:pt idx="323">
                  <c:v>10</c:v>
                </c:pt>
                <c:pt idx="324">
                  <c:v>15</c:v>
                </c:pt>
                <c:pt idx="325">
                  <c:v>14</c:v>
                </c:pt>
                <c:pt idx="326">
                  <c:v>11</c:v>
                </c:pt>
                <c:pt idx="327">
                  <c:v>12</c:v>
                </c:pt>
                <c:pt idx="328">
                  <c:v>22</c:v>
                </c:pt>
                <c:pt idx="329">
                  <c:v>14</c:v>
                </c:pt>
                <c:pt idx="330">
                  <c:v>11</c:v>
                </c:pt>
                <c:pt idx="331">
                  <c:v>3</c:v>
                </c:pt>
                <c:pt idx="332">
                  <c:v>6</c:v>
                </c:pt>
                <c:pt idx="333">
                  <c:v>10</c:v>
                </c:pt>
                <c:pt idx="334">
                  <c:v>19</c:v>
                </c:pt>
                <c:pt idx="335">
                  <c:v>14</c:v>
                </c:pt>
                <c:pt idx="336">
                  <c:v>21</c:v>
                </c:pt>
                <c:pt idx="337">
                  <c:v>17</c:v>
                </c:pt>
                <c:pt idx="338">
                  <c:v>12</c:v>
                </c:pt>
                <c:pt idx="339">
                  <c:v>8</c:v>
                </c:pt>
                <c:pt idx="340">
                  <c:v>18</c:v>
                </c:pt>
                <c:pt idx="341">
                  <c:v>15</c:v>
                </c:pt>
                <c:pt idx="342">
                  <c:v>16</c:v>
                </c:pt>
                <c:pt idx="343">
                  <c:v>19</c:v>
                </c:pt>
                <c:pt idx="344">
                  <c:v>20</c:v>
                </c:pt>
                <c:pt idx="345">
                  <c:v>7</c:v>
                </c:pt>
                <c:pt idx="346">
                  <c:v>8</c:v>
                </c:pt>
                <c:pt idx="347">
                  <c:v>14</c:v>
                </c:pt>
                <c:pt idx="348">
                  <c:v>12</c:v>
                </c:pt>
                <c:pt idx="349">
                  <c:v>23</c:v>
                </c:pt>
                <c:pt idx="350">
                  <c:v>17</c:v>
                </c:pt>
                <c:pt idx="351">
                  <c:v>15</c:v>
                </c:pt>
                <c:pt idx="352">
                  <c:v>11</c:v>
                </c:pt>
                <c:pt idx="353">
                  <c:v>9</c:v>
                </c:pt>
                <c:pt idx="354">
                  <c:v>14</c:v>
                </c:pt>
                <c:pt idx="355">
                  <c:v>10</c:v>
                </c:pt>
                <c:pt idx="356">
                  <c:v>18</c:v>
                </c:pt>
                <c:pt idx="357">
                  <c:v>21</c:v>
                </c:pt>
                <c:pt idx="358">
                  <c:v>13</c:v>
                </c:pt>
                <c:pt idx="359">
                  <c:v>17</c:v>
                </c:pt>
                <c:pt idx="360">
                  <c:v>19</c:v>
                </c:pt>
                <c:pt idx="361">
                  <c:v>12</c:v>
                </c:pt>
                <c:pt idx="362">
                  <c:v>16</c:v>
                </c:pt>
                <c:pt idx="363">
                  <c:v>7</c:v>
                </c:pt>
                <c:pt idx="364">
                  <c:v>18</c:v>
                </c:pt>
                <c:pt idx="365">
                  <c:v>9</c:v>
                </c:pt>
                <c:pt idx="366">
                  <c:v>14</c:v>
                </c:pt>
                <c:pt idx="367">
                  <c:v>11</c:v>
                </c:pt>
                <c:pt idx="368">
                  <c:v>16</c:v>
                </c:pt>
                <c:pt idx="369">
                  <c:v>10</c:v>
                </c:pt>
                <c:pt idx="370">
                  <c:v>22</c:v>
                </c:pt>
                <c:pt idx="371">
                  <c:v>17</c:v>
                </c:pt>
                <c:pt idx="372">
                  <c:v>15</c:v>
                </c:pt>
                <c:pt idx="373">
                  <c:v>8</c:v>
                </c:pt>
                <c:pt idx="374">
                  <c:v>13</c:v>
                </c:pt>
                <c:pt idx="375">
                  <c:v>20</c:v>
                </c:pt>
                <c:pt idx="376">
                  <c:v>14</c:v>
                </c:pt>
                <c:pt idx="377">
                  <c:v>17</c:v>
                </c:pt>
                <c:pt idx="378">
                  <c:v>12</c:v>
                </c:pt>
                <c:pt idx="379">
                  <c:v>19</c:v>
                </c:pt>
                <c:pt idx="380">
                  <c:v>16</c:v>
                </c:pt>
                <c:pt idx="381">
                  <c:v>10</c:v>
                </c:pt>
                <c:pt idx="382">
                  <c:v>23</c:v>
                </c:pt>
                <c:pt idx="383">
                  <c:v>14</c:v>
                </c:pt>
                <c:pt idx="384">
                  <c:v>11</c:v>
                </c:pt>
                <c:pt idx="385">
                  <c:v>18</c:v>
                </c:pt>
                <c:pt idx="386">
                  <c:v>19</c:v>
                </c:pt>
                <c:pt idx="387">
                  <c:v>20</c:v>
                </c:pt>
                <c:pt idx="388">
                  <c:v>15</c:v>
                </c:pt>
                <c:pt idx="389">
                  <c:v>14</c:v>
                </c:pt>
                <c:pt idx="390">
                  <c:v>22</c:v>
                </c:pt>
                <c:pt idx="391">
                  <c:v>17</c:v>
                </c:pt>
                <c:pt idx="392">
                  <c:v>15</c:v>
                </c:pt>
                <c:pt idx="393">
                  <c:v>8</c:v>
                </c:pt>
                <c:pt idx="394">
                  <c:v>13</c:v>
                </c:pt>
                <c:pt idx="395">
                  <c:v>20</c:v>
                </c:pt>
                <c:pt idx="396">
                  <c:v>14</c:v>
                </c:pt>
                <c:pt idx="397">
                  <c:v>17</c:v>
                </c:pt>
                <c:pt idx="398">
                  <c:v>12</c:v>
                </c:pt>
                <c:pt idx="399">
                  <c:v>19</c:v>
                </c:pt>
                <c:pt idx="400">
                  <c:v>16</c:v>
                </c:pt>
                <c:pt idx="401">
                  <c:v>10</c:v>
                </c:pt>
                <c:pt idx="402">
                  <c:v>23</c:v>
                </c:pt>
                <c:pt idx="403">
                  <c:v>14</c:v>
                </c:pt>
                <c:pt idx="404">
                  <c:v>11</c:v>
                </c:pt>
                <c:pt idx="405">
                  <c:v>18</c:v>
                </c:pt>
                <c:pt idx="406">
                  <c:v>19</c:v>
                </c:pt>
                <c:pt idx="407">
                  <c:v>20</c:v>
                </c:pt>
                <c:pt idx="408">
                  <c:v>15</c:v>
                </c:pt>
                <c:pt idx="409">
                  <c:v>14</c:v>
                </c:pt>
                <c:pt idx="410">
                  <c:v>10</c:v>
                </c:pt>
                <c:pt idx="411">
                  <c:v>17</c:v>
                </c:pt>
                <c:pt idx="412">
                  <c:v>12</c:v>
                </c:pt>
                <c:pt idx="413">
                  <c:v>14</c:v>
                </c:pt>
                <c:pt idx="414">
                  <c:v>19</c:v>
                </c:pt>
                <c:pt idx="415">
                  <c:v>21</c:v>
                </c:pt>
                <c:pt idx="416">
                  <c:v>23</c:v>
                </c:pt>
                <c:pt idx="417">
                  <c:v>8</c:v>
                </c:pt>
                <c:pt idx="418">
                  <c:v>15</c:v>
                </c:pt>
                <c:pt idx="419">
                  <c:v>18</c:v>
                </c:pt>
                <c:pt idx="420">
                  <c:v>21</c:v>
                </c:pt>
                <c:pt idx="421">
                  <c:v>16</c:v>
                </c:pt>
                <c:pt idx="422">
                  <c:v>14</c:v>
                </c:pt>
                <c:pt idx="423">
                  <c:v>22</c:v>
                </c:pt>
                <c:pt idx="424">
                  <c:v>13</c:v>
                </c:pt>
                <c:pt idx="425">
                  <c:v>19</c:v>
                </c:pt>
                <c:pt idx="426">
                  <c:v>17</c:v>
                </c:pt>
                <c:pt idx="427">
                  <c:v>10</c:v>
                </c:pt>
                <c:pt idx="428">
                  <c:v>21</c:v>
                </c:pt>
                <c:pt idx="429">
                  <c:v>14</c:v>
                </c:pt>
                <c:pt idx="430">
                  <c:v>18</c:v>
                </c:pt>
                <c:pt idx="431">
                  <c:v>9</c:v>
                </c:pt>
                <c:pt idx="432">
                  <c:v>22</c:v>
                </c:pt>
                <c:pt idx="433">
                  <c:v>23</c:v>
                </c:pt>
                <c:pt idx="434">
                  <c:v>16</c:v>
                </c:pt>
                <c:pt idx="435">
                  <c:v>13</c:v>
                </c:pt>
                <c:pt idx="436">
                  <c:v>20</c:v>
                </c:pt>
                <c:pt idx="437">
                  <c:v>18</c:v>
                </c:pt>
                <c:pt idx="438">
                  <c:v>14</c:v>
                </c:pt>
                <c:pt idx="439">
                  <c:v>11</c:v>
                </c:pt>
                <c:pt idx="440">
                  <c:v>19</c:v>
                </c:pt>
                <c:pt idx="441">
                  <c:v>11</c:v>
                </c:pt>
                <c:pt idx="442">
                  <c:v>21</c:v>
                </c:pt>
                <c:pt idx="443">
                  <c:v>14</c:v>
                </c:pt>
                <c:pt idx="444">
                  <c:v>17</c:v>
                </c:pt>
                <c:pt idx="445">
                  <c:v>22</c:v>
                </c:pt>
                <c:pt idx="446">
                  <c:v>19</c:v>
                </c:pt>
                <c:pt idx="447">
                  <c:v>14</c:v>
                </c:pt>
                <c:pt idx="448">
                  <c:v>10</c:v>
                </c:pt>
                <c:pt idx="449">
                  <c:v>15</c:v>
                </c:pt>
                <c:pt idx="450">
                  <c:v>20</c:v>
                </c:pt>
                <c:pt idx="451">
                  <c:v>14</c:v>
                </c:pt>
                <c:pt idx="452">
                  <c:v>22</c:v>
                </c:pt>
                <c:pt idx="453">
                  <c:v>18</c:v>
                </c:pt>
                <c:pt idx="454">
                  <c:v>13</c:v>
                </c:pt>
                <c:pt idx="455">
                  <c:v>21</c:v>
                </c:pt>
                <c:pt idx="456">
                  <c:v>16</c:v>
                </c:pt>
                <c:pt idx="457">
                  <c:v>11</c:v>
                </c:pt>
                <c:pt idx="458">
                  <c:v>19</c:v>
                </c:pt>
                <c:pt idx="459">
                  <c:v>14</c:v>
                </c:pt>
                <c:pt idx="460">
                  <c:v>22</c:v>
                </c:pt>
                <c:pt idx="461">
                  <c:v>21</c:v>
                </c:pt>
                <c:pt idx="462">
                  <c:v>14</c:v>
                </c:pt>
                <c:pt idx="463">
                  <c:v>17</c:v>
                </c:pt>
                <c:pt idx="464">
                  <c:v>19</c:v>
                </c:pt>
                <c:pt idx="465">
                  <c:v>12</c:v>
                </c:pt>
                <c:pt idx="466">
                  <c:v>16</c:v>
                </c:pt>
                <c:pt idx="467">
                  <c:v>21</c:v>
                </c:pt>
                <c:pt idx="468">
                  <c:v>13</c:v>
                </c:pt>
                <c:pt idx="469">
                  <c:v>22</c:v>
                </c:pt>
                <c:pt idx="470">
                  <c:v>15</c:v>
                </c:pt>
                <c:pt idx="471">
                  <c:v>18</c:v>
                </c:pt>
                <c:pt idx="472">
                  <c:v>12</c:v>
                </c:pt>
                <c:pt idx="473">
                  <c:v>14</c:v>
                </c:pt>
                <c:pt idx="474">
                  <c:v>21</c:v>
                </c:pt>
                <c:pt idx="475">
                  <c:v>17</c:v>
                </c:pt>
                <c:pt idx="476">
                  <c:v>19</c:v>
                </c:pt>
                <c:pt idx="477">
                  <c:v>14</c:v>
                </c:pt>
                <c:pt idx="478">
                  <c:v>12</c:v>
                </c:pt>
                <c:pt idx="479">
                  <c:v>16</c:v>
                </c:pt>
                <c:pt idx="480">
                  <c:v>20</c:v>
                </c:pt>
                <c:pt idx="481">
                  <c:v>17</c:v>
                </c:pt>
                <c:pt idx="482">
                  <c:v>14</c:v>
                </c:pt>
                <c:pt idx="483">
                  <c:v>19</c:v>
                </c:pt>
                <c:pt idx="484">
                  <c:v>12</c:v>
                </c:pt>
                <c:pt idx="485">
                  <c:v>21</c:v>
                </c:pt>
                <c:pt idx="486">
                  <c:v>16</c:v>
                </c:pt>
                <c:pt idx="487">
                  <c:v>22</c:v>
                </c:pt>
                <c:pt idx="488">
                  <c:v>19</c:v>
                </c:pt>
                <c:pt idx="489">
                  <c:v>15</c:v>
                </c:pt>
                <c:pt idx="490">
                  <c:v>17</c:v>
                </c:pt>
                <c:pt idx="491">
                  <c:v>15</c:v>
                </c:pt>
                <c:pt idx="492">
                  <c:v>14</c:v>
                </c:pt>
                <c:pt idx="493">
                  <c:v>18</c:v>
                </c:pt>
                <c:pt idx="494">
                  <c:v>21</c:v>
                </c:pt>
                <c:pt idx="495">
                  <c:v>16</c:v>
                </c:pt>
                <c:pt idx="496">
                  <c:v>19</c:v>
                </c:pt>
                <c:pt idx="497">
                  <c:v>13</c:v>
                </c:pt>
                <c:pt idx="498">
                  <c:v>16</c:v>
                </c:pt>
                <c:pt idx="499">
                  <c:v>22</c:v>
                </c:pt>
                <c:pt idx="500">
                  <c:v>21</c:v>
                </c:pt>
                <c:pt idx="501">
                  <c:v>17</c:v>
                </c:pt>
                <c:pt idx="502">
                  <c:v>14</c:v>
                </c:pt>
                <c:pt idx="503">
                  <c:v>16</c:v>
                </c:pt>
                <c:pt idx="504">
                  <c:v>19</c:v>
                </c:pt>
                <c:pt idx="505">
                  <c:v>5</c:v>
                </c:pt>
                <c:pt idx="506">
                  <c:v>13</c:v>
                </c:pt>
                <c:pt idx="507">
                  <c:v>14</c:v>
                </c:pt>
                <c:pt idx="508">
                  <c:v>16</c:v>
                </c:pt>
                <c:pt idx="509">
                  <c:v>18</c:v>
                </c:pt>
                <c:pt idx="510">
                  <c:v>20</c:v>
                </c:pt>
                <c:pt idx="511">
                  <c:v>21</c:v>
                </c:pt>
                <c:pt idx="512">
                  <c:v>19</c:v>
                </c:pt>
                <c:pt idx="513">
                  <c:v>22</c:v>
                </c:pt>
                <c:pt idx="514">
                  <c:v>19</c:v>
                </c:pt>
                <c:pt idx="515">
                  <c:v>20</c:v>
                </c:pt>
                <c:pt idx="516">
                  <c:v>21</c:v>
                </c:pt>
                <c:pt idx="517">
                  <c:v>18</c:v>
                </c:pt>
                <c:pt idx="518">
                  <c:v>22</c:v>
                </c:pt>
                <c:pt idx="519">
                  <c:v>19</c:v>
                </c:pt>
                <c:pt idx="520">
                  <c:v>20</c:v>
                </c:pt>
                <c:pt idx="521">
                  <c:v>21</c:v>
                </c:pt>
                <c:pt idx="522">
                  <c:v>19</c:v>
                </c:pt>
                <c:pt idx="523">
                  <c:v>22</c:v>
                </c:pt>
                <c:pt idx="524">
                  <c:v>20</c:v>
                </c:pt>
                <c:pt idx="525">
                  <c:v>21</c:v>
                </c:pt>
                <c:pt idx="526">
                  <c:v>19</c:v>
                </c:pt>
                <c:pt idx="527">
                  <c:v>22</c:v>
                </c:pt>
                <c:pt idx="528">
                  <c:v>20</c:v>
                </c:pt>
                <c:pt idx="529">
                  <c:v>18</c:v>
                </c:pt>
                <c:pt idx="530">
                  <c:v>20</c:v>
                </c:pt>
                <c:pt idx="531">
                  <c:v>22</c:v>
                </c:pt>
                <c:pt idx="532">
                  <c:v>19</c:v>
                </c:pt>
                <c:pt idx="533">
                  <c:v>21</c:v>
                </c:pt>
                <c:pt idx="534">
                  <c:v>18</c:v>
                </c:pt>
                <c:pt idx="535">
                  <c:v>20</c:v>
                </c:pt>
                <c:pt idx="536">
                  <c:v>17</c:v>
                </c:pt>
                <c:pt idx="537">
                  <c:v>21</c:v>
                </c:pt>
                <c:pt idx="538">
                  <c:v>22</c:v>
                </c:pt>
                <c:pt idx="539">
                  <c:v>19</c:v>
                </c:pt>
                <c:pt idx="540">
                  <c:v>21</c:v>
                </c:pt>
                <c:pt idx="541">
                  <c:v>19</c:v>
                </c:pt>
                <c:pt idx="542">
                  <c:v>22</c:v>
                </c:pt>
                <c:pt idx="543">
                  <c:v>17</c:v>
                </c:pt>
                <c:pt idx="544">
                  <c:v>20</c:v>
                </c:pt>
                <c:pt idx="545">
                  <c:v>21</c:v>
                </c:pt>
                <c:pt idx="546">
                  <c:v>18</c:v>
                </c:pt>
                <c:pt idx="547">
                  <c:v>19</c:v>
                </c:pt>
                <c:pt idx="548">
                  <c:v>22</c:v>
                </c:pt>
                <c:pt idx="549">
                  <c:v>20</c:v>
                </c:pt>
                <c:pt idx="550">
                  <c:v>18</c:v>
                </c:pt>
                <c:pt idx="551">
                  <c:v>21</c:v>
                </c:pt>
                <c:pt idx="552">
                  <c:v>19</c:v>
                </c:pt>
                <c:pt idx="553">
                  <c:v>22</c:v>
                </c:pt>
                <c:pt idx="554">
                  <c:v>20</c:v>
                </c:pt>
                <c:pt idx="555">
                  <c:v>18</c:v>
                </c:pt>
                <c:pt idx="556">
                  <c:v>19</c:v>
                </c:pt>
                <c:pt idx="557">
                  <c:v>20</c:v>
                </c:pt>
                <c:pt idx="558">
                  <c:v>21</c:v>
                </c:pt>
                <c:pt idx="559">
                  <c:v>20</c:v>
                </c:pt>
                <c:pt idx="560">
                  <c:v>19</c:v>
                </c:pt>
                <c:pt idx="561">
                  <c:v>20</c:v>
                </c:pt>
                <c:pt idx="562">
                  <c:v>18</c:v>
                </c:pt>
                <c:pt idx="563">
                  <c:v>21</c:v>
                </c:pt>
                <c:pt idx="564">
                  <c:v>16</c:v>
                </c:pt>
                <c:pt idx="565">
                  <c:v>19</c:v>
                </c:pt>
                <c:pt idx="566">
                  <c:v>17</c:v>
                </c:pt>
                <c:pt idx="567">
                  <c:v>18</c:v>
                </c:pt>
                <c:pt idx="568">
                  <c:v>20</c:v>
                </c:pt>
                <c:pt idx="569">
                  <c:v>21</c:v>
                </c:pt>
                <c:pt idx="570">
                  <c:v>22</c:v>
                </c:pt>
                <c:pt idx="571">
                  <c:v>19</c:v>
                </c:pt>
                <c:pt idx="572">
                  <c:v>17</c:v>
                </c:pt>
                <c:pt idx="573">
                  <c:v>21</c:v>
                </c:pt>
                <c:pt idx="574">
                  <c:v>18</c:v>
                </c:pt>
                <c:pt idx="575">
                  <c:v>20</c:v>
                </c:pt>
                <c:pt idx="576">
                  <c:v>19</c:v>
                </c:pt>
                <c:pt idx="577">
                  <c:v>21</c:v>
                </c:pt>
                <c:pt idx="578">
                  <c:v>18</c:v>
                </c:pt>
                <c:pt idx="579">
                  <c:v>20</c:v>
                </c:pt>
                <c:pt idx="580">
                  <c:v>19</c:v>
                </c:pt>
                <c:pt idx="581">
                  <c:v>21</c:v>
                </c:pt>
                <c:pt idx="582">
                  <c:v>14</c:v>
                </c:pt>
                <c:pt idx="583">
                  <c:v>16</c:v>
                </c:pt>
                <c:pt idx="584">
                  <c:v>13</c:v>
                </c:pt>
                <c:pt idx="585">
                  <c:v>19</c:v>
                </c:pt>
                <c:pt idx="586">
                  <c:v>14</c:v>
                </c:pt>
                <c:pt idx="587">
                  <c:v>21</c:v>
                </c:pt>
                <c:pt idx="588">
                  <c:v>12</c:v>
                </c:pt>
                <c:pt idx="589">
                  <c:v>23</c:v>
                </c:pt>
                <c:pt idx="590">
                  <c:v>20</c:v>
                </c:pt>
                <c:pt idx="591">
                  <c:v>15</c:v>
                </c:pt>
                <c:pt idx="592">
                  <c:v>18</c:v>
                </c:pt>
                <c:pt idx="593">
                  <c:v>14</c:v>
                </c:pt>
                <c:pt idx="594">
                  <c:v>21</c:v>
                </c:pt>
                <c:pt idx="595">
                  <c:v>19</c:v>
                </c:pt>
                <c:pt idx="596">
                  <c:v>10</c:v>
                </c:pt>
                <c:pt idx="597">
                  <c:v>22</c:v>
                </c:pt>
                <c:pt idx="598">
                  <c:v>12</c:v>
                </c:pt>
                <c:pt idx="599">
                  <c:v>16</c:v>
                </c:pt>
                <c:pt idx="600">
                  <c:v>14</c:v>
                </c:pt>
                <c:pt idx="601">
                  <c:v>17</c:v>
                </c:pt>
                <c:pt idx="602">
                  <c:v>15</c:v>
                </c:pt>
                <c:pt idx="603">
                  <c:v>18</c:v>
                </c:pt>
                <c:pt idx="604">
                  <c:v>14</c:v>
                </c:pt>
                <c:pt idx="605">
                  <c:v>19</c:v>
                </c:pt>
                <c:pt idx="606">
                  <c:v>12</c:v>
                </c:pt>
                <c:pt idx="607">
                  <c:v>21</c:v>
                </c:pt>
                <c:pt idx="608">
                  <c:v>15</c:v>
                </c:pt>
                <c:pt idx="609">
                  <c:v>11</c:v>
                </c:pt>
                <c:pt idx="610">
                  <c:v>16</c:v>
                </c:pt>
                <c:pt idx="611">
                  <c:v>14</c:v>
                </c:pt>
                <c:pt idx="612">
                  <c:v>19</c:v>
                </c:pt>
                <c:pt idx="613">
                  <c:v>13</c:v>
                </c:pt>
                <c:pt idx="614">
                  <c:v>18</c:v>
                </c:pt>
                <c:pt idx="615">
                  <c:v>16</c:v>
                </c:pt>
                <c:pt idx="616">
                  <c:v>20</c:v>
                </c:pt>
                <c:pt idx="617">
                  <c:v>14</c:v>
                </c:pt>
                <c:pt idx="618">
                  <c:v>17</c:v>
                </c:pt>
                <c:pt idx="619">
                  <c:v>22</c:v>
                </c:pt>
                <c:pt idx="620">
                  <c:v>16</c:v>
                </c:pt>
                <c:pt idx="621">
                  <c:v>19</c:v>
                </c:pt>
                <c:pt idx="622">
                  <c:v>14</c:v>
                </c:pt>
                <c:pt idx="623">
                  <c:v>18</c:v>
                </c:pt>
                <c:pt idx="624">
                  <c:v>12</c:v>
                </c:pt>
                <c:pt idx="625">
                  <c:v>17</c:v>
                </c:pt>
                <c:pt idx="626">
                  <c:v>20</c:v>
                </c:pt>
                <c:pt idx="627">
                  <c:v>14</c:v>
                </c:pt>
                <c:pt idx="628">
                  <c:v>19</c:v>
                </c:pt>
                <c:pt idx="629">
                  <c:v>16</c:v>
                </c:pt>
                <c:pt idx="630">
                  <c:v>22</c:v>
                </c:pt>
                <c:pt idx="631">
                  <c:v>14</c:v>
                </c:pt>
                <c:pt idx="632">
                  <c:v>18</c:v>
                </c:pt>
                <c:pt idx="633">
                  <c:v>13</c:v>
                </c:pt>
                <c:pt idx="634">
                  <c:v>20</c:v>
                </c:pt>
                <c:pt idx="635">
                  <c:v>16</c:v>
                </c:pt>
                <c:pt idx="636">
                  <c:v>19</c:v>
                </c:pt>
                <c:pt idx="637">
                  <c:v>14</c:v>
                </c:pt>
                <c:pt idx="638">
                  <c:v>22</c:v>
                </c:pt>
                <c:pt idx="639">
                  <c:v>16</c:v>
                </c:pt>
                <c:pt idx="640">
                  <c:v>19</c:v>
                </c:pt>
                <c:pt idx="641">
                  <c:v>17</c:v>
                </c:pt>
                <c:pt idx="642">
                  <c:v>13</c:v>
                </c:pt>
                <c:pt idx="643">
                  <c:v>14</c:v>
                </c:pt>
                <c:pt idx="644">
                  <c:v>12</c:v>
                </c:pt>
                <c:pt idx="645">
                  <c:v>16</c:v>
                </c:pt>
                <c:pt idx="646">
                  <c:v>19</c:v>
                </c:pt>
                <c:pt idx="647">
                  <c:v>14</c:v>
                </c:pt>
                <c:pt idx="648">
                  <c:v>19</c:v>
                </c:pt>
                <c:pt idx="649">
                  <c:v>16</c:v>
                </c:pt>
                <c:pt idx="650">
                  <c:v>22</c:v>
                </c:pt>
                <c:pt idx="651">
                  <c:v>14</c:v>
                </c:pt>
                <c:pt idx="652">
                  <c:v>18</c:v>
                </c:pt>
                <c:pt idx="653">
                  <c:v>13</c:v>
                </c:pt>
                <c:pt idx="654">
                  <c:v>20</c:v>
                </c:pt>
                <c:pt idx="655">
                  <c:v>16</c:v>
                </c:pt>
                <c:pt idx="656">
                  <c:v>19</c:v>
                </c:pt>
                <c:pt idx="657">
                  <c:v>14</c:v>
                </c:pt>
                <c:pt idx="658">
                  <c:v>22</c:v>
                </c:pt>
                <c:pt idx="659">
                  <c:v>16</c:v>
                </c:pt>
                <c:pt idx="660">
                  <c:v>19</c:v>
                </c:pt>
                <c:pt idx="661">
                  <c:v>17</c:v>
                </c:pt>
                <c:pt idx="662">
                  <c:v>15</c:v>
                </c:pt>
                <c:pt idx="663">
                  <c:v>12</c:v>
                </c:pt>
                <c:pt idx="664">
                  <c:v>16</c:v>
                </c:pt>
                <c:pt idx="665">
                  <c:v>18</c:v>
                </c:pt>
                <c:pt idx="666">
                  <c:v>14</c:v>
                </c:pt>
                <c:pt idx="667">
                  <c:v>17</c:v>
                </c:pt>
                <c:pt idx="668">
                  <c:v>20</c:v>
                </c:pt>
                <c:pt idx="669">
                  <c:v>16</c:v>
                </c:pt>
                <c:pt idx="670">
                  <c:v>13</c:v>
                </c:pt>
                <c:pt idx="671">
                  <c:v>17</c:v>
                </c:pt>
                <c:pt idx="672">
                  <c:v>20</c:v>
                </c:pt>
                <c:pt idx="673">
                  <c:v>14</c:v>
                </c:pt>
                <c:pt idx="674">
                  <c:v>18</c:v>
                </c:pt>
                <c:pt idx="675">
                  <c:v>22</c:v>
                </c:pt>
                <c:pt idx="676">
                  <c:v>15</c:v>
                </c:pt>
                <c:pt idx="677">
                  <c:v>12</c:v>
                </c:pt>
                <c:pt idx="678">
                  <c:v>16</c:v>
                </c:pt>
                <c:pt idx="679">
                  <c:v>18</c:v>
                </c:pt>
                <c:pt idx="680">
                  <c:v>14</c:v>
                </c:pt>
                <c:pt idx="681">
                  <c:v>17</c:v>
                </c:pt>
                <c:pt idx="682">
                  <c:v>20</c:v>
                </c:pt>
                <c:pt idx="683">
                  <c:v>15</c:v>
                </c:pt>
                <c:pt idx="684">
                  <c:v>12</c:v>
                </c:pt>
                <c:pt idx="685">
                  <c:v>16</c:v>
                </c:pt>
                <c:pt idx="686">
                  <c:v>18</c:v>
                </c:pt>
                <c:pt idx="687">
                  <c:v>14</c:v>
                </c:pt>
                <c:pt idx="688">
                  <c:v>17</c:v>
                </c:pt>
                <c:pt idx="689">
                  <c:v>20</c:v>
                </c:pt>
                <c:pt idx="690">
                  <c:v>22</c:v>
                </c:pt>
                <c:pt idx="691">
                  <c:v>15</c:v>
                </c:pt>
                <c:pt idx="692">
                  <c:v>12</c:v>
                </c:pt>
                <c:pt idx="693">
                  <c:v>16</c:v>
                </c:pt>
                <c:pt idx="694">
                  <c:v>18</c:v>
                </c:pt>
                <c:pt idx="695">
                  <c:v>14</c:v>
                </c:pt>
                <c:pt idx="696">
                  <c:v>17</c:v>
                </c:pt>
                <c:pt idx="697">
                  <c:v>20</c:v>
                </c:pt>
                <c:pt idx="698">
                  <c:v>14</c:v>
                </c:pt>
                <c:pt idx="699">
                  <c:v>17</c:v>
                </c:pt>
                <c:pt idx="700">
                  <c:v>22</c:v>
                </c:pt>
                <c:pt idx="701">
                  <c:v>15</c:v>
                </c:pt>
                <c:pt idx="702">
                  <c:v>18</c:v>
                </c:pt>
                <c:pt idx="703">
                  <c:v>14</c:v>
                </c:pt>
                <c:pt idx="704">
                  <c:v>16</c:v>
                </c:pt>
                <c:pt idx="705">
                  <c:v>12</c:v>
                </c:pt>
                <c:pt idx="706">
                  <c:v>18</c:v>
                </c:pt>
                <c:pt idx="707">
                  <c:v>14</c:v>
                </c:pt>
                <c:pt idx="708">
                  <c:v>17</c:v>
                </c:pt>
                <c:pt idx="709">
                  <c:v>20</c:v>
                </c:pt>
                <c:pt idx="710">
                  <c:v>15</c:v>
                </c:pt>
                <c:pt idx="711">
                  <c:v>22</c:v>
                </c:pt>
                <c:pt idx="712">
                  <c:v>14</c:v>
                </c:pt>
                <c:pt idx="713">
                  <c:v>16</c:v>
                </c:pt>
                <c:pt idx="714">
                  <c:v>18</c:v>
                </c:pt>
                <c:pt idx="715">
                  <c:v>12</c:v>
                </c:pt>
                <c:pt idx="716">
                  <c:v>17</c:v>
                </c:pt>
                <c:pt idx="717">
                  <c:v>20</c:v>
                </c:pt>
                <c:pt idx="718">
                  <c:v>15</c:v>
                </c:pt>
                <c:pt idx="719">
                  <c:v>12</c:v>
                </c:pt>
                <c:pt idx="720">
                  <c:v>16</c:v>
                </c:pt>
                <c:pt idx="721">
                  <c:v>18</c:v>
                </c:pt>
                <c:pt idx="722">
                  <c:v>14</c:v>
                </c:pt>
                <c:pt idx="723">
                  <c:v>17</c:v>
                </c:pt>
                <c:pt idx="724">
                  <c:v>20</c:v>
                </c:pt>
                <c:pt idx="725">
                  <c:v>16</c:v>
                </c:pt>
                <c:pt idx="726">
                  <c:v>12</c:v>
                </c:pt>
                <c:pt idx="727">
                  <c:v>18</c:v>
                </c:pt>
                <c:pt idx="728">
                  <c:v>14</c:v>
                </c:pt>
                <c:pt idx="729">
                  <c:v>17</c:v>
                </c:pt>
                <c:pt idx="730">
                  <c:v>20</c:v>
                </c:pt>
                <c:pt idx="731">
                  <c:v>15</c:v>
                </c:pt>
              </c:numCache>
            </c:numRef>
          </c:yVal>
          <c:smooth val="0"/>
          <c:extLst>
            <c:ext xmlns:c16="http://schemas.microsoft.com/office/drawing/2014/chart" uri="{C3380CC4-5D6E-409C-BE32-E72D297353CC}">
              <c16:uniqueId val="{00000000-AE43-1745-81F4-9F9DB891DDEB}"/>
            </c:ext>
          </c:extLst>
        </c:ser>
        <c:dLbls>
          <c:showLegendKey val="0"/>
          <c:showVal val="0"/>
          <c:showCatName val="0"/>
          <c:showSerName val="0"/>
          <c:showPercent val="0"/>
          <c:showBubbleSize val="0"/>
        </c:dLbls>
        <c:axId val="1535318111"/>
        <c:axId val="1535658239"/>
      </c:scatterChart>
      <c:valAx>
        <c:axId val="15353181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658239"/>
        <c:crosses val="autoZero"/>
        <c:crossBetween val="midCat"/>
      </c:valAx>
      <c:valAx>
        <c:axId val="1535658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3181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[SM_Sentiments.xlsx]PivotTables!PivotTable8</c:name>
    <c:fmtId val="1"/>
  </c:pivotSource>
  <c:chart>
    <c:title>
      <c:tx>
        <c:rich>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r>
              <a:rPr lang="en-GB" sz="3600" b="1">
                <a:solidFill>
                  <a:schemeClr val="accent1"/>
                </a:solidFill>
              </a:rPr>
              <a:t>Market</a:t>
            </a:r>
            <a:r>
              <a:rPr lang="en-GB" sz="3600" b="1" baseline="0">
                <a:solidFill>
                  <a:schemeClr val="accent1"/>
                </a:solidFill>
              </a:rPr>
              <a:t> Share per Country  (See notes) </a:t>
            </a:r>
            <a:endParaRPr lang="en-GB" sz="3600" b="1">
              <a:solidFill>
                <a:schemeClr val="accent1"/>
              </a:solidFill>
            </a:endParaRPr>
          </a:p>
        </c:rich>
      </c:tx>
      <c:layout>
        <c:manualLayout>
          <c:xMode val="edge"/>
          <c:yMode val="edge"/>
          <c:x val="5.9002706692913388E-2"/>
          <c:y val="6.4993847972633301E-2"/>
        </c:manualLayout>
      </c:layout>
      <c:overlay val="0"/>
      <c:spPr>
        <a:noFill/>
        <a:ln>
          <a:noFill/>
        </a:ln>
        <a:effectLst/>
      </c:spPr>
      <c:txPr>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503567913385819E-2"/>
          <c:y val="0.15611252536142681"/>
          <c:w val="0.91559366797900266"/>
          <c:h val="0.74547305171814093"/>
        </c:manualLayout>
      </c:layout>
      <c:barChart>
        <c:barDir val="col"/>
        <c:grouping val="percentStacked"/>
        <c:varyColors val="0"/>
        <c:ser>
          <c:idx val="0"/>
          <c:order val="0"/>
          <c:tx>
            <c:strRef>
              <c:f>PivotTables!$AI$19:$AI$20</c:f>
              <c:strCache>
                <c:ptCount val="1"/>
                <c:pt idx="0">
                  <c:v>Facebook</c:v>
                </c:pt>
              </c:strCache>
            </c:strRef>
          </c:tx>
          <c:spPr>
            <a:solidFill>
              <a:schemeClr val="accent1"/>
            </a:solidFill>
            <a:ln>
              <a:noFill/>
            </a:ln>
            <a:effectLst/>
          </c:spPr>
          <c:invertIfNegative val="0"/>
          <c:cat>
            <c:strRef>
              <c:f>PivotTables!$AH$21:$AH$54</c:f>
              <c:strCache>
                <c:ptCount val="33"/>
                <c:pt idx="0">
                  <c:v>USA</c:v>
                </c:pt>
                <c:pt idx="1">
                  <c:v>UK</c:v>
                </c:pt>
                <c:pt idx="2">
                  <c:v>Canada</c:v>
                </c:pt>
                <c:pt idx="3">
                  <c:v>Australia</c:v>
                </c:pt>
                <c:pt idx="4">
                  <c:v>India</c:v>
                </c:pt>
                <c:pt idx="5">
                  <c:v>Brazil</c:v>
                </c:pt>
                <c:pt idx="6">
                  <c:v>Japan</c:v>
                </c:pt>
                <c:pt idx="7">
                  <c:v>France</c:v>
                </c:pt>
                <c:pt idx="8">
                  <c:v>Germany</c:v>
                </c:pt>
                <c:pt idx="9">
                  <c:v>Italy</c:v>
                </c:pt>
                <c:pt idx="10">
                  <c:v>South Africa</c:v>
                </c:pt>
                <c:pt idx="11">
                  <c:v>Spain</c:v>
                </c:pt>
                <c:pt idx="12">
                  <c:v>Greece</c:v>
                </c:pt>
                <c:pt idx="13">
                  <c:v>Netherlands</c:v>
                </c:pt>
                <c:pt idx="14">
                  <c:v>Switzerland</c:v>
                </c:pt>
                <c:pt idx="15">
                  <c:v>Belgium</c:v>
                </c:pt>
                <c:pt idx="16">
                  <c:v>Sweden</c:v>
                </c:pt>
                <c:pt idx="17">
                  <c:v>Portugal</c:v>
                </c:pt>
                <c:pt idx="18">
                  <c:v>Austria</c:v>
                </c:pt>
                <c:pt idx="19">
                  <c:v>Denmark</c:v>
                </c:pt>
                <c:pt idx="20">
                  <c:v>Czech Republic</c:v>
                </c:pt>
                <c:pt idx="21">
                  <c:v>Thailand</c:v>
                </c:pt>
                <c:pt idx="22">
                  <c:v>Jordan</c:v>
                </c:pt>
                <c:pt idx="23">
                  <c:v>Jamaica</c:v>
                </c:pt>
                <c:pt idx="24">
                  <c:v>Peru</c:v>
                </c:pt>
                <c:pt idx="25">
                  <c:v>Colombia</c:v>
                </c:pt>
                <c:pt idx="26">
                  <c:v>Ireland</c:v>
                </c:pt>
                <c:pt idx="27">
                  <c:v>Scotland</c:v>
                </c:pt>
                <c:pt idx="28">
                  <c:v>Norway</c:v>
                </c:pt>
                <c:pt idx="29">
                  <c:v>Maldives</c:v>
                </c:pt>
                <c:pt idx="30">
                  <c:v>Kenya</c:v>
                </c:pt>
                <c:pt idx="31">
                  <c:v>Cambodia</c:v>
                </c:pt>
                <c:pt idx="32">
                  <c:v>China</c:v>
                </c:pt>
              </c:strCache>
            </c:strRef>
          </c:cat>
          <c:val>
            <c:numRef>
              <c:f>PivotTables!$AI$21:$AI$54</c:f>
              <c:numCache>
                <c:formatCode>General</c:formatCode>
                <c:ptCount val="33"/>
                <c:pt idx="0">
                  <c:v>3783</c:v>
                </c:pt>
                <c:pt idx="1">
                  <c:v>2421</c:v>
                </c:pt>
                <c:pt idx="2">
                  <c:v>2639</c:v>
                </c:pt>
                <c:pt idx="3">
                  <c:v>1584</c:v>
                </c:pt>
                <c:pt idx="4">
                  <c:v>1118</c:v>
                </c:pt>
                <c:pt idx="5">
                  <c:v>435</c:v>
                </c:pt>
                <c:pt idx="6">
                  <c:v>502</c:v>
                </c:pt>
                <c:pt idx="7">
                  <c:v>173</c:v>
                </c:pt>
                <c:pt idx="8">
                  <c:v>555</c:v>
                </c:pt>
                <c:pt idx="9">
                  <c:v>330</c:v>
                </c:pt>
                <c:pt idx="12">
                  <c:v>120</c:v>
                </c:pt>
                <c:pt idx="13">
                  <c:v>217</c:v>
                </c:pt>
                <c:pt idx="17">
                  <c:v>166</c:v>
                </c:pt>
                <c:pt idx="18">
                  <c:v>134</c:v>
                </c:pt>
                <c:pt idx="20">
                  <c:v>106</c:v>
                </c:pt>
                <c:pt idx="24">
                  <c:v>83</c:v>
                </c:pt>
                <c:pt idx="25">
                  <c:v>83</c:v>
                </c:pt>
                <c:pt idx="29">
                  <c:v>67</c:v>
                </c:pt>
              </c:numCache>
            </c:numRef>
          </c:val>
          <c:extLst>
            <c:ext xmlns:c16="http://schemas.microsoft.com/office/drawing/2014/chart" uri="{C3380CC4-5D6E-409C-BE32-E72D297353CC}">
              <c16:uniqueId val="{00000000-F487-3E4B-A793-859E314FE010}"/>
            </c:ext>
          </c:extLst>
        </c:ser>
        <c:ser>
          <c:idx val="1"/>
          <c:order val="1"/>
          <c:tx>
            <c:strRef>
              <c:f>PivotTables!$AJ$19:$AJ$20</c:f>
              <c:strCache>
                <c:ptCount val="1"/>
                <c:pt idx="0">
                  <c:v>Instagram</c:v>
                </c:pt>
              </c:strCache>
            </c:strRef>
          </c:tx>
          <c:spPr>
            <a:solidFill>
              <a:schemeClr val="accent6">
                <a:lumMod val="40000"/>
                <a:lumOff val="60000"/>
              </a:schemeClr>
            </a:solidFill>
            <a:ln>
              <a:noFill/>
            </a:ln>
            <a:effectLst/>
          </c:spPr>
          <c:invertIfNegative val="0"/>
          <c:cat>
            <c:strRef>
              <c:f>PivotTables!$AH$21:$AH$54</c:f>
              <c:strCache>
                <c:ptCount val="33"/>
                <c:pt idx="0">
                  <c:v>USA</c:v>
                </c:pt>
                <c:pt idx="1">
                  <c:v>UK</c:v>
                </c:pt>
                <c:pt idx="2">
                  <c:v>Canada</c:v>
                </c:pt>
                <c:pt idx="3">
                  <c:v>Australia</c:v>
                </c:pt>
                <c:pt idx="4">
                  <c:v>India</c:v>
                </c:pt>
                <c:pt idx="5">
                  <c:v>Brazil</c:v>
                </c:pt>
                <c:pt idx="6">
                  <c:v>Japan</c:v>
                </c:pt>
                <c:pt idx="7">
                  <c:v>France</c:v>
                </c:pt>
                <c:pt idx="8">
                  <c:v>Germany</c:v>
                </c:pt>
                <c:pt idx="9">
                  <c:v>Italy</c:v>
                </c:pt>
                <c:pt idx="10">
                  <c:v>South Africa</c:v>
                </c:pt>
                <c:pt idx="11">
                  <c:v>Spain</c:v>
                </c:pt>
                <c:pt idx="12">
                  <c:v>Greece</c:v>
                </c:pt>
                <c:pt idx="13">
                  <c:v>Netherlands</c:v>
                </c:pt>
                <c:pt idx="14">
                  <c:v>Switzerland</c:v>
                </c:pt>
                <c:pt idx="15">
                  <c:v>Belgium</c:v>
                </c:pt>
                <c:pt idx="16">
                  <c:v>Sweden</c:v>
                </c:pt>
                <c:pt idx="17">
                  <c:v>Portugal</c:v>
                </c:pt>
                <c:pt idx="18">
                  <c:v>Austria</c:v>
                </c:pt>
                <c:pt idx="19">
                  <c:v>Denmark</c:v>
                </c:pt>
                <c:pt idx="20">
                  <c:v>Czech Republic</c:v>
                </c:pt>
                <c:pt idx="21">
                  <c:v>Thailand</c:v>
                </c:pt>
                <c:pt idx="22">
                  <c:v>Jordan</c:v>
                </c:pt>
                <c:pt idx="23">
                  <c:v>Jamaica</c:v>
                </c:pt>
                <c:pt idx="24">
                  <c:v>Peru</c:v>
                </c:pt>
                <c:pt idx="25">
                  <c:v>Colombia</c:v>
                </c:pt>
                <c:pt idx="26">
                  <c:v>Ireland</c:v>
                </c:pt>
                <c:pt idx="27">
                  <c:v>Scotland</c:v>
                </c:pt>
                <c:pt idx="28">
                  <c:v>Norway</c:v>
                </c:pt>
                <c:pt idx="29">
                  <c:v>Maldives</c:v>
                </c:pt>
                <c:pt idx="30">
                  <c:v>Kenya</c:v>
                </c:pt>
                <c:pt idx="31">
                  <c:v>Cambodia</c:v>
                </c:pt>
                <c:pt idx="32">
                  <c:v>China</c:v>
                </c:pt>
              </c:strCache>
            </c:strRef>
          </c:cat>
          <c:val>
            <c:numRef>
              <c:f>PivotTables!$AJ$21:$AJ$54</c:f>
              <c:numCache>
                <c:formatCode>General</c:formatCode>
                <c:ptCount val="33"/>
                <c:pt idx="0">
                  <c:v>5078</c:v>
                </c:pt>
                <c:pt idx="1">
                  <c:v>3471</c:v>
                </c:pt>
                <c:pt idx="2">
                  <c:v>2804</c:v>
                </c:pt>
                <c:pt idx="3">
                  <c:v>1506</c:v>
                </c:pt>
                <c:pt idx="4">
                  <c:v>1133</c:v>
                </c:pt>
                <c:pt idx="5">
                  <c:v>494</c:v>
                </c:pt>
                <c:pt idx="6">
                  <c:v>405</c:v>
                </c:pt>
                <c:pt idx="7">
                  <c:v>376</c:v>
                </c:pt>
                <c:pt idx="8">
                  <c:v>173</c:v>
                </c:pt>
                <c:pt idx="9">
                  <c:v>143</c:v>
                </c:pt>
                <c:pt idx="10">
                  <c:v>645</c:v>
                </c:pt>
                <c:pt idx="11">
                  <c:v>90</c:v>
                </c:pt>
                <c:pt idx="13">
                  <c:v>105</c:v>
                </c:pt>
                <c:pt idx="14">
                  <c:v>180</c:v>
                </c:pt>
                <c:pt idx="16">
                  <c:v>210</c:v>
                </c:pt>
                <c:pt idx="19">
                  <c:v>120</c:v>
                </c:pt>
                <c:pt idx="21">
                  <c:v>105</c:v>
                </c:pt>
                <c:pt idx="23">
                  <c:v>90</c:v>
                </c:pt>
                <c:pt idx="26">
                  <c:v>75</c:v>
                </c:pt>
                <c:pt idx="27">
                  <c:v>67</c:v>
                </c:pt>
                <c:pt idx="28">
                  <c:v>67</c:v>
                </c:pt>
                <c:pt idx="30">
                  <c:v>67</c:v>
                </c:pt>
                <c:pt idx="31">
                  <c:v>60</c:v>
                </c:pt>
              </c:numCache>
            </c:numRef>
          </c:val>
          <c:extLst>
            <c:ext xmlns:c16="http://schemas.microsoft.com/office/drawing/2014/chart" uri="{C3380CC4-5D6E-409C-BE32-E72D297353CC}">
              <c16:uniqueId val="{00000006-F487-3E4B-A793-859E314FE010}"/>
            </c:ext>
          </c:extLst>
        </c:ser>
        <c:ser>
          <c:idx val="2"/>
          <c:order val="2"/>
          <c:tx>
            <c:strRef>
              <c:f>PivotTables!$AK$19:$AK$20</c:f>
              <c:strCache>
                <c:ptCount val="1"/>
                <c:pt idx="0">
                  <c:v>Twitter</c:v>
                </c:pt>
              </c:strCache>
            </c:strRef>
          </c:tx>
          <c:spPr>
            <a:solidFill>
              <a:schemeClr val="tx2">
                <a:lumMod val="50000"/>
                <a:lumOff val="50000"/>
              </a:schemeClr>
            </a:solidFill>
            <a:ln>
              <a:noFill/>
            </a:ln>
            <a:effectLst/>
          </c:spPr>
          <c:invertIfNegative val="0"/>
          <c:cat>
            <c:strRef>
              <c:f>PivotTables!$AH$21:$AH$54</c:f>
              <c:strCache>
                <c:ptCount val="33"/>
                <c:pt idx="0">
                  <c:v>USA</c:v>
                </c:pt>
                <c:pt idx="1">
                  <c:v>UK</c:v>
                </c:pt>
                <c:pt idx="2">
                  <c:v>Canada</c:v>
                </c:pt>
                <c:pt idx="3">
                  <c:v>Australia</c:v>
                </c:pt>
                <c:pt idx="4">
                  <c:v>India</c:v>
                </c:pt>
                <c:pt idx="5">
                  <c:v>Brazil</c:v>
                </c:pt>
                <c:pt idx="6">
                  <c:v>Japan</c:v>
                </c:pt>
                <c:pt idx="7">
                  <c:v>France</c:v>
                </c:pt>
                <c:pt idx="8">
                  <c:v>Germany</c:v>
                </c:pt>
                <c:pt idx="9">
                  <c:v>Italy</c:v>
                </c:pt>
                <c:pt idx="10">
                  <c:v>South Africa</c:v>
                </c:pt>
                <c:pt idx="11">
                  <c:v>Spain</c:v>
                </c:pt>
                <c:pt idx="12">
                  <c:v>Greece</c:v>
                </c:pt>
                <c:pt idx="13">
                  <c:v>Netherlands</c:v>
                </c:pt>
                <c:pt idx="14">
                  <c:v>Switzerland</c:v>
                </c:pt>
                <c:pt idx="15">
                  <c:v>Belgium</c:v>
                </c:pt>
                <c:pt idx="16">
                  <c:v>Sweden</c:v>
                </c:pt>
                <c:pt idx="17">
                  <c:v>Portugal</c:v>
                </c:pt>
                <c:pt idx="18">
                  <c:v>Austria</c:v>
                </c:pt>
                <c:pt idx="19">
                  <c:v>Denmark</c:v>
                </c:pt>
                <c:pt idx="20">
                  <c:v>Czech Republic</c:v>
                </c:pt>
                <c:pt idx="21">
                  <c:v>Thailand</c:v>
                </c:pt>
                <c:pt idx="22">
                  <c:v>Jordan</c:v>
                </c:pt>
                <c:pt idx="23">
                  <c:v>Jamaica</c:v>
                </c:pt>
                <c:pt idx="24">
                  <c:v>Peru</c:v>
                </c:pt>
                <c:pt idx="25">
                  <c:v>Colombia</c:v>
                </c:pt>
                <c:pt idx="26">
                  <c:v>Ireland</c:v>
                </c:pt>
                <c:pt idx="27">
                  <c:v>Scotland</c:v>
                </c:pt>
                <c:pt idx="28">
                  <c:v>Norway</c:v>
                </c:pt>
                <c:pt idx="29">
                  <c:v>Maldives</c:v>
                </c:pt>
                <c:pt idx="30">
                  <c:v>Kenya</c:v>
                </c:pt>
                <c:pt idx="31">
                  <c:v>Cambodia</c:v>
                </c:pt>
                <c:pt idx="32">
                  <c:v>China</c:v>
                </c:pt>
              </c:strCache>
            </c:strRef>
          </c:cat>
          <c:val>
            <c:numRef>
              <c:f>PivotTables!$AK$21:$AK$54</c:f>
              <c:numCache>
                <c:formatCode>General</c:formatCode>
                <c:ptCount val="33"/>
                <c:pt idx="0">
                  <c:v>3691</c:v>
                </c:pt>
                <c:pt idx="1">
                  <c:v>2866</c:v>
                </c:pt>
                <c:pt idx="2">
                  <c:v>2796</c:v>
                </c:pt>
                <c:pt idx="3">
                  <c:v>1300</c:v>
                </c:pt>
                <c:pt idx="4">
                  <c:v>1758</c:v>
                </c:pt>
                <c:pt idx="5">
                  <c:v>419</c:v>
                </c:pt>
                <c:pt idx="6">
                  <c:v>271</c:v>
                </c:pt>
                <c:pt idx="7">
                  <c:v>563</c:v>
                </c:pt>
                <c:pt idx="8">
                  <c:v>286</c:v>
                </c:pt>
                <c:pt idx="9">
                  <c:v>301</c:v>
                </c:pt>
                <c:pt idx="11">
                  <c:v>286</c:v>
                </c:pt>
                <c:pt idx="12">
                  <c:v>211</c:v>
                </c:pt>
                <c:pt idx="14">
                  <c:v>67</c:v>
                </c:pt>
                <c:pt idx="15">
                  <c:v>210</c:v>
                </c:pt>
                <c:pt idx="22">
                  <c:v>90</c:v>
                </c:pt>
                <c:pt idx="32">
                  <c:v>53</c:v>
                </c:pt>
              </c:numCache>
            </c:numRef>
          </c:val>
          <c:extLst>
            <c:ext xmlns:c16="http://schemas.microsoft.com/office/drawing/2014/chart" uri="{C3380CC4-5D6E-409C-BE32-E72D297353CC}">
              <c16:uniqueId val="{00000007-F487-3E4B-A793-859E314FE010}"/>
            </c:ext>
          </c:extLst>
        </c:ser>
        <c:dLbls>
          <c:showLegendKey val="0"/>
          <c:showVal val="0"/>
          <c:showCatName val="0"/>
          <c:showSerName val="0"/>
          <c:showPercent val="0"/>
          <c:showBubbleSize val="0"/>
        </c:dLbls>
        <c:gapWidth val="15"/>
        <c:overlap val="100"/>
        <c:axId val="2017760799"/>
        <c:axId val="2018496479"/>
      </c:barChart>
      <c:catAx>
        <c:axId val="201776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crossAx val="2018496479"/>
        <c:crosses val="autoZero"/>
        <c:auto val="1"/>
        <c:lblAlgn val="ctr"/>
        <c:lblOffset val="100"/>
        <c:noMultiLvlLbl val="0"/>
      </c:catAx>
      <c:valAx>
        <c:axId val="201849647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accent1"/>
                </a:solidFill>
                <a:latin typeface="+mn-lt"/>
                <a:ea typeface="+mn-ea"/>
                <a:cs typeface="+mn-cs"/>
              </a:defRPr>
            </a:pPr>
            <a:endParaRPr lang="en-US"/>
          </a:p>
        </c:txPr>
        <c:crossAx val="2017760799"/>
        <c:crossesAt val="1"/>
        <c:crossBetween val="midCat"/>
      </c:valAx>
      <c:spPr>
        <a:noFill/>
        <a:ln>
          <a:noFill/>
        </a:ln>
        <a:effectLst/>
      </c:spPr>
    </c:plotArea>
    <c:legend>
      <c:legendPos val="t"/>
      <c:layout>
        <c:manualLayout>
          <c:xMode val="edge"/>
          <c:yMode val="edge"/>
          <c:x val="0.70970271311194799"/>
          <c:y val="5.1635511584553019E-2"/>
          <c:w val="0.23227991972388767"/>
          <c:h val="3.7634873135857227E-2"/>
        </c:manualLayout>
      </c:layout>
      <c:overlay val="0"/>
      <c:spPr>
        <a:noFill/>
        <a:ln>
          <a:noFill/>
        </a:ln>
        <a:effectLst/>
      </c:spPr>
      <c:txPr>
        <a:bodyPr rot="0" spcFirstLastPara="1" vertOverflow="ellipsis" vert="horz" wrap="square" anchor="ctr" anchorCtr="1"/>
        <a:lstStyle/>
        <a:p>
          <a:pPr>
            <a:defRPr sz="2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[SM_Sentiments.xlsx]PivotTables!PivotTable9</c:name>
    <c:fmtId val="0"/>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GB" sz="4000" b="1">
                <a:solidFill>
                  <a:schemeClr val="accent1"/>
                </a:solidFill>
              </a:rPr>
              <a:t>Prevailing</a:t>
            </a:r>
            <a:r>
              <a:rPr lang="en-GB" sz="4000" b="1" baseline="0">
                <a:solidFill>
                  <a:schemeClr val="accent1"/>
                </a:solidFill>
              </a:rPr>
              <a:t> Sentiment Per Platform Globally</a:t>
            </a:r>
            <a:endParaRPr lang="en-GB" sz="4000" b="1">
              <a:solidFill>
                <a:schemeClr val="accent1"/>
              </a:solidFill>
            </a:endParaRPr>
          </a:p>
        </c:rich>
      </c:tx>
      <c:layout>
        <c:manualLayout>
          <c:xMode val="edge"/>
          <c:yMode val="edge"/>
          <c:x val="3.996179027253164E-2"/>
          <c:y val="2.5793644235398837E-2"/>
        </c:manualLayout>
      </c:layout>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tx2">
                  <a:lumMod val="25000"/>
                  <a:lumOff val="75000"/>
                </a:schemeClr>
              </a:gs>
              <a:gs pos="35000">
                <a:schemeClr val="accent4">
                  <a:lumMod val="40000"/>
                  <a:lumOff val="60000"/>
                </a:schemeClr>
              </a:gs>
              <a:gs pos="100000">
                <a:schemeClr val="accent4">
                  <a:lumMod val="100000"/>
                </a:schemeClr>
              </a:gs>
            </a:gsLst>
            <a:lin ang="66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24000">
                <a:schemeClr val="accent3">
                  <a:lumMod val="20000"/>
                  <a:lumOff val="80000"/>
                </a:schemeClr>
              </a:gs>
              <a:gs pos="7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242094200011882E-2"/>
          <c:y val="0.12285722097237846"/>
          <c:w val="0.84756265733198854"/>
          <c:h val="0.81161526684164476"/>
        </c:manualLayout>
      </c:layout>
      <c:barChart>
        <c:barDir val="col"/>
        <c:grouping val="percentStacked"/>
        <c:varyColors val="0"/>
        <c:ser>
          <c:idx val="0"/>
          <c:order val="0"/>
          <c:tx>
            <c:strRef>
              <c:f>PivotTables!$P$65:$P$66</c:f>
              <c:strCache>
                <c:ptCount val="1"/>
                <c:pt idx="0">
                  <c:v>Negative</c:v>
                </c:pt>
              </c:strCache>
            </c:strRef>
          </c:tx>
          <c:spPr>
            <a:solidFill>
              <a:schemeClr val="accent1"/>
            </a:solidFill>
            <a:ln>
              <a:noFill/>
            </a:ln>
            <a:effectLst/>
          </c:spPr>
          <c:invertIfNegative val="0"/>
          <c:cat>
            <c:strRef>
              <c:f>PivotTables!$O$67:$O$70</c:f>
              <c:strCache>
                <c:ptCount val="3"/>
                <c:pt idx="0">
                  <c:v>Facebook</c:v>
                </c:pt>
                <c:pt idx="1">
                  <c:v>Instagram</c:v>
                </c:pt>
                <c:pt idx="2">
                  <c:v>Twitter</c:v>
                </c:pt>
              </c:strCache>
            </c:strRef>
          </c:cat>
          <c:val>
            <c:numRef>
              <c:f>PivotTables!$P$67:$P$70</c:f>
              <c:numCache>
                <c:formatCode>General</c:formatCode>
                <c:ptCount val="3"/>
                <c:pt idx="0">
                  <c:v>3038</c:v>
                </c:pt>
                <c:pt idx="1">
                  <c:v>3353</c:v>
                </c:pt>
                <c:pt idx="2">
                  <c:v>3168</c:v>
                </c:pt>
              </c:numCache>
            </c:numRef>
          </c:val>
          <c:extLst>
            <c:ext xmlns:c16="http://schemas.microsoft.com/office/drawing/2014/chart" uri="{C3380CC4-5D6E-409C-BE32-E72D297353CC}">
              <c16:uniqueId val="{00000000-BE71-784B-BB58-446ED9967970}"/>
            </c:ext>
          </c:extLst>
        </c:ser>
        <c:ser>
          <c:idx val="1"/>
          <c:order val="1"/>
          <c:tx>
            <c:strRef>
              <c:f>PivotTables!$Q$65:$Q$66</c:f>
              <c:strCache>
                <c:ptCount val="1"/>
                <c:pt idx="0">
                  <c:v>Neutral</c:v>
                </c:pt>
              </c:strCache>
            </c:strRef>
          </c:tx>
          <c:spPr>
            <a:gradFill flip="none" rotWithShape="1">
              <a:gsLst>
                <a:gs pos="0">
                  <a:schemeClr val="tx2">
                    <a:lumMod val="25000"/>
                    <a:lumOff val="75000"/>
                  </a:schemeClr>
                </a:gs>
                <a:gs pos="35000">
                  <a:schemeClr val="accent4">
                    <a:lumMod val="40000"/>
                    <a:lumOff val="60000"/>
                  </a:schemeClr>
                </a:gs>
                <a:gs pos="100000">
                  <a:schemeClr val="accent4">
                    <a:lumMod val="100000"/>
                  </a:schemeClr>
                </a:gs>
              </a:gsLst>
              <a:lin ang="6600000" scaled="0"/>
              <a:tileRect/>
            </a:gradFill>
            <a:ln>
              <a:noFill/>
            </a:ln>
            <a:effectLst/>
          </c:spPr>
          <c:invertIfNegative val="0"/>
          <c:cat>
            <c:strRef>
              <c:f>PivotTables!$O$67:$O$70</c:f>
              <c:strCache>
                <c:ptCount val="3"/>
                <c:pt idx="0">
                  <c:v>Facebook</c:v>
                </c:pt>
                <c:pt idx="1">
                  <c:v>Instagram</c:v>
                </c:pt>
                <c:pt idx="2">
                  <c:v>Twitter</c:v>
                </c:pt>
              </c:strCache>
            </c:strRef>
          </c:cat>
          <c:val>
            <c:numRef>
              <c:f>PivotTables!$Q$67:$Q$70</c:f>
              <c:numCache>
                <c:formatCode>General</c:formatCode>
                <c:ptCount val="3"/>
                <c:pt idx="0">
                  <c:v>1726</c:v>
                </c:pt>
                <c:pt idx="1">
                  <c:v>3344</c:v>
                </c:pt>
                <c:pt idx="2">
                  <c:v>2606</c:v>
                </c:pt>
              </c:numCache>
            </c:numRef>
          </c:val>
          <c:extLst>
            <c:ext xmlns:c16="http://schemas.microsoft.com/office/drawing/2014/chart" uri="{C3380CC4-5D6E-409C-BE32-E72D297353CC}">
              <c16:uniqueId val="{00000004-BE71-784B-BB58-446ED9967970}"/>
            </c:ext>
          </c:extLst>
        </c:ser>
        <c:ser>
          <c:idx val="2"/>
          <c:order val="2"/>
          <c:tx>
            <c:strRef>
              <c:f>PivotTables!$R$65:$R$66</c:f>
              <c:strCache>
                <c:ptCount val="1"/>
                <c:pt idx="0">
                  <c:v>Positive</c:v>
                </c:pt>
              </c:strCache>
            </c:strRef>
          </c:tx>
          <c:spPr>
            <a:gradFill flip="none" rotWithShape="1">
              <a:gsLst>
                <a:gs pos="24000">
                  <a:schemeClr val="accent3">
                    <a:lumMod val="20000"/>
                    <a:lumOff val="80000"/>
                  </a:schemeClr>
                </a:gs>
                <a:gs pos="7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invertIfNegative val="0"/>
          <c:cat>
            <c:strRef>
              <c:f>PivotTables!$O$67:$O$70</c:f>
              <c:strCache>
                <c:ptCount val="3"/>
                <c:pt idx="0">
                  <c:v>Facebook</c:v>
                </c:pt>
                <c:pt idx="1">
                  <c:v>Instagram</c:v>
                </c:pt>
                <c:pt idx="2">
                  <c:v>Twitter</c:v>
                </c:pt>
              </c:strCache>
            </c:strRef>
          </c:cat>
          <c:val>
            <c:numRef>
              <c:f>PivotTables!$R$67:$R$70</c:f>
              <c:numCache>
                <c:formatCode>General</c:formatCode>
                <c:ptCount val="3"/>
                <c:pt idx="0">
                  <c:v>9752</c:v>
                </c:pt>
                <c:pt idx="1">
                  <c:v>10767</c:v>
                </c:pt>
                <c:pt idx="2">
                  <c:v>9394</c:v>
                </c:pt>
              </c:numCache>
            </c:numRef>
          </c:val>
          <c:extLst>
            <c:ext xmlns:c16="http://schemas.microsoft.com/office/drawing/2014/chart" uri="{C3380CC4-5D6E-409C-BE32-E72D297353CC}">
              <c16:uniqueId val="{00000005-BE71-784B-BB58-446ED9967970}"/>
            </c:ext>
          </c:extLst>
        </c:ser>
        <c:dLbls>
          <c:showLegendKey val="0"/>
          <c:showVal val="0"/>
          <c:showCatName val="0"/>
          <c:showSerName val="0"/>
          <c:showPercent val="0"/>
          <c:showBubbleSize val="0"/>
        </c:dLbls>
        <c:gapWidth val="150"/>
        <c:overlap val="100"/>
        <c:axId val="2022519791"/>
        <c:axId val="1709321951"/>
      </c:barChart>
      <c:catAx>
        <c:axId val="20225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accent1"/>
                </a:solidFill>
                <a:latin typeface="+mn-lt"/>
                <a:ea typeface="+mn-ea"/>
                <a:cs typeface="+mn-cs"/>
              </a:defRPr>
            </a:pPr>
            <a:endParaRPr lang="en-US"/>
          </a:p>
        </c:txPr>
        <c:crossAx val="1709321951"/>
        <c:crosses val="autoZero"/>
        <c:auto val="1"/>
        <c:lblAlgn val="ctr"/>
        <c:lblOffset val="100"/>
        <c:noMultiLvlLbl val="0"/>
      </c:catAx>
      <c:valAx>
        <c:axId val="1709321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accent1"/>
                </a:solidFill>
                <a:latin typeface="+mn-lt"/>
                <a:ea typeface="+mn-ea"/>
                <a:cs typeface="+mn-cs"/>
              </a:defRPr>
            </a:pPr>
            <a:endParaRPr lang="en-US"/>
          </a:p>
        </c:txPr>
        <c:crossAx val="2022519791"/>
        <c:crosses val="autoZero"/>
        <c:crossBetween val="between"/>
      </c:valAx>
      <c:spPr>
        <a:noFill/>
        <a:ln>
          <a:noFill/>
        </a:ln>
        <a:effectLst/>
      </c:spPr>
    </c:plotArea>
    <c:legend>
      <c:legendPos val="r"/>
      <c:layout>
        <c:manualLayout>
          <c:xMode val="edge"/>
          <c:yMode val="edge"/>
          <c:x val="0.86168490375732099"/>
          <c:y val="0.33960848643919511"/>
          <c:w val="9.5700227998949006E-2"/>
          <c:h val="0.12825763967004125"/>
        </c:manualLayout>
      </c:layout>
      <c:overlay val="0"/>
      <c:spPr>
        <a:solidFill>
          <a:schemeClr val="bg1"/>
        </a:solidFill>
        <a:ln>
          <a:noFill/>
        </a:ln>
        <a:effectLst/>
      </c:spPr>
      <c:txPr>
        <a:bodyPr rot="0" spcFirstLastPara="1" vertOverflow="ellipsis" vert="horz" wrap="square" anchor="ctr" anchorCtr="1"/>
        <a:lstStyle/>
        <a:p>
          <a:pPr>
            <a:defRPr sz="3000" b="1" i="0" u="none" strike="noStrike" kern="1200" baseline="0">
              <a:solidFill>
                <a:schemeClr val="accen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lvl="2" algn="ctr" rtl="0">
              <a:defRPr sz="4400" b="1" i="0" u="none" strike="noStrike" kern="1200" spc="0" normalizeH="0" baseline="0">
                <a:solidFill>
                  <a:srgbClr val="156082"/>
                </a:solidFill>
                <a:latin typeface="+mj-lt"/>
                <a:ea typeface="+mj-ea"/>
                <a:cs typeface="+mj-cs"/>
              </a:defRPr>
            </a:pPr>
            <a:r>
              <a:rPr lang="en-GB" sz="4400" b="1">
                <a:solidFill>
                  <a:schemeClr val="accent1"/>
                </a:solidFill>
              </a:rPr>
              <a:t>Prevailing</a:t>
            </a:r>
            <a:r>
              <a:rPr lang="en-GB" sz="4400" b="1" baseline="0">
                <a:solidFill>
                  <a:schemeClr val="accent1"/>
                </a:solidFill>
              </a:rPr>
              <a:t> Sentiments in All Platforms Globally</a:t>
            </a:r>
            <a:endParaRPr lang="en-GB" sz="4400" b="1">
              <a:solidFill>
                <a:schemeClr val="accent1"/>
              </a:solidFill>
            </a:endParaRPr>
          </a:p>
        </c:rich>
      </c:tx>
      <c:layout>
        <c:manualLayout>
          <c:xMode val="edge"/>
          <c:yMode val="edge"/>
          <c:x val="0.11731611627430394"/>
          <c:y val="7.3864270679036448E-2"/>
        </c:manualLayout>
      </c:layout>
      <c:overlay val="0"/>
      <c:spPr>
        <a:noFill/>
        <a:ln>
          <a:noFill/>
        </a:ln>
        <a:effectLst/>
      </c:spPr>
      <c:txPr>
        <a:bodyPr rot="0" spcFirstLastPara="1" vertOverflow="ellipsis" vert="horz" wrap="square" anchor="ctr" anchorCtr="1"/>
        <a:lstStyle/>
        <a:p>
          <a:pPr lvl="2" algn="ctr" rtl="0">
            <a:defRPr sz="4400" b="1" i="0" u="none" strike="noStrike" kern="1200" spc="0" normalizeH="0" baseline="0">
              <a:solidFill>
                <a:srgbClr val="156082"/>
              </a:solidFill>
              <a:latin typeface="+mj-lt"/>
              <a:ea typeface="+mj-ea"/>
              <a:cs typeface="+mj-cs"/>
            </a:defRPr>
          </a:pPr>
          <a:endParaRPr lang="en-US"/>
        </a:p>
      </c:txPr>
    </c:title>
    <c:autoTitleDeleted val="0"/>
    <c:plotArea>
      <c:layout>
        <c:manualLayout>
          <c:layoutTarget val="inner"/>
          <c:xMode val="edge"/>
          <c:yMode val="edge"/>
          <c:x val="0.22857721446346888"/>
          <c:y val="0.20551084607071174"/>
          <c:w val="0.37394280164874277"/>
          <c:h val="0.65394163964798513"/>
        </c:manualLayout>
      </c:layout>
      <c:pieChart>
        <c:varyColors val="1"/>
        <c:ser>
          <c:idx val="0"/>
          <c:order val="0"/>
          <c:dPt>
            <c:idx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19050">
                <a:solidFill>
                  <a:schemeClr val="lt1"/>
                </a:solidFill>
              </a:ln>
              <a:effectLst/>
            </c:spPr>
            <c:extLst>
              <c:ext xmlns:c16="http://schemas.microsoft.com/office/drawing/2014/chart" uri="{C3380CC4-5D6E-409C-BE32-E72D297353CC}">
                <c16:uniqueId val="{00000001-F878-DB46-8909-9F4E5AF4BC12}"/>
              </c:ext>
            </c:extLst>
          </c:dPt>
          <c:dPt>
            <c:idx val="1"/>
            <c:bubble3D val="0"/>
            <c:spPr>
              <a:gradFill flip="none" rotWithShape="1">
                <a:gsLst>
                  <a:gs pos="0">
                    <a:schemeClr val="accent4">
                      <a:lumMod val="0"/>
                      <a:lumOff val="100000"/>
                    </a:schemeClr>
                  </a:gs>
                  <a:gs pos="81000">
                    <a:schemeClr val="accent4">
                      <a:lumMod val="40000"/>
                      <a:lumOff val="60000"/>
                    </a:schemeClr>
                  </a:gs>
                  <a:gs pos="47000">
                    <a:schemeClr val="accent4">
                      <a:lumMod val="100000"/>
                    </a:schemeClr>
                  </a:gs>
                </a:gsLst>
                <a:path path="circle">
                  <a:fillToRect l="50000" t="-80000" r="50000" b="180000"/>
                </a:path>
                <a:tileRect/>
              </a:gradFill>
              <a:ln w="19050">
                <a:solidFill>
                  <a:schemeClr val="lt1"/>
                </a:solidFill>
              </a:ln>
              <a:effectLst/>
            </c:spPr>
            <c:extLst>
              <c:ext xmlns:c16="http://schemas.microsoft.com/office/drawing/2014/chart" uri="{C3380CC4-5D6E-409C-BE32-E72D297353CC}">
                <c16:uniqueId val="{00000003-F878-DB46-8909-9F4E5AF4BC12}"/>
              </c:ext>
            </c:extLst>
          </c:dPt>
          <c:dPt>
            <c:idx val="2"/>
            <c:bubble3D val="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19050">
                <a:solidFill>
                  <a:schemeClr val="lt1"/>
                </a:solidFill>
              </a:ln>
              <a:effectLst/>
            </c:spPr>
            <c:extLst>
              <c:ext xmlns:c16="http://schemas.microsoft.com/office/drawing/2014/chart" uri="{C3380CC4-5D6E-409C-BE32-E72D297353CC}">
                <c16:uniqueId val="{00000002-F878-DB46-8909-9F4E5AF4BC12}"/>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accent6"/>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PivotTables!$B$5:$D$5</c:f>
              <c:strCache>
                <c:ptCount val="3"/>
                <c:pt idx="0">
                  <c:v>Negative</c:v>
                </c:pt>
                <c:pt idx="1">
                  <c:v>Neutral</c:v>
                </c:pt>
                <c:pt idx="2">
                  <c:v>Positive</c:v>
                </c:pt>
              </c:strCache>
            </c:strRef>
          </c:cat>
          <c:val>
            <c:numRef>
              <c:f>PivotTables!$B$6:$D$6</c:f>
              <c:numCache>
                <c:formatCode>General</c:formatCode>
                <c:ptCount val="3"/>
                <c:pt idx="0">
                  <c:v>9559</c:v>
                </c:pt>
                <c:pt idx="1">
                  <c:v>7676</c:v>
                </c:pt>
                <c:pt idx="2">
                  <c:v>29913</c:v>
                </c:pt>
              </c:numCache>
            </c:numRef>
          </c:val>
          <c:extLst>
            <c:ext xmlns:c16="http://schemas.microsoft.com/office/drawing/2014/chart" uri="{C3380CC4-5D6E-409C-BE32-E72D297353CC}">
              <c16:uniqueId val="{00000000-F878-DB46-8909-9F4E5AF4BC1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31785199940407"/>
          <c:y val="0.46983537903350309"/>
          <c:w val="0.11277852731786629"/>
          <c:h val="0.14706082069547211"/>
        </c:manualLayout>
      </c:layout>
      <c:overlay val="0"/>
      <c:spPr>
        <a:solidFill>
          <a:schemeClr val="lt1">
            <a:alpha val="50000"/>
          </a:schemeClr>
        </a:solidFill>
        <a:ln>
          <a:noFill/>
        </a:ln>
        <a:effectLst/>
      </c:spPr>
      <c:txPr>
        <a:bodyPr rot="0" spcFirstLastPara="1" vertOverflow="ellipsis" vert="horz" wrap="square" anchor="ctr" anchorCtr="1"/>
        <a:lstStyle/>
        <a:p>
          <a:pPr>
            <a:defRPr sz="3600" b="1" i="0" u="none" strike="noStrike" kern="1200" baseline="0">
              <a:solidFill>
                <a:schemeClr val="accen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lvl="2" algn="ctr" rtl="0">
              <a:defRPr sz="2400" b="1" i="0" u="none" strike="noStrike" kern="1200" spc="0" normalizeH="0" baseline="0">
                <a:solidFill>
                  <a:srgbClr val="156082"/>
                </a:solidFill>
                <a:latin typeface="+mj-lt"/>
                <a:ea typeface="+mj-ea"/>
                <a:cs typeface="+mj-cs"/>
              </a:defRPr>
            </a:pPr>
            <a:r>
              <a:rPr lang="en-GB" sz="2400" b="1">
                <a:solidFill>
                  <a:schemeClr val="accent1"/>
                </a:solidFill>
              </a:rPr>
              <a:t>Prevailing</a:t>
            </a:r>
            <a:r>
              <a:rPr lang="en-GB" sz="2400" b="1" baseline="0">
                <a:solidFill>
                  <a:schemeClr val="accent1"/>
                </a:solidFill>
              </a:rPr>
              <a:t> Sentiments in All Platforms Globally</a:t>
            </a:r>
            <a:endParaRPr lang="en-GB" sz="2400" b="1">
              <a:solidFill>
                <a:schemeClr val="accent1"/>
              </a:solidFill>
            </a:endParaRPr>
          </a:p>
        </c:rich>
      </c:tx>
      <c:layout>
        <c:manualLayout>
          <c:xMode val="edge"/>
          <c:yMode val="edge"/>
          <c:x val="0.15555696712032402"/>
          <c:y val="7.88117394416607E-2"/>
        </c:manualLayout>
      </c:layout>
      <c:overlay val="0"/>
      <c:spPr>
        <a:noFill/>
        <a:ln>
          <a:noFill/>
        </a:ln>
        <a:effectLst/>
      </c:spPr>
      <c:txPr>
        <a:bodyPr rot="0" spcFirstLastPara="1" vertOverflow="ellipsis" vert="horz" wrap="square" anchor="ctr" anchorCtr="1"/>
        <a:lstStyle/>
        <a:p>
          <a:pPr lvl="2" algn="ctr" rtl="0">
            <a:defRPr sz="2400" b="1" i="0" u="none" strike="noStrike" kern="1200" spc="0" normalizeH="0" baseline="0">
              <a:solidFill>
                <a:srgbClr val="156082"/>
              </a:solidFill>
              <a:latin typeface="+mj-lt"/>
              <a:ea typeface="+mj-ea"/>
              <a:cs typeface="+mj-cs"/>
            </a:defRPr>
          </a:pPr>
          <a:endParaRPr lang="en-US"/>
        </a:p>
      </c:txPr>
    </c:title>
    <c:autoTitleDeleted val="0"/>
    <c:plotArea>
      <c:layout>
        <c:manualLayout>
          <c:layoutTarget val="inner"/>
          <c:xMode val="edge"/>
          <c:yMode val="edge"/>
          <c:x val="0.24023897523013707"/>
          <c:y val="0.31095291659971075"/>
          <c:w val="0.24819069810151281"/>
          <c:h val="0.57911162890352996"/>
        </c:manualLayout>
      </c:layout>
      <c:pieChart>
        <c:varyColors val="1"/>
        <c:ser>
          <c:idx val="0"/>
          <c:order val="0"/>
          <c:dPt>
            <c:idx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19050">
                <a:solidFill>
                  <a:schemeClr val="lt1"/>
                </a:solidFill>
              </a:ln>
              <a:effectLst/>
            </c:spPr>
            <c:extLst>
              <c:ext xmlns:c16="http://schemas.microsoft.com/office/drawing/2014/chart" uri="{C3380CC4-5D6E-409C-BE32-E72D297353CC}">
                <c16:uniqueId val="{00000001-6501-454F-A9D2-D8C470C0DB49}"/>
              </c:ext>
            </c:extLst>
          </c:dPt>
          <c:dPt>
            <c:idx val="1"/>
            <c:bubble3D val="0"/>
            <c:spPr>
              <a:gradFill flip="none" rotWithShape="1">
                <a:gsLst>
                  <a:gs pos="0">
                    <a:schemeClr val="accent4">
                      <a:lumMod val="0"/>
                      <a:lumOff val="100000"/>
                    </a:schemeClr>
                  </a:gs>
                  <a:gs pos="81000">
                    <a:schemeClr val="accent4">
                      <a:lumMod val="40000"/>
                      <a:lumOff val="60000"/>
                    </a:schemeClr>
                  </a:gs>
                  <a:gs pos="47000">
                    <a:schemeClr val="accent4">
                      <a:lumMod val="100000"/>
                    </a:schemeClr>
                  </a:gs>
                </a:gsLst>
                <a:path path="circle">
                  <a:fillToRect l="50000" t="-80000" r="50000" b="180000"/>
                </a:path>
                <a:tileRect/>
              </a:gradFill>
              <a:ln w="19050">
                <a:solidFill>
                  <a:schemeClr val="lt1"/>
                </a:solidFill>
              </a:ln>
              <a:effectLst/>
            </c:spPr>
            <c:extLst>
              <c:ext xmlns:c16="http://schemas.microsoft.com/office/drawing/2014/chart" uri="{C3380CC4-5D6E-409C-BE32-E72D297353CC}">
                <c16:uniqueId val="{00000003-6501-454F-A9D2-D8C470C0DB49}"/>
              </c:ext>
            </c:extLst>
          </c:dPt>
          <c:dPt>
            <c:idx val="2"/>
            <c:bubble3D val="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19050">
                <a:solidFill>
                  <a:schemeClr val="lt1"/>
                </a:solidFill>
              </a:ln>
              <a:effectLst/>
            </c:spPr>
            <c:extLst>
              <c:ext xmlns:c16="http://schemas.microsoft.com/office/drawing/2014/chart" uri="{C3380CC4-5D6E-409C-BE32-E72D297353CC}">
                <c16:uniqueId val="{00000005-6501-454F-A9D2-D8C470C0DB49}"/>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6"/>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PivotTables!$B$5:$D$5</c:f>
              <c:strCache>
                <c:ptCount val="3"/>
                <c:pt idx="0">
                  <c:v>Negative</c:v>
                </c:pt>
                <c:pt idx="1">
                  <c:v>Neutral</c:v>
                </c:pt>
                <c:pt idx="2">
                  <c:v>Positive</c:v>
                </c:pt>
              </c:strCache>
            </c:strRef>
          </c:cat>
          <c:val>
            <c:numRef>
              <c:f>PivotTables!$B$6:$D$6</c:f>
              <c:numCache>
                <c:formatCode>General</c:formatCode>
                <c:ptCount val="3"/>
                <c:pt idx="0">
                  <c:v>9559</c:v>
                </c:pt>
                <c:pt idx="1">
                  <c:v>7676</c:v>
                </c:pt>
                <c:pt idx="2">
                  <c:v>29913</c:v>
                </c:pt>
              </c:numCache>
            </c:numRef>
          </c:val>
          <c:extLst>
            <c:ext xmlns:c16="http://schemas.microsoft.com/office/drawing/2014/chart" uri="{C3380CC4-5D6E-409C-BE32-E72D297353CC}">
              <c16:uniqueId val="{00000006-6501-454F-A9D2-D8C470C0DB4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31785199940407"/>
          <c:y val="0.46983537903350309"/>
          <c:w val="0.17617616675466588"/>
          <c:h val="0.29765225775349508"/>
        </c:manualLayout>
      </c:layout>
      <c:overlay val="0"/>
      <c:spPr>
        <a:solidFill>
          <a:schemeClr val="lt1">
            <a:alpha val="50000"/>
          </a:schemeClr>
        </a:solidFill>
        <a:ln>
          <a:noFill/>
        </a:ln>
        <a:effectLst/>
      </c:spPr>
      <c:txPr>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[SM_Sentiments.xlsx]PivotTables!PivotTable9</c:name>
    <c:fmtId val="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GB" sz="2400" b="1">
                <a:solidFill>
                  <a:schemeClr val="accent1"/>
                </a:solidFill>
              </a:rPr>
              <a:t>Prevailing</a:t>
            </a:r>
            <a:r>
              <a:rPr lang="en-GB" sz="2400" b="1" baseline="0">
                <a:solidFill>
                  <a:schemeClr val="accent1"/>
                </a:solidFill>
              </a:rPr>
              <a:t> Sentiment Per Platform Globally</a:t>
            </a:r>
            <a:endParaRPr lang="en-GB" sz="2400" b="1">
              <a:solidFill>
                <a:schemeClr val="accent1"/>
              </a:solidFill>
            </a:endParaRPr>
          </a:p>
        </c:rich>
      </c:tx>
      <c:layout>
        <c:manualLayout>
          <c:xMode val="edge"/>
          <c:yMode val="edge"/>
          <c:x val="0.14205192869604469"/>
          <c:y val="1.6791110039122422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tx2">
                  <a:lumMod val="25000"/>
                  <a:lumOff val="75000"/>
                </a:schemeClr>
              </a:gs>
              <a:gs pos="35000">
                <a:schemeClr val="accent4">
                  <a:lumMod val="40000"/>
                  <a:lumOff val="60000"/>
                </a:schemeClr>
              </a:gs>
              <a:gs pos="100000">
                <a:schemeClr val="accent4">
                  <a:lumMod val="100000"/>
                </a:schemeClr>
              </a:gs>
            </a:gsLst>
            <a:lin ang="66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24000">
                <a:schemeClr val="accent3">
                  <a:lumMod val="20000"/>
                  <a:lumOff val="80000"/>
                </a:schemeClr>
              </a:gs>
              <a:gs pos="7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tx2">
                  <a:lumMod val="25000"/>
                  <a:lumOff val="75000"/>
                </a:schemeClr>
              </a:gs>
              <a:gs pos="35000">
                <a:schemeClr val="accent4">
                  <a:lumMod val="40000"/>
                  <a:lumOff val="60000"/>
                </a:schemeClr>
              </a:gs>
              <a:gs pos="100000">
                <a:schemeClr val="accent4">
                  <a:lumMod val="100000"/>
                </a:schemeClr>
              </a:gs>
            </a:gsLst>
            <a:lin ang="66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24000">
                <a:schemeClr val="accent3">
                  <a:lumMod val="20000"/>
                  <a:lumOff val="80000"/>
                </a:schemeClr>
              </a:gs>
              <a:gs pos="7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tx2">
                  <a:lumMod val="25000"/>
                  <a:lumOff val="75000"/>
                </a:schemeClr>
              </a:gs>
              <a:gs pos="35000">
                <a:schemeClr val="accent4">
                  <a:lumMod val="40000"/>
                  <a:lumOff val="60000"/>
                </a:schemeClr>
              </a:gs>
              <a:gs pos="100000">
                <a:schemeClr val="accent4">
                  <a:lumMod val="100000"/>
                </a:schemeClr>
              </a:gs>
            </a:gsLst>
            <a:lin ang="66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24000">
                <a:schemeClr val="accent3">
                  <a:lumMod val="20000"/>
                  <a:lumOff val="80000"/>
                </a:schemeClr>
              </a:gs>
              <a:gs pos="7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1436843235315"/>
          <c:y val="0.13217742837034915"/>
          <c:w val="0.77265314072030877"/>
          <c:h val="0.7254786460750251"/>
        </c:manualLayout>
      </c:layout>
      <c:barChart>
        <c:barDir val="col"/>
        <c:grouping val="percentStacked"/>
        <c:varyColors val="0"/>
        <c:ser>
          <c:idx val="0"/>
          <c:order val="0"/>
          <c:tx>
            <c:strRef>
              <c:f>PivotTables!$P$65:$P$66</c:f>
              <c:strCache>
                <c:ptCount val="1"/>
                <c:pt idx="0">
                  <c:v>Negative</c:v>
                </c:pt>
              </c:strCache>
            </c:strRef>
          </c:tx>
          <c:spPr>
            <a:solidFill>
              <a:schemeClr val="accent1"/>
            </a:solidFill>
            <a:ln>
              <a:noFill/>
            </a:ln>
            <a:effectLst/>
          </c:spPr>
          <c:invertIfNegative val="0"/>
          <c:cat>
            <c:strRef>
              <c:f>PivotTables!$O$67:$O$70</c:f>
              <c:strCache>
                <c:ptCount val="3"/>
                <c:pt idx="0">
                  <c:v>Facebook</c:v>
                </c:pt>
                <c:pt idx="1">
                  <c:v>Instagram</c:v>
                </c:pt>
                <c:pt idx="2">
                  <c:v>Twitter</c:v>
                </c:pt>
              </c:strCache>
            </c:strRef>
          </c:cat>
          <c:val>
            <c:numRef>
              <c:f>PivotTables!$P$67:$P$70</c:f>
              <c:numCache>
                <c:formatCode>General</c:formatCode>
                <c:ptCount val="3"/>
                <c:pt idx="0">
                  <c:v>3038</c:v>
                </c:pt>
                <c:pt idx="1">
                  <c:v>3353</c:v>
                </c:pt>
                <c:pt idx="2">
                  <c:v>3168</c:v>
                </c:pt>
              </c:numCache>
            </c:numRef>
          </c:val>
          <c:extLst>
            <c:ext xmlns:c16="http://schemas.microsoft.com/office/drawing/2014/chart" uri="{C3380CC4-5D6E-409C-BE32-E72D297353CC}">
              <c16:uniqueId val="{00000000-CF54-B74E-9842-AD6D3EBA9AD3}"/>
            </c:ext>
          </c:extLst>
        </c:ser>
        <c:ser>
          <c:idx val="1"/>
          <c:order val="1"/>
          <c:tx>
            <c:strRef>
              <c:f>PivotTables!$Q$65:$Q$66</c:f>
              <c:strCache>
                <c:ptCount val="1"/>
                <c:pt idx="0">
                  <c:v>Neutral</c:v>
                </c:pt>
              </c:strCache>
            </c:strRef>
          </c:tx>
          <c:spPr>
            <a:gradFill flip="none" rotWithShape="1">
              <a:gsLst>
                <a:gs pos="0">
                  <a:schemeClr val="tx2">
                    <a:lumMod val="25000"/>
                    <a:lumOff val="75000"/>
                  </a:schemeClr>
                </a:gs>
                <a:gs pos="35000">
                  <a:schemeClr val="accent4">
                    <a:lumMod val="40000"/>
                    <a:lumOff val="60000"/>
                  </a:schemeClr>
                </a:gs>
                <a:gs pos="100000">
                  <a:schemeClr val="accent4">
                    <a:lumMod val="100000"/>
                  </a:schemeClr>
                </a:gs>
              </a:gsLst>
              <a:lin ang="6600000" scaled="0"/>
              <a:tileRect/>
            </a:gradFill>
            <a:ln>
              <a:noFill/>
            </a:ln>
            <a:effectLst/>
          </c:spPr>
          <c:invertIfNegative val="0"/>
          <c:cat>
            <c:strRef>
              <c:f>PivotTables!$O$67:$O$70</c:f>
              <c:strCache>
                <c:ptCount val="3"/>
                <c:pt idx="0">
                  <c:v>Facebook</c:v>
                </c:pt>
                <c:pt idx="1">
                  <c:v>Instagram</c:v>
                </c:pt>
                <c:pt idx="2">
                  <c:v>Twitter</c:v>
                </c:pt>
              </c:strCache>
            </c:strRef>
          </c:cat>
          <c:val>
            <c:numRef>
              <c:f>PivotTables!$Q$67:$Q$70</c:f>
              <c:numCache>
                <c:formatCode>General</c:formatCode>
                <c:ptCount val="3"/>
                <c:pt idx="0">
                  <c:v>1726</c:v>
                </c:pt>
                <c:pt idx="1">
                  <c:v>3344</c:v>
                </c:pt>
                <c:pt idx="2">
                  <c:v>2606</c:v>
                </c:pt>
              </c:numCache>
            </c:numRef>
          </c:val>
          <c:extLst>
            <c:ext xmlns:c16="http://schemas.microsoft.com/office/drawing/2014/chart" uri="{C3380CC4-5D6E-409C-BE32-E72D297353CC}">
              <c16:uniqueId val="{00000001-CF54-B74E-9842-AD6D3EBA9AD3}"/>
            </c:ext>
          </c:extLst>
        </c:ser>
        <c:ser>
          <c:idx val="2"/>
          <c:order val="2"/>
          <c:tx>
            <c:strRef>
              <c:f>PivotTables!$R$65:$R$66</c:f>
              <c:strCache>
                <c:ptCount val="1"/>
                <c:pt idx="0">
                  <c:v>Positive</c:v>
                </c:pt>
              </c:strCache>
            </c:strRef>
          </c:tx>
          <c:spPr>
            <a:gradFill flip="none" rotWithShape="1">
              <a:gsLst>
                <a:gs pos="24000">
                  <a:schemeClr val="accent3">
                    <a:lumMod val="20000"/>
                    <a:lumOff val="80000"/>
                  </a:schemeClr>
                </a:gs>
                <a:gs pos="7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invertIfNegative val="0"/>
          <c:cat>
            <c:strRef>
              <c:f>PivotTables!$O$67:$O$70</c:f>
              <c:strCache>
                <c:ptCount val="3"/>
                <c:pt idx="0">
                  <c:v>Facebook</c:v>
                </c:pt>
                <c:pt idx="1">
                  <c:v>Instagram</c:v>
                </c:pt>
                <c:pt idx="2">
                  <c:v>Twitter</c:v>
                </c:pt>
              </c:strCache>
            </c:strRef>
          </c:cat>
          <c:val>
            <c:numRef>
              <c:f>PivotTables!$R$67:$R$70</c:f>
              <c:numCache>
                <c:formatCode>General</c:formatCode>
                <c:ptCount val="3"/>
                <c:pt idx="0">
                  <c:v>9752</c:v>
                </c:pt>
                <c:pt idx="1">
                  <c:v>10767</c:v>
                </c:pt>
                <c:pt idx="2">
                  <c:v>9394</c:v>
                </c:pt>
              </c:numCache>
            </c:numRef>
          </c:val>
          <c:extLst>
            <c:ext xmlns:c16="http://schemas.microsoft.com/office/drawing/2014/chart" uri="{C3380CC4-5D6E-409C-BE32-E72D297353CC}">
              <c16:uniqueId val="{00000002-CF54-B74E-9842-AD6D3EBA9AD3}"/>
            </c:ext>
          </c:extLst>
        </c:ser>
        <c:dLbls>
          <c:showLegendKey val="0"/>
          <c:showVal val="0"/>
          <c:showCatName val="0"/>
          <c:showSerName val="0"/>
          <c:showPercent val="0"/>
          <c:showBubbleSize val="0"/>
        </c:dLbls>
        <c:gapWidth val="75"/>
        <c:overlap val="100"/>
        <c:axId val="2022519791"/>
        <c:axId val="1709321951"/>
      </c:barChart>
      <c:catAx>
        <c:axId val="20225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accent1"/>
                </a:solidFill>
                <a:latin typeface="+mn-lt"/>
                <a:ea typeface="+mn-ea"/>
                <a:cs typeface="+mn-cs"/>
              </a:defRPr>
            </a:pPr>
            <a:endParaRPr lang="en-US"/>
          </a:p>
        </c:txPr>
        <c:crossAx val="1709321951"/>
        <c:crosses val="autoZero"/>
        <c:auto val="1"/>
        <c:lblAlgn val="ctr"/>
        <c:lblOffset val="100"/>
        <c:noMultiLvlLbl val="0"/>
      </c:catAx>
      <c:valAx>
        <c:axId val="1709321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accent1"/>
                </a:solidFill>
                <a:latin typeface="+mn-lt"/>
                <a:ea typeface="+mn-ea"/>
                <a:cs typeface="+mn-cs"/>
              </a:defRPr>
            </a:pPr>
            <a:endParaRPr lang="en-US"/>
          </a:p>
        </c:txPr>
        <c:crossAx val="2022519791"/>
        <c:crosses val="autoZero"/>
        <c:crossBetween val="between"/>
      </c:valAx>
      <c:spPr>
        <a:noFill/>
        <a:ln>
          <a:noFill/>
        </a:ln>
        <a:effectLst/>
      </c:spPr>
    </c:plotArea>
    <c:legend>
      <c:legendPos val="r"/>
      <c:layout>
        <c:manualLayout>
          <c:xMode val="edge"/>
          <c:yMode val="edge"/>
          <c:x val="0.88625926683596346"/>
          <c:y val="0.26988030921948442"/>
          <c:w val="9.5700227998949006E-2"/>
          <c:h val="0.12825763967004125"/>
        </c:manualLayout>
      </c:layout>
      <c:overlay val="0"/>
      <c:spPr>
        <a:solidFill>
          <a:schemeClr val="bg1"/>
        </a:solidFill>
        <a:ln>
          <a:noFill/>
        </a:ln>
        <a:effectLst/>
      </c:spPr>
      <c:txPr>
        <a:bodyPr rot="0" spcFirstLastPara="1" vertOverflow="ellipsis" vert="horz" wrap="square" anchor="ctr" anchorCtr="1"/>
        <a:lstStyle/>
        <a:p>
          <a:pPr>
            <a:defRPr sz="1200" b="1" i="0" u="none" strike="noStrike" kern="1200" baseline="0">
              <a:solidFill>
                <a:schemeClr val="accen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[SM_Sentiments.xlsx]PivotTables!PivotTable11</c:name>
    <c:fmtId val="4"/>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GB" sz="2400" b="1" i="0" u="none" strike="noStrike" baseline="0">
                <a:solidFill>
                  <a:schemeClr val="accent1"/>
                </a:solidFill>
              </a:rPr>
              <a:t>Social Media Peak Engagement Hours in the UK</a:t>
            </a:r>
            <a:endParaRPr lang="en-GB" sz="2400" b="1">
              <a:solidFill>
                <a:schemeClr val="accent1"/>
              </a:solidFill>
            </a:endParaRPr>
          </a:p>
        </c:rich>
      </c:tx>
      <c:layout>
        <c:manualLayout>
          <c:xMode val="edge"/>
          <c:yMode val="edge"/>
          <c:x val="3.8235761032783588E-2"/>
          <c:y val="8.1284693461529306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lin ang="2700000" scaled="1"/>
            <a:tileRect/>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lumMod val="40000"/>
                  <a:lumOff val="60000"/>
                </a:schemeClr>
              </a:gs>
              <a:gs pos="45000">
                <a:schemeClr val="accent3">
                  <a:lumMod val="20000"/>
                  <a:lumOff val="80000"/>
                </a:schemeClr>
              </a:gs>
              <a:gs pos="63000">
                <a:schemeClr val="accent6">
                  <a:lumMod val="20000"/>
                  <a:lumOff val="80000"/>
                </a:schemeClr>
              </a:gs>
              <a:gs pos="94000">
                <a:schemeClr val="accent3">
                  <a:lumMod val="60000"/>
                  <a:lumOff val="40000"/>
                </a:schemeClr>
              </a:gs>
            </a:gsLst>
            <a:lin ang="5400000" scaled="1"/>
            <a:tileRect/>
          </a:gradFill>
          <a:ln>
            <a:gradFill flip="none" rotWithShape="1">
              <a:gsLst>
                <a:gs pos="0">
                  <a:schemeClr val="bg2"/>
                </a:gs>
                <a:gs pos="23000">
                  <a:schemeClr val="accent6">
                    <a:lumMod val="89000"/>
                  </a:schemeClr>
                </a:gs>
                <a:gs pos="69000">
                  <a:schemeClr val="accent6">
                    <a:lumMod val="75000"/>
                  </a:schemeClr>
                </a:gs>
                <a:gs pos="97000">
                  <a:schemeClr val="accent6">
                    <a:lumMod val="70000"/>
                  </a:schemeClr>
                </a:gs>
              </a:gsLst>
              <a:path path="shape">
                <a:fillToRect l="50000" t="50000" r="50000" b="5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tx2">
                  <a:lumMod val="10000"/>
                  <a:lumOff val="90000"/>
                </a:schemeClr>
              </a:gs>
              <a:gs pos="38000">
                <a:schemeClr val="accent1">
                  <a:lumMod val="20000"/>
                  <a:lumOff val="80000"/>
                </a:schemeClr>
              </a:gs>
              <a:gs pos="17000">
                <a:srgbClr val="87CFEA"/>
              </a:gs>
              <a:gs pos="100000">
                <a:schemeClr val="accent4">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tx2">
                  <a:lumMod val="10000"/>
                  <a:lumOff val="90000"/>
                </a:schemeClr>
              </a:gs>
              <a:gs pos="38000">
                <a:schemeClr val="accent1">
                  <a:lumMod val="20000"/>
                  <a:lumOff val="80000"/>
                </a:schemeClr>
              </a:gs>
              <a:gs pos="17000">
                <a:srgbClr val="87CFEA"/>
              </a:gs>
              <a:gs pos="100000">
                <a:schemeClr val="accent4">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6">
                  <a:lumMod val="40000"/>
                  <a:lumOff val="60000"/>
                </a:schemeClr>
              </a:gs>
              <a:gs pos="45000">
                <a:schemeClr val="accent3">
                  <a:lumMod val="20000"/>
                  <a:lumOff val="80000"/>
                </a:schemeClr>
              </a:gs>
              <a:gs pos="63000">
                <a:schemeClr val="accent6">
                  <a:lumMod val="20000"/>
                  <a:lumOff val="80000"/>
                </a:schemeClr>
              </a:gs>
              <a:gs pos="94000">
                <a:schemeClr val="accent3">
                  <a:lumMod val="60000"/>
                  <a:lumOff val="40000"/>
                </a:schemeClr>
              </a:gs>
            </a:gsLst>
            <a:lin ang="5400000" scaled="1"/>
            <a:tileRect/>
          </a:gradFill>
          <a:ln>
            <a:gradFill flip="none" rotWithShape="1">
              <a:gsLst>
                <a:gs pos="0">
                  <a:schemeClr val="bg2"/>
                </a:gs>
                <a:gs pos="23000">
                  <a:schemeClr val="accent6">
                    <a:lumMod val="89000"/>
                  </a:schemeClr>
                </a:gs>
                <a:gs pos="69000">
                  <a:schemeClr val="accent6">
                    <a:lumMod val="75000"/>
                  </a:schemeClr>
                </a:gs>
                <a:gs pos="97000">
                  <a:schemeClr val="accent6">
                    <a:lumMod val="70000"/>
                  </a:schemeClr>
                </a:gs>
              </a:gsLst>
              <a:path path="shape">
                <a:fillToRect l="50000" t="50000" r="50000" b="5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tx2">
                  <a:lumMod val="10000"/>
                  <a:lumOff val="90000"/>
                </a:schemeClr>
              </a:gs>
              <a:gs pos="38000">
                <a:schemeClr val="accent1">
                  <a:lumMod val="20000"/>
                  <a:lumOff val="80000"/>
                </a:schemeClr>
              </a:gs>
              <a:gs pos="17000">
                <a:srgbClr val="87CFEA"/>
              </a:gs>
              <a:gs pos="100000">
                <a:schemeClr val="accent4">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6">
                  <a:lumMod val="40000"/>
                  <a:lumOff val="60000"/>
                </a:schemeClr>
              </a:gs>
              <a:gs pos="45000">
                <a:schemeClr val="accent3">
                  <a:lumMod val="20000"/>
                  <a:lumOff val="80000"/>
                </a:schemeClr>
              </a:gs>
              <a:gs pos="63000">
                <a:schemeClr val="accent6">
                  <a:lumMod val="20000"/>
                  <a:lumOff val="80000"/>
                </a:schemeClr>
              </a:gs>
              <a:gs pos="94000">
                <a:schemeClr val="accent3">
                  <a:lumMod val="60000"/>
                  <a:lumOff val="40000"/>
                </a:schemeClr>
              </a:gs>
            </a:gsLst>
            <a:lin ang="5400000" scaled="1"/>
            <a:tileRect/>
          </a:gradFill>
          <a:ln>
            <a:gradFill flip="none" rotWithShape="1">
              <a:gsLst>
                <a:gs pos="0">
                  <a:schemeClr val="bg2"/>
                </a:gs>
                <a:gs pos="23000">
                  <a:schemeClr val="accent6">
                    <a:lumMod val="89000"/>
                  </a:schemeClr>
                </a:gs>
                <a:gs pos="69000">
                  <a:schemeClr val="accent6">
                    <a:lumMod val="75000"/>
                  </a:schemeClr>
                </a:gs>
                <a:gs pos="97000">
                  <a:schemeClr val="accent6">
                    <a:lumMod val="70000"/>
                  </a:schemeClr>
                </a:gs>
              </a:gsLst>
              <a:path path="shape">
                <a:fillToRect l="50000" t="50000" r="50000" b="5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tx2">
                  <a:lumMod val="10000"/>
                  <a:lumOff val="90000"/>
                </a:schemeClr>
              </a:gs>
              <a:gs pos="38000">
                <a:schemeClr val="accent1">
                  <a:lumMod val="20000"/>
                  <a:lumOff val="80000"/>
                </a:schemeClr>
              </a:gs>
              <a:gs pos="17000">
                <a:srgbClr val="87CFEA"/>
              </a:gs>
              <a:gs pos="100000">
                <a:schemeClr val="accent4">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6">
                  <a:lumMod val="40000"/>
                  <a:lumOff val="60000"/>
                </a:schemeClr>
              </a:gs>
              <a:gs pos="45000">
                <a:schemeClr val="accent3">
                  <a:lumMod val="20000"/>
                  <a:lumOff val="80000"/>
                </a:schemeClr>
              </a:gs>
              <a:gs pos="63000">
                <a:schemeClr val="accent6">
                  <a:lumMod val="20000"/>
                  <a:lumOff val="80000"/>
                </a:schemeClr>
              </a:gs>
              <a:gs pos="94000">
                <a:schemeClr val="accent3">
                  <a:lumMod val="60000"/>
                  <a:lumOff val="4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00796182385847E-2"/>
          <c:y val="0.2318786689163439"/>
          <c:w val="0.8763446995059373"/>
          <c:h val="0.64401171330429374"/>
        </c:manualLayout>
      </c:layout>
      <c:areaChart>
        <c:grouping val="stacked"/>
        <c:varyColors val="0"/>
        <c:ser>
          <c:idx val="0"/>
          <c:order val="0"/>
          <c:tx>
            <c:strRef>
              <c:f>PivotTables!$AJ$80:$AJ$81</c:f>
              <c:strCache>
                <c:ptCount val="1"/>
                <c:pt idx="0">
                  <c:v>Facebook</c:v>
                </c:pt>
              </c:strCache>
            </c:strRef>
          </c:tx>
          <c:spPr>
            <a:solidFill>
              <a:schemeClr val="accent1"/>
            </a:solidFill>
            <a:ln w="25400">
              <a:noFill/>
            </a:ln>
            <a:effectLst/>
          </c:spPr>
          <c:cat>
            <c:strRef>
              <c:f>PivotTables!$AI$82:$AI$143</c:f>
              <c:strCache>
                <c:ptCount val="61"/>
                <c:pt idx="0">
                  <c:v>00:05</c:v>
                </c:pt>
                <c:pt idx="1">
                  <c:v>06:15</c:v>
                </c:pt>
                <c:pt idx="2">
                  <c:v>08:00</c:v>
                </c:pt>
                <c:pt idx="3">
                  <c:v>08:20</c:v>
                </c:pt>
                <c:pt idx="4">
                  <c:v>08:30</c:v>
                </c:pt>
                <c:pt idx="5">
                  <c:v>08:45</c:v>
                </c:pt>
                <c:pt idx="6">
                  <c:v>09:00</c:v>
                </c:pt>
                <c:pt idx="7">
                  <c:v>09:15</c:v>
                </c:pt>
                <c:pt idx="8">
                  <c:v>09:30</c:v>
                </c:pt>
                <c:pt idx="9">
                  <c:v>09:45</c:v>
                </c:pt>
                <c:pt idx="10">
                  <c:v>10:00</c:v>
                </c:pt>
                <c:pt idx="11">
                  <c:v>10:05</c:v>
                </c:pt>
                <c:pt idx="12">
                  <c:v>10:20</c:v>
                </c:pt>
                <c:pt idx="13">
                  <c:v>10:30</c:v>
                </c:pt>
                <c:pt idx="14">
                  <c:v>10:45</c:v>
                </c:pt>
                <c:pt idx="15">
                  <c:v>11:30</c:v>
                </c:pt>
                <c:pt idx="16">
                  <c:v>11:45</c:v>
                </c:pt>
                <c:pt idx="17">
                  <c:v>12:00</c:v>
                </c:pt>
                <c:pt idx="18">
                  <c:v>12:15</c:v>
                </c:pt>
                <c:pt idx="19">
                  <c:v>12:20</c:v>
                </c:pt>
                <c:pt idx="20">
                  <c:v>12:30</c:v>
                </c:pt>
                <c:pt idx="21">
                  <c:v>13:15</c:v>
                </c:pt>
                <c:pt idx="22">
                  <c:v>13:30</c:v>
                </c:pt>
                <c:pt idx="23">
                  <c:v>13:45</c:v>
                </c:pt>
                <c:pt idx="24">
                  <c:v>14:00</c:v>
                </c:pt>
                <c:pt idx="25">
                  <c:v>14:15</c:v>
                </c:pt>
                <c:pt idx="26">
                  <c:v>14:20</c:v>
                </c:pt>
                <c:pt idx="27">
                  <c:v>14:30</c:v>
                </c:pt>
                <c:pt idx="28">
                  <c:v>14:45</c:v>
                </c:pt>
                <c:pt idx="29">
                  <c:v>14:50</c:v>
                </c:pt>
                <c:pt idx="30">
                  <c:v>15:00</c:v>
                </c:pt>
                <c:pt idx="31">
                  <c:v>15:15</c:v>
                </c:pt>
                <c:pt idx="32">
                  <c:v>15:45</c:v>
                </c:pt>
                <c:pt idx="33">
                  <c:v>16:00</c:v>
                </c:pt>
                <c:pt idx="34">
                  <c:v>16:20</c:v>
                </c:pt>
                <c:pt idx="35">
                  <c:v>16:40</c:v>
                </c:pt>
                <c:pt idx="36">
                  <c:v>16:45</c:v>
                </c:pt>
                <c:pt idx="37">
                  <c:v>16:50</c:v>
                </c:pt>
                <c:pt idx="38">
                  <c:v>17:00</c:v>
                </c:pt>
                <c:pt idx="39">
                  <c:v>17:30</c:v>
                </c:pt>
                <c:pt idx="40">
                  <c:v>17:40</c:v>
                </c:pt>
                <c:pt idx="41">
                  <c:v>18:00</c:v>
                </c:pt>
                <c:pt idx="42">
                  <c:v>18:10</c:v>
                </c:pt>
                <c:pt idx="43">
                  <c:v>18:20</c:v>
                </c:pt>
                <c:pt idx="44">
                  <c:v>18:30</c:v>
                </c:pt>
                <c:pt idx="45">
                  <c:v>18:45</c:v>
                </c:pt>
                <c:pt idx="46">
                  <c:v>19:00</c:v>
                </c:pt>
                <c:pt idx="47">
                  <c:v>19:30</c:v>
                </c:pt>
                <c:pt idx="48">
                  <c:v>19:45</c:v>
                </c:pt>
                <c:pt idx="49">
                  <c:v>20:00</c:v>
                </c:pt>
                <c:pt idx="50">
                  <c:v>20:15</c:v>
                </c:pt>
                <c:pt idx="51">
                  <c:v>20:30</c:v>
                </c:pt>
                <c:pt idx="52">
                  <c:v>20:45</c:v>
                </c:pt>
                <c:pt idx="53">
                  <c:v>21:00</c:v>
                </c:pt>
                <c:pt idx="54">
                  <c:v>21:15</c:v>
                </c:pt>
                <c:pt idx="55">
                  <c:v>21:20</c:v>
                </c:pt>
                <c:pt idx="56">
                  <c:v>21:45</c:v>
                </c:pt>
                <c:pt idx="57">
                  <c:v>22:00</c:v>
                </c:pt>
                <c:pt idx="58">
                  <c:v>22:15</c:v>
                </c:pt>
                <c:pt idx="59">
                  <c:v>23:00</c:v>
                </c:pt>
                <c:pt idx="60">
                  <c:v>23:30</c:v>
                </c:pt>
              </c:strCache>
            </c:strRef>
          </c:cat>
          <c:val>
            <c:numRef>
              <c:f>PivotTables!$AJ$82:$AJ$143</c:f>
              <c:numCache>
                <c:formatCode>General</c:formatCode>
                <c:ptCount val="61"/>
                <c:pt idx="2">
                  <c:v>67</c:v>
                </c:pt>
                <c:pt idx="8">
                  <c:v>30</c:v>
                </c:pt>
                <c:pt idx="9">
                  <c:v>30</c:v>
                </c:pt>
                <c:pt idx="12">
                  <c:v>42</c:v>
                </c:pt>
                <c:pt idx="18">
                  <c:v>42</c:v>
                </c:pt>
                <c:pt idx="19">
                  <c:v>75</c:v>
                </c:pt>
                <c:pt idx="25">
                  <c:v>59</c:v>
                </c:pt>
                <c:pt idx="26">
                  <c:v>193</c:v>
                </c:pt>
                <c:pt idx="27">
                  <c:v>67</c:v>
                </c:pt>
                <c:pt idx="29">
                  <c:v>120</c:v>
                </c:pt>
                <c:pt idx="31">
                  <c:v>41</c:v>
                </c:pt>
                <c:pt idx="33">
                  <c:v>37</c:v>
                </c:pt>
                <c:pt idx="36">
                  <c:v>125</c:v>
                </c:pt>
                <c:pt idx="39">
                  <c:v>57</c:v>
                </c:pt>
                <c:pt idx="40">
                  <c:v>67</c:v>
                </c:pt>
                <c:pt idx="41">
                  <c:v>45</c:v>
                </c:pt>
                <c:pt idx="43">
                  <c:v>208</c:v>
                </c:pt>
                <c:pt idx="44">
                  <c:v>67</c:v>
                </c:pt>
                <c:pt idx="46">
                  <c:v>67</c:v>
                </c:pt>
                <c:pt idx="47">
                  <c:v>210</c:v>
                </c:pt>
                <c:pt idx="48">
                  <c:v>218</c:v>
                </c:pt>
                <c:pt idx="51">
                  <c:v>166</c:v>
                </c:pt>
                <c:pt idx="52">
                  <c:v>204</c:v>
                </c:pt>
                <c:pt idx="53">
                  <c:v>39</c:v>
                </c:pt>
                <c:pt idx="55">
                  <c:v>30</c:v>
                </c:pt>
                <c:pt idx="57">
                  <c:v>62</c:v>
                </c:pt>
                <c:pt idx="58">
                  <c:v>53</c:v>
                </c:pt>
              </c:numCache>
            </c:numRef>
          </c:val>
          <c:extLst>
            <c:ext xmlns:c16="http://schemas.microsoft.com/office/drawing/2014/chart" uri="{C3380CC4-5D6E-409C-BE32-E72D297353CC}">
              <c16:uniqueId val="{00000000-72F4-A942-99A1-CDC1C7332581}"/>
            </c:ext>
          </c:extLst>
        </c:ser>
        <c:ser>
          <c:idx val="1"/>
          <c:order val="1"/>
          <c:tx>
            <c:strRef>
              <c:f>PivotTables!$AK$80:$AK$81</c:f>
              <c:strCache>
                <c:ptCount val="1"/>
                <c:pt idx="0">
                  <c:v>Instagram</c:v>
                </c:pt>
              </c:strCache>
            </c:strRef>
          </c:tx>
          <c:spPr>
            <a:gradFill flip="none" rotWithShape="1">
              <a:gsLst>
                <a:gs pos="0">
                  <a:schemeClr val="tx2">
                    <a:lumMod val="10000"/>
                    <a:lumOff val="90000"/>
                  </a:schemeClr>
                </a:gs>
                <a:gs pos="38000">
                  <a:schemeClr val="accent1">
                    <a:lumMod val="20000"/>
                    <a:lumOff val="80000"/>
                  </a:schemeClr>
                </a:gs>
                <a:gs pos="17000">
                  <a:srgbClr val="87CFEA"/>
                </a:gs>
                <a:gs pos="100000">
                  <a:schemeClr val="accent4">
                    <a:lumMod val="100000"/>
                  </a:schemeClr>
                </a:gs>
              </a:gsLst>
              <a:path path="circle">
                <a:fillToRect l="50000" t="-80000" r="50000" b="180000"/>
              </a:path>
              <a:tileRect/>
            </a:gradFill>
            <a:ln>
              <a:noFill/>
            </a:ln>
            <a:effectLst/>
          </c:spPr>
          <c:cat>
            <c:strRef>
              <c:f>PivotTables!$AI$82:$AI$143</c:f>
              <c:strCache>
                <c:ptCount val="61"/>
                <c:pt idx="0">
                  <c:v>00:05</c:v>
                </c:pt>
                <c:pt idx="1">
                  <c:v>06:15</c:v>
                </c:pt>
                <c:pt idx="2">
                  <c:v>08:00</c:v>
                </c:pt>
                <c:pt idx="3">
                  <c:v>08:20</c:v>
                </c:pt>
                <c:pt idx="4">
                  <c:v>08:30</c:v>
                </c:pt>
                <c:pt idx="5">
                  <c:v>08:45</c:v>
                </c:pt>
                <c:pt idx="6">
                  <c:v>09:00</c:v>
                </c:pt>
                <c:pt idx="7">
                  <c:v>09:15</c:v>
                </c:pt>
                <c:pt idx="8">
                  <c:v>09:30</c:v>
                </c:pt>
                <c:pt idx="9">
                  <c:v>09:45</c:v>
                </c:pt>
                <c:pt idx="10">
                  <c:v>10:00</c:v>
                </c:pt>
                <c:pt idx="11">
                  <c:v>10:05</c:v>
                </c:pt>
                <c:pt idx="12">
                  <c:v>10:20</c:v>
                </c:pt>
                <c:pt idx="13">
                  <c:v>10:30</c:v>
                </c:pt>
                <c:pt idx="14">
                  <c:v>10:45</c:v>
                </c:pt>
                <c:pt idx="15">
                  <c:v>11:30</c:v>
                </c:pt>
                <c:pt idx="16">
                  <c:v>11:45</c:v>
                </c:pt>
                <c:pt idx="17">
                  <c:v>12:00</c:v>
                </c:pt>
                <c:pt idx="18">
                  <c:v>12:15</c:v>
                </c:pt>
                <c:pt idx="19">
                  <c:v>12:20</c:v>
                </c:pt>
                <c:pt idx="20">
                  <c:v>12:30</c:v>
                </c:pt>
                <c:pt idx="21">
                  <c:v>13:15</c:v>
                </c:pt>
                <c:pt idx="22">
                  <c:v>13:30</c:v>
                </c:pt>
                <c:pt idx="23">
                  <c:v>13:45</c:v>
                </c:pt>
                <c:pt idx="24">
                  <c:v>14:00</c:v>
                </c:pt>
                <c:pt idx="25">
                  <c:v>14:15</c:v>
                </c:pt>
                <c:pt idx="26">
                  <c:v>14:20</c:v>
                </c:pt>
                <c:pt idx="27">
                  <c:v>14:30</c:v>
                </c:pt>
                <c:pt idx="28">
                  <c:v>14:45</c:v>
                </c:pt>
                <c:pt idx="29">
                  <c:v>14:50</c:v>
                </c:pt>
                <c:pt idx="30">
                  <c:v>15:00</c:v>
                </c:pt>
                <c:pt idx="31">
                  <c:v>15:15</c:v>
                </c:pt>
                <c:pt idx="32">
                  <c:v>15:45</c:v>
                </c:pt>
                <c:pt idx="33">
                  <c:v>16:00</c:v>
                </c:pt>
                <c:pt idx="34">
                  <c:v>16:20</c:v>
                </c:pt>
                <c:pt idx="35">
                  <c:v>16:40</c:v>
                </c:pt>
                <c:pt idx="36">
                  <c:v>16:45</c:v>
                </c:pt>
                <c:pt idx="37">
                  <c:v>16:50</c:v>
                </c:pt>
                <c:pt idx="38">
                  <c:v>17:00</c:v>
                </c:pt>
                <c:pt idx="39">
                  <c:v>17:30</c:v>
                </c:pt>
                <c:pt idx="40">
                  <c:v>17:40</c:v>
                </c:pt>
                <c:pt idx="41">
                  <c:v>18:00</c:v>
                </c:pt>
                <c:pt idx="42">
                  <c:v>18:10</c:v>
                </c:pt>
                <c:pt idx="43">
                  <c:v>18:20</c:v>
                </c:pt>
                <c:pt idx="44">
                  <c:v>18:30</c:v>
                </c:pt>
                <c:pt idx="45">
                  <c:v>18:45</c:v>
                </c:pt>
                <c:pt idx="46">
                  <c:v>19:00</c:v>
                </c:pt>
                <c:pt idx="47">
                  <c:v>19:30</c:v>
                </c:pt>
                <c:pt idx="48">
                  <c:v>19:45</c:v>
                </c:pt>
                <c:pt idx="49">
                  <c:v>20:00</c:v>
                </c:pt>
                <c:pt idx="50">
                  <c:v>20:15</c:v>
                </c:pt>
                <c:pt idx="51">
                  <c:v>20:30</c:v>
                </c:pt>
                <c:pt idx="52">
                  <c:v>20:45</c:v>
                </c:pt>
                <c:pt idx="53">
                  <c:v>21:00</c:v>
                </c:pt>
                <c:pt idx="54">
                  <c:v>21:15</c:v>
                </c:pt>
                <c:pt idx="55">
                  <c:v>21:20</c:v>
                </c:pt>
                <c:pt idx="56">
                  <c:v>21:45</c:v>
                </c:pt>
                <c:pt idx="57">
                  <c:v>22:00</c:v>
                </c:pt>
                <c:pt idx="58">
                  <c:v>22:15</c:v>
                </c:pt>
                <c:pt idx="59">
                  <c:v>23:00</c:v>
                </c:pt>
                <c:pt idx="60">
                  <c:v>23:30</c:v>
                </c:pt>
              </c:strCache>
            </c:strRef>
          </c:cat>
          <c:val>
            <c:numRef>
              <c:f>PivotTables!$AK$82:$AK$143</c:f>
              <c:numCache>
                <c:formatCode>General</c:formatCode>
                <c:ptCount val="61"/>
                <c:pt idx="1">
                  <c:v>84</c:v>
                </c:pt>
                <c:pt idx="5">
                  <c:v>67</c:v>
                </c:pt>
                <c:pt idx="6">
                  <c:v>37</c:v>
                </c:pt>
                <c:pt idx="9">
                  <c:v>75</c:v>
                </c:pt>
                <c:pt idx="10">
                  <c:v>218</c:v>
                </c:pt>
                <c:pt idx="13">
                  <c:v>37</c:v>
                </c:pt>
                <c:pt idx="15">
                  <c:v>60</c:v>
                </c:pt>
                <c:pt idx="17">
                  <c:v>45</c:v>
                </c:pt>
                <c:pt idx="20">
                  <c:v>59</c:v>
                </c:pt>
                <c:pt idx="24">
                  <c:v>90</c:v>
                </c:pt>
                <c:pt idx="25">
                  <c:v>119</c:v>
                </c:pt>
                <c:pt idx="26">
                  <c:v>422</c:v>
                </c:pt>
                <c:pt idx="27">
                  <c:v>83</c:v>
                </c:pt>
                <c:pt idx="28">
                  <c:v>97</c:v>
                </c:pt>
                <c:pt idx="30">
                  <c:v>53</c:v>
                </c:pt>
                <c:pt idx="32">
                  <c:v>116</c:v>
                </c:pt>
                <c:pt idx="33">
                  <c:v>195</c:v>
                </c:pt>
                <c:pt idx="34">
                  <c:v>98</c:v>
                </c:pt>
                <c:pt idx="36">
                  <c:v>53</c:v>
                </c:pt>
                <c:pt idx="39">
                  <c:v>53</c:v>
                </c:pt>
                <c:pt idx="43">
                  <c:v>121</c:v>
                </c:pt>
                <c:pt idx="45">
                  <c:v>83</c:v>
                </c:pt>
                <c:pt idx="46">
                  <c:v>90</c:v>
                </c:pt>
                <c:pt idx="47">
                  <c:v>67</c:v>
                </c:pt>
                <c:pt idx="48">
                  <c:v>268</c:v>
                </c:pt>
                <c:pt idx="49">
                  <c:v>210</c:v>
                </c:pt>
                <c:pt idx="52">
                  <c:v>354</c:v>
                </c:pt>
                <c:pt idx="56">
                  <c:v>45</c:v>
                </c:pt>
                <c:pt idx="58">
                  <c:v>172</c:v>
                </c:pt>
              </c:numCache>
            </c:numRef>
          </c:val>
          <c:extLst>
            <c:ext xmlns:c16="http://schemas.microsoft.com/office/drawing/2014/chart" uri="{C3380CC4-5D6E-409C-BE32-E72D297353CC}">
              <c16:uniqueId val="{00000001-72F4-A942-99A1-CDC1C7332581}"/>
            </c:ext>
          </c:extLst>
        </c:ser>
        <c:ser>
          <c:idx val="2"/>
          <c:order val="2"/>
          <c:tx>
            <c:strRef>
              <c:f>PivotTables!$AL$80:$AL$81</c:f>
              <c:strCache>
                <c:ptCount val="1"/>
                <c:pt idx="0">
                  <c:v>Twitter</c:v>
                </c:pt>
              </c:strCache>
            </c:strRef>
          </c:tx>
          <c:spPr>
            <a:gradFill flip="none" rotWithShape="1">
              <a:gsLst>
                <a:gs pos="0">
                  <a:schemeClr val="accent6">
                    <a:lumMod val="40000"/>
                    <a:lumOff val="60000"/>
                  </a:schemeClr>
                </a:gs>
                <a:gs pos="45000">
                  <a:schemeClr val="accent3">
                    <a:lumMod val="20000"/>
                    <a:lumOff val="80000"/>
                  </a:schemeClr>
                </a:gs>
                <a:gs pos="63000">
                  <a:schemeClr val="accent6">
                    <a:lumMod val="20000"/>
                    <a:lumOff val="80000"/>
                  </a:schemeClr>
                </a:gs>
                <a:gs pos="94000">
                  <a:schemeClr val="accent3">
                    <a:lumMod val="60000"/>
                    <a:lumOff val="40000"/>
                  </a:schemeClr>
                </a:gs>
              </a:gsLst>
              <a:lin ang="5400000" scaled="1"/>
              <a:tileRect/>
            </a:gradFill>
            <a:ln>
              <a:noFill/>
            </a:ln>
            <a:effectLst/>
          </c:spPr>
          <c:cat>
            <c:strRef>
              <c:f>PivotTables!$AI$82:$AI$143</c:f>
              <c:strCache>
                <c:ptCount val="61"/>
                <c:pt idx="0">
                  <c:v>00:05</c:v>
                </c:pt>
                <c:pt idx="1">
                  <c:v>06:15</c:v>
                </c:pt>
                <c:pt idx="2">
                  <c:v>08:00</c:v>
                </c:pt>
                <c:pt idx="3">
                  <c:v>08:20</c:v>
                </c:pt>
                <c:pt idx="4">
                  <c:v>08:30</c:v>
                </c:pt>
                <c:pt idx="5">
                  <c:v>08:45</c:v>
                </c:pt>
                <c:pt idx="6">
                  <c:v>09:00</c:v>
                </c:pt>
                <c:pt idx="7">
                  <c:v>09:15</c:v>
                </c:pt>
                <c:pt idx="8">
                  <c:v>09:30</c:v>
                </c:pt>
                <c:pt idx="9">
                  <c:v>09:45</c:v>
                </c:pt>
                <c:pt idx="10">
                  <c:v>10:00</c:v>
                </c:pt>
                <c:pt idx="11">
                  <c:v>10:05</c:v>
                </c:pt>
                <c:pt idx="12">
                  <c:v>10:20</c:v>
                </c:pt>
                <c:pt idx="13">
                  <c:v>10:30</c:v>
                </c:pt>
                <c:pt idx="14">
                  <c:v>10:45</c:v>
                </c:pt>
                <c:pt idx="15">
                  <c:v>11:30</c:v>
                </c:pt>
                <c:pt idx="16">
                  <c:v>11:45</c:v>
                </c:pt>
                <c:pt idx="17">
                  <c:v>12:00</c:v>
                </c:pt>
                <c:pt idx="18">
                  <c:v>12:15</c:v>
                </c:pt>
                <c:pt idx="19">
                  <c:v>12:20</c:v>
                </c:pt>
                <c:pt idx="20">
                  <c:v>12:30</c:v>
                </c:pt>
                <c:pt idx="21">
                  <c:v>13:15</c:v>
                </c:pt>
                <c:pt idx="22">
                  <c:v>13:30</c:v>
                </c:pt>
                <c:pt idx="23">
                  <c:v>13:45</c:v>
                </c:pt>
                <c:pt idx="24">
                  <c:v>14:00</c:v>
                </c:pt>
                <c:pt idx="25">
                  <c:v>14:15</c:v>
                </c:pt>
                <c:pt idx="26">
                  <c:v>14:20</c:v>
                </c:pt>
                <c:pt idx="27">
                  <c:v>14:30</c:v>
                </c:pt>
                <c:pt idx="28">
                  <c:v>14:45</c:v>
                </c:pt>
                <c:pt idx="29">
                  <c:v>14:50</c:v>
                </c:pt>
                <c:pt idx="30">
                  <c:v>15:00</c:v>
                </c:pt>
                <c:pt idx="31">
                  <c:v>15:15</c:v>
                </c:pt>
                <c:pt idx="32">
                  <c:v>15:45</c:v>
                </c:pt>
                <c:pt idx="33">
                  <c:v>16:00</c:v>
                </c:pt>
                <c:pt idx="34">
                  <c:v>16:20</c:v>
                </c:pt>
                <c:pt idx="35">
                  <c:v>16:40</c:v>
                </c:pt>
                <c:pt idx="36">
                  <c:v>16:45</c:v>
                </c:pt>
                <c:pt idx="37">
                  <c:v>16:50</c:v>
                </c:pt>
                <c:pt idx="38">
                  <c:v>17:00</c:v>
                </c:pt>
                <c:pt idx="39">
                  <c:v>17:30</c:v>
                </c:pt>
                <c:pt idx="40">
                  <c:v>17:40</c:v>
                </c:pt>
                <c:pt idx="41">
                  <c:v>18:00</c:v>
                </c:pt>
                <c:pt idx="42">
                  <c:v>18:10</c:v>
                </c:pt>
                <c:pt idx="43">
                  <c:v>18:20</c:v>
                </c:pt>
                <c:pt idx="44">
                  <c:v>18:30</c:v>
                </c:pt>
                <c:pt idx="45">
                  <c:v>18:45</c:v>
                </c:pt>
                <c:pt idx="46">
                  <c:v>19:00</c:v>
                </c:pt>
                <c:pt idx="47">
                  <c:v>19:30</c:v>
                </c:pt>
                <c:pt idx="48">
                  <c:v>19:45</c:v>
                </c:pt>
                <c:pt idx="49">
                  <c:v>20:00</c:v>
                </c:pt>
                <c:pt idx="50">
                  <c:v>20:15</c:v>
                </c:pt>
                <c:pt idx="51">
                  <c:v>20:30</c:v>
                </c:pt>
                <c:pt idx="52">
                  <c:v>20:45</c:v>
                </c:pt>
                <c:pt idx="53">
                  <c:v>21:00</c:v>
                </c:pt>
                <c:pt idx="54">
                  <c:v>21:15</c:v>
                </c:pt>
                <c:pt idx="55">
                  <c:v>21:20</c:v>
                </c:pt>
                <c:pt idx="56">
                  <c:v>21:45</c:v>
                </c:pt>
                <c:pt idx="57">
                  <c:v>22:00</c:v>
                </c:pt>
                <c:pt idx="58">
                  <c:v>22:15</c:v>
                </c:pt>
                <c:pt idx="59">
                  <c:v>23:00</c:v>
                </c:pt>
                <c:pt idx="60">
                  <c:v>23:30</c:v>
                </c:pt>
              </c:strCache>
            </c:strRef>
          </c:cat>
          <c:val>
            <c:numRef>
              <c:f>PivotTables!$AL$82:$AL$143</c:f>
              <c:numCache>
                <c:formatCode>General</c:formatCode>
                <c:ptCount val="61"/>
                <c:pt idx="0">
                  <c:v>53</c:v>
                </c:pt>
                <c:pt idx="3">
                  <c:v>45</c:v>
                </c:pt>
                <c:pt idx="4">
                  <c:v>45</c:v>
                </c:pt>
                <c:pt idx="7">
                  <c:v>60</c:v>
                </c:pt>
                <c:pt idx="11">
                  <c:v>132</c:v>
                </c:pt>
                <c:pt idx="13">
                  <c:v>45</c:v>
                </c:pt>
                <c:pt idx="14">
                  <c:v>134</c:v>
                </c:pt>
                <c:pt idx="15">
                  <c:v>83</c:v>
                </c:pt>
                <c:pt idx="16">
                  <c:v>45</c:v>
                </c:pt>
                <c:pt idx="17">
                  <c:v>45</c:v>
                </c:pt>
                <c:pt idx="18">
                  <c:v>90</c:v>
                </c:pt>
                <c:pt idx="21">
                  <c:v>42</c:v>
                </c:pt>
                <c:pt idx="22">
                  <c:v>60</c:v>
                </c:pt>
                <c:pt idx="23">
                  <c:v>83</c:v>
                </c:pt>
                <c:pt idx="24">
                  <c:v>42</c:v>
                </c:pt>
                <c:pt idx="26">
                  <c:v>150</c:v>
                </c:pt>
                <c:pt idx="27">
                  <c:v>33</c:v>
                </c:pt>
                <c:pt idx="28">
                  <c:v>183</c:v>
                </c:pt>
                <c:pt idx="30">
                  <c:v>53</c:v>
                </c:pt>
                <c:pt idx="35">
                  <c:v>53</c:v>
                </c:pt>
                <c:pt idx="37">
                  <c:v>45</c:v>
                </c:pt>
                <c:pt idx="38">
                  <c:v>27</c:v>
                </c:pt>
                <c:pt idx="41">
                  <c:v>83</c:v>
                </c:pt>
                <c:pt idx="42">
                  <c:v>45</c:v>
                </c:pt>
                <c:pt idx="43">
                  <c:v>159</c:v>
                </c:pt>
                <c:pt idx="46">
                  <c:v>106</c:v>
                </c:pt>
                <c:pt idx="47">
                  <c:v>83</c:v>
                </c:pt>
                <c:pt idx="48">
                  <c:v>135</c:v>
                </c:pt>
                <c:pt idx="50">
                  <c:v>202</c:v>
                </c:pt>
                <c:pt idx="54">
                  <c:v>67</c:v>
                </c:pt>
                <c:pt idx="57">
                  <c:v>67</c:v>
                </c:pt>
                <c:pt idx="58">
                  <c:v>106</c:v>
                </c:pt>
                <c:pt idx="59">
                  <c:v>39</c:v>
                </c:pt>
                <c:pt idx="60">
                  <c:v>226</c:v>
                </c:pt>
              </c:numCache>
            </c:numRef>
          </c:val>
          <c:extLst>
            <c:ext xmlns:c16="http://schemas.microsoft.com/office/drawing/2014/chart" uri="{C3380CC4-5D6E-409C-BE32-E72D297353CC}">
              <c16:uniqueId val="{00000002-72F4-A942-99A1-CDC1C7332581}"/>
            </c:ext>
          </c:extLst>
        </c:ser>
        <c:dLbls>
          <c:showLegendKey val="0"/>
          <c:showVal val="0"/>
          <c:showCatName val="0"/>
          <c:showSerName val="0"/>
          <c:showPercent val="0"/>
          <c:showBubbleSize val="0"/>
        </c:dLbls>
        <c:axId val="1810229231"/>
        <c:axId val="1810230943"/>
      </c:areaChart>
      <c:catAx>
        <c:axId val="1810229231"/>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r>
                  <a:rPr lang="en-GB" sz="1600" b="1">
                    <a:solidFill>
                      <a:schemeClr val="accent1"/>
                    </a:solidFill>
                  </a:rPr>
                  <a:t>Hours of The</a:t>
                </a:r>
                <a:r>
                  <a:rPr lang="en-GB" sz="1600" b="1" baseline="0">
                    <a:solidFill>
                      <a:schemeClr val="accent1"/>
                    </a:solidFill>
                  </a:rPr>
                  <a:t> Day</a:t>
                </a:r>
                <a:endParaRPr lang="en-GB" sz="1600" b="1">
                  <a:solidFill>
                    <a:schemeClr val="accent1"/>
                  </a:solidFill>
                </a:endParaRPr>
              </a:p>
            </c:rich>
          </c:tx>
          <c:layout>
            <c:manualLayout>
              <c:xMode val="edge"/>
              <c:yMode val="edge"/>
              <c:x val="0.46828145789255565"/>
              <c:y val="0.9309922149247756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endParaRPr lang="en-US"/>
            </a:p>
          </c:txPr>
        </c:title>
        <c:numFmt formatCode="@"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solidFill>
                <a:latin typeface="+mn-lt"/>
                <a:ea typeface="+mn-ea"/>
                <a:cs typeface="+mn-cs"/>
              </a:defRPr>
            </a:pPr>
            <a:endParaRPr lang="en-US"/>
          </a:p>
        </c:txPr>
        <c:crossAx val="1810230943"/>
        <c:crosses val="autoZero"/>
        <c:auto val="0"/>
        <c:lblAlgn val="ctr"/>
        <c:lblOffset val="100"/>
        <c:tickLblSkip val="4"/>
        <c:tickMarkSkip val="1"/>
        <c:noMultiLvlLbl val="0"/>
      </c:catAx>
      <c:valAx>
        <c:axId val="1810230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accent1"/>
                    </a:solidFill>
                    <a:latin typeface="+mn-lt"/>
                    <a:ea typeface="+mn-ea"/>
                    <a:cs typeface="+mn-cs"/>
                  </a:defRPr>
                </a:pPr>
                <a:r>
                  <a:rPr lang="en-GB" sz="2000" b="1">
                    <a:solidFill>
                      <a:schemeClr val="accent1"/>
                    </a:solidFill>
                  </a:rPr>
                  <a:t>Interactions in Thousands</a:t>
                </a:r>
              </a:p>
            </c:rich>
          </c:tx>
          <c:layout>
            <c:manualLayout>
              <c:xMode val="edge"/>
              <c:yMode val="edge"/>
              <c:x val="3.1729145385673889E-2"/>
              <c:y val="0.30418694284876313"/>
            </c:manualLayout>
          </c:layout>
          <c:overlay val="0"/>
          <c:spPr>
            <a:noFill/>
            <a:ln>
              <a:noFill/>
            </a:ln>
            <a:effectLst/>
          </c:spPr>
          <c:txPr>
            <a:bodyPr rot="-5400000" spcFirstLastPara="1" vertOverflow="ellipsis" vert="horz" wrap="square" anchor="ctr" anchorCtr="1"/>
            <a:lstStyle/>
            <a:p>
              <a:pPr>
                <a:defRPr sz="2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1400" b="1" i="0" u="none" strike="noStrike" kern="1200" baseline="0">
                <a:solidFill>
                  <a:schemeClr val="accent1"/>
                </a:solidFill>
                <a:latin typeface="+mn-lt"/>
                <a:ea typeface="+mn-ea"/>
                <a:cs typeface="+mn-cs"/>
              </a:defRPr>
            </a:pPr>
            <a:endParaRPr lang="en-US"/>
          </a:p>
        </c:txPr>
        <c:crossAx val="1810229231"/>
        <c:crosses val="autoZero"/>
        <c:crossBetween val="between"/>
        <c:dispUnits>
          <c:builtInUnit val="hundreds"/>
        </c:dispUnits>
      </c:valAx>
      <c:spPr>
        <a:noFill/>
        <a:ln>
          <a:noFill/>
        </a:ln>
        <a:effectLst/>
      </c:spPr>
    </c:plotArea>
    <c:legend>
      <c:legendPos val="r"/>
      <c:layout>
        <c:manualLayout>
          <c:xMode val="edge"/>
          <c:yMode val="edge"/>
          <c:x val="0.61532302279026396"/>
          <c:y val="9.7193768259537225E-2"/>
          <c:w val="0.35642402280853841"/>
          <c:h val="0.1336172255240979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1"/>
              </a:solidFill>
              <a:latin typeface="+mn-lt"/>
              <a:ea typeface="+mn-ea"/>
              <a:cs typeface="+mn-cs"/>
            </a:defRPr>
          </a:pPr>
          <a:endParaRPr lang="en-US"/>
        </a:p>
      </c:txPr>
    </c:legend>
    <c:plotVisOnly val="1"/>
    <c:dispBlanksAs val="zero"/>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[SM_Sentiments.xlsx]PivotTables!PivotTable7</c:name>
    <c:fmtId val="14"/>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GB" sz="2400" b="1">
                <a:solidFill>
                  <a:schemeClr val="accent1"/>
                </a:solidFill>
              </a:rPr>
              <a:t>Social</a:t>
            </a:r>
            <a:r>
              <a:rPr lang="en-GB" sz="2400" b="1" baseline="0">
                <a:solidFill>
                  <a:schemeClr val="accent1"/>
                </a:solidFill>
              </a:rPr>
              <a:t> Media Engagement and </a:t>
            </a:r>
            <a:r>
              <a:rPr lang="en-GB" sz="2400" b="1">
                <a:solidFill>
                  <a:schemeClr val="accent1"/>
                </a:solidFill>
              </a:rPr>
              <a:t>Prevailing</a:t>
            </a:r>
            <a:r>
              <a:rPr lang="en-GB" sz="2400" b="1" baseline="0">
                <a:solidFill>
                  <a:schemeClr val="accent1"/>
                </a:solidFill>
              </a:rPr>
              <a:t> Sentiment Throughout The Day Globally</a:t>
            </a:r>
            <a:endParaRPr lang="en-GB" sz="2400" b="1">
              <a:solidFill>
                <a:schemeClr val="accent1"/>
              </a:solidFill>
            </a:endParaRPr>
          </a:p>
        </c:rich>
      </c:tx>
      <c:layout>
        <c:manualLayout>
          <c:xMode val="edge"/>
          <c:yMode val="edge"/>
          <c:x val="0.14242647035902795"/>
          <c:y val="4.2753031530781554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lin ang="2700000" scaled="1"/>
            <a:tileRect/>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lumMod val="40000"/>
                  <a:lumOff val="60000"/>
                </a:schemeClr>
              </a:gs>
              <a:gs pos="45000">
                <a:schemeClr val="accent3">
                  <a:lumMod val="20000"/>
                  <a:lumOff val="80000"/>
                </a:schemeClr>
              </a:gs>
              <a:gs pos="63000">
                <a:schemeClr val="accent6">
                  <a:lumMod val="20000"/>
                  <a:lumOff val="80000"/>
                </a:schemeClr>
              </a:gs>
              <a:gs pos="94000">
                <a:schemeClr val="accent3">
                  <a:lumMod val="60000"/>
                  <a:lumOff val="40000"/>
                </a:schemeClr>
              </a:gs>
            </a:gsLst>
            <a:lin ang="5400000" scaled="1"/>
            <a:tileRect/>
          </a:gradFill>
          <a:ln>
            <a:gradFill flip="none" rotWithShape="1">
              <a:gsLst>
                <a:gs pos="0">
                  <a:schemeClr val="bg2"/>
                </a:gs>
                <a:gs pos="23000">
                  <a:schemeClr val="accent6">
                    <a:lumMod val="89000"/>
                  </a:schemeClr>
                </a:gs>
                <a:gs pos="69000">
                  <a:schemeClr val="accent6">
                    <a:lumMod val="75000"/>
                  </a:schemeClr>
                </a:gs>
                <a:gs pos="97000">
                  <a:schemeClr val="accent6">
                    <a:lumMod val="70000"/>
                  </a:schemeClr>
                </a:gs>
              </a:gsLst>
              <a:path path="shape">
                <a:fillToRect l="50000" t="50000" r="50000" b="5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tx2">
                  <a:lumMod val="10000"/>
                  <a:lumOff val="90000"/>
                </a:schemeClr>
              </a:gs>
              <a:gs pos="38000">
                <a:schemeClr val="accent1">
                  <a:lumMod val="20000"/>
                  <a:lumOff val="80000"/>
                </a:schemeClr>
              </a:gs>
              <a:gs pos="17000">
                <a:srgbClr val="87CFEA"/>
              </a:gs>
              <a:gs pos="100000">
                <a:schemeClr val="accent4">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tx2">
                  <a:lumMod val="10000"/>
                  <a:lumOff val="90000"/>
                </a:schemeClr>
              </a:gs>
              <a:gs pos="38000">
                <a:schemeClr val="accent1">
                  <a:lumMod val="20000"/>
                  <a:lumOff val="80000"/>
                </a:schemeClr>
              </a:gs>
              <a:gs pos="17000">
                <a:srgbClr val="87CFEA"/>
              </a:gs>
              <a:gs pos="100000">
                <a:schemeClr val="accent4">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6">
                  <a:lumMod val="40000"/>
                  <a:lumOff val="60000"/>
                </a:schemeClr>
              </a:gs>
              <a:gs pos="45000">
                <a:schemeClr val="accent3">
                  <a:lumMod val="20000"/>
                  <a:lumOff val="80000"/>
                </a:schemeClr>
              </a:gs>
              <a:gs pos="63000">
                <a:schemeClr val="accent6">
                  <a:lumMod val="20000"/>
                  <a:lumOff val="80000"/>
                </a:schemeClr>
              </a:gs>
              <a:gs pos="94000">
                <a:schemeClr val="accent3">
                  <a:lumMod val="60000"/>
                  <a:lumOff val="40000"/>
                </a:schemeClr>
              </a:gs>
            </a:gsLst>
            <a:lin ang="5400000" scaled="1"/>
            <a:tileRect/>
          </a:gradFill>
          <a:ln>
            <a:gradFill flip="none" rotWithShape="1">
              <a:gsLst>
                <a:gs pos="0">
                  <a:schemeClr val="bg2"/>
                </a:gs>
                <a:gs pos="23000">
                  <a:schemeClr val="accent6">
                    <a:lumMod val="89000"/>
                  </a:schemeClr>
                </a:gs>
                <a:gs pos="69000">
                  <a:schemeClr val="accent6">
                    <a:lumMod val="75000"/>
                  </a:schemeClr>
                </a:gs>
                <a:gs pos="97000">
                  <a:schemeClr val="accent6">
                    <a:lumMod val="70000"/>
                  </a:schemeClr>
                </a:gs>
              </a:gsLst>
              <a:path path="shape">
                <a:fillToRect l="50000" t="50000" r="50000" b="5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tx2">
                  <a:lumMod val="10000"/>
                  <a:lumOff val="90000"/>
                </a:schemeClr>
              </a:gs>
              <a:gs pos="38000">
                <a:schemeClr val="accent1">
                  <a:lumMod val="20000"/>
                  <a:lumOff val="80000"/>
                </a:schemeClr>
              </a:gs>
              <a:gs pos="17000">
                <a:srgbClr val="87CFEA"/>
              </a:gs>
              <a:gs pos="100000">
                <a:schemeClr val="accent4">
                  <a:lumMod val="100000"/>
                </a:schemeClr>
              </a:gs>
            </a:gsLst>
            <a:path path="circle">
              <a:fillToRect l="50000" t="-80000" r="50000" b="180000"/>
            </a:path>
            <a:tileRect/>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6">
                  <a:lumMod val="40000"/>
                  <a:lumOff val="60000"/>
                </a:schemeClr>
              </a:gs>
              <a:gs pos="45000">
                <a:schemeClr val="accent3">
                  <a:lumMod val="20000"/>
                  <a:lumOff val="80000"/>
                </a:schemeClr>
              </a:gs>
              <a:gs pos="63000">
                <a:schemeClr val="accent6">
                  <a:lumMod val="20000"/>
                  <a:lumOff val="80000"/>
                </a:schemeClr>
              </a:gs>
              <a:gs pos="94000">
                <a:schemeClr val="accent3">
                  <a:lumMod val="60000"/>
                  <a:lumOff val="40000"/>
                </a:schemeClr>
              </a:gs>
            </a:gsLst>
            <a:lin ang="5400000" scaled="1"/>
            <a:tileRect/>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00796182385847E-2"/>
          <c:y val="0.2318786689163439"/>
          <c:w val="0.8763446995059373"/>
          <c:h val="0.64401171330429374"/>
        </c:manualLayout>
      </c:layout>
      <c:areaChart>
        <c:grouping val="stacked"/>
        <c:varyColors val="0"/>
        <c:ser>
          <c:idx val="0"/>
          <c:order val="0"/>
          <c:tx>
            <c:strRef>
              <c:f>PivotTables!$P$22:$P$23</c:f>
              <c:strCache>
                <c:ptCount val="1"/>
                <c:pt idx="0">
                  <c:v>Negative</c:v>
                </c:pt>
              </c:strCache>
            </c:strRef>
          </c:tx>
          <c:spPr>
            <a:solidFill>
              <a:schemeClr val="accent1"/>
            </a:solidFill>
            <a:ln w="25400">
              <a:noFill/>
            </a:ln>
            <a:effectLst/>
          </c:spPr>
          <c:cat>
            <c:strRef>
              <c:f>PivotTables!$O$24:$O$46</c:f>
              <c:strCache>
                <c:ptCount val="22"/>
                <c:pt idx="0">
                  <c:v>00</c:v>
                </c:pt>
                <c:pt idx="1">
                  <c:v>02</c:v>
                </c:pt>
                <c:pt idx="2">
                  <c:v>03</c:v>
                </c:pt>
                <c:pt idx="3">
                  <c:v>05</c:v>
                </c:pt>
                <c:pt idx="4">
                  <c:v>06</c:v>
                </c:pt>
                <c:pt idx="5">
                  <c:v>07</c:v>
                </c:pt>
                <c:pt idx="6">
                  <c:v>08</c:v>
                </c:pt>
                <c:pt idx="7">
                  <c:v>09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strCache>
            </c:strRef>
          </c:cat>
          <c:val>
            <c:numRef>
              <c:f>PivotTables!$P$24:$P$46</c:f>
              <c:numCache>
                <c:formatCode>General</c:formatCode>
                <c:ptCount val="22"/>
                <c:pt idx="1">
                  <c:v>54</c:v>
                </c:pt>
                <c:pt idx="2">
                  <c:v>162</c:v>
                </c:pt>
                <c:pt idx="6">
                  <c:v>180</c:v>
                </c:pt>
                <c:pt idx="7">
                  <c:v>373</c:v>
                </c:pt>
                <c:pt idx="8">
                  <c:v>285</c:v>
                </c:pt>
                <c:pt idx="9">
                  <c:v>509</c:v>
                </c:pt>
                <c:pt idx="10">
                  <c:v>379</c:v>
                </c:pt>
                <c:pt idx="11">
                  <c:v>319</c:v>
                </c:pt>
                <c:pt idx="12">
                  <c:v>1408</c:v>
                </c:pt>
                <c:pt idx="13">
                  <c:v>523</c:v>
                </c:pt>
                <c:pt idx="14">
                  <c:v>714</c:v>
                </c:pt>
                <c:pt idx="15">
                  <c:v>719</c:v>
                </c:pt>
                <c:pt idx="16">
                  <c:v>1018</c:v>
                </c:pt>
                <c:pt idx="17">
                  <c:v>673</c:v>
                </c:pt>
                <c:pt idx="18">
                  <c:v>618</c:v>
                </c:pt>
                <c:pt idx="19">
                  <c:v>808</c:v>
                </c:pt>
                <c:pt idx="20">
                  <c:v>725</c:v>
                </c:pt>
                <c:pt idx="21">
                  <c:v>92</c:v>
                </c:pt>
              </c:numCache>
            </c:numRef>
          </c:val>
          <c:extLst>
            <c:ext xmlns:c16="http://schemas.microsoft.com/office/drawing/2014/chart" uri="{C3380CC4-5D6E-409C-BE32-E72D297353CC}">
              <c16:uniqueId val="{00000000-0B54-4441-8986-2AA7A23D9777}"/>
            </c:ext>
          </c:extLst>
        </c:ser>
        <c:ser>
          <c:idx val="1"/>
          <c:order val="1"/>
          <c:tx>
            <c:strRef>
              <c:f>PivotTables!$Q$22:$Q$23</c:f>
              <c:strCache>
                <c:ptCount val="1"/>
                <c:pt idx="0">
                  <c:v>Neutral</c:v>
                </c:pt>
              </c:strCache>
            </c:strRef>
          </c:tx>
          <c:spPr>
            <a:gradFill flip="none" rotWithShape="1">
              <a:gsLst>
                <a:gs pos="0">
                  <a:schemeClr val="tx2">
                    <a:lumMod val="10000"/>
                    <a:lumOff val="90000"/>
                  </a:schemeClr>
                </a:gs>
                <a:gs pos="38000">
                  <a:schemeClr val="accent1">
                    <a:lumMod val="20000"/>
                    <a:lumOff val="80000"/>
                  </a:schemeClr>
                </a:gs>
                <a:gs pos="17000">
                  <a:srgbClr val="87CFEA"/>
                </a:gs>
                <a:gs pos="100000">
                  <a:schemeClr val="accent4">
                    <a:lumMod val="100000"/>
                  </a:schemeClr>
                </a:gs>
              </a:gsLst>
              <a:path path="circle">
                <a:fillToRect l="50000" t="-80000" r="50000" b="180000"/>
              </a:path>
              <a:tileRect/>
            </a:gradFill>
            <a:ln w="25400">
              <a:noFill/>
            </a:ln>
            <a:effectLst/>
          </c:spPr>
          <c:cat>
            <c:strRef>
              <c:f>PivotTables!$O$24:$O$46</c:f>
              <c:strCache>
                <c:ptCount val="22"/>
                <c:pt idx="0">
                  <c:v>00</c:v>
                </c:pt>
                <c:pt idx="1">
                  <c:v>02</c:v>
                </c:pt>
                <c:pt idx="2">
                  <c:v>03</c:v>
                </c:pt>
                <c:pt idx="3">
                  <c:v>05</c:v>
                </c:pt>
                <c:pt idx="4">
                  <c:v>06</c:v>
                </c:pt>
                <c:pt idx="5">
                  <c:v>07</c:v>
                </c:pt>
                <c:pt idx="6">
                  <c:v>08</c:v>
                </c:pt>
                <c:pt idx="7">
                  <c:v>09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strCache>
            </c:strRef>
          </c:cat>
          <c:val>
            <c:numRef>
              <c:f>PivotTables!$Q$24:$Q$46</c:f>
              <c:numCache>
                <c:formatCode>General</c:formatCode>
                <c:ptCount val="22"/>
                <c:pt idx="5">
                  <c:v>120</c:v>
                </c:pt>
                <c:pt idx="6">
                  <c:v>506</c:v>
                </c:pt>
                <c:pt idx="7">
                  <c:v>141</c:v>
                </c:pt>
                <c:pt idx="8">
                  <c:v>395</c:v>
                </c:pt>
                <c:pt idx="9">
                  <c:v>409</c:v>
                </c:pt>
                <c:pt idx="10">
                  <c:v>557</c:v>
                </c:pt>
                <c:pt idx="11">
                  <c:v>315</c:v>
                </c:pt>
                <c:pt idx="12">
                  <c:v>1077</c:v>
                </c:pt>
                <c:pt idx="13">
                  <c:v>312</c:v>
                </c:pt>
                <c:pt idx="14">
                  <c:v>389</c:v>
                </c:pt>
                <c:pt idx="15">
                  <c:v>619</c:v>
                </c:pt>
                <c:pt idx="16">
                  <c:v>665</c:v>
                </c:pt>
                <c:pt idx="17">
                  <c:v>599</c:v>
                </c:pt>
                <c:pt idx="18">
                  <c:v>545</c:v>
                </c:pt>
                <c:pt idx="19">
                  <c:v>434</c:v>
                </c:pt>
                <c:pt idx="20">
                  <c:v>510</c:v>
                </c:pt>
                <c:pt idx="21">
                  <c:v>83</c:v>
                </c:pt>
              </c:numCache>
            </c:numRef>
          </c:val>
          <c:extLst>
            <c:ext xmlns:c16="http://schemas.microsoft.com/office/drawing/2014/chart" uri="{C3380CC4-5D6E-409C-BE32-E72D297353CC}">
              <c16:uniqueId val="{00000003-0B54-4441-8986-2AA7A23D9777}"/>
            </c:ext>
          </c:extLst>
        </c:ser>
        <c:ser>
          <c:idx val="2"/>
          <c:order val="2"/>
          <c:tx>
            <c:strRef>
              <c:f>PivotTables!$R$22:$R$23</c:f>
              <c:strCache>
                <c:ptCount val="1"/>
                <c:pt idx="0">
                  <c:v>Positive</c:v>
                </c:pt>
              </c:strCache>
            </c:strRef>
          </c:tx>
          <c:spPr>
            <a:gradFill flip="none" rotWithShape="1">
              <a:gsLst>
                <a:gs pos="0">
                  <a:schemeClr val="accent6">
                    <a:lumMod val="40000"/>
                    <a:lumOff val="60000"/>
                  </a:schemeClr>
                </a:gs>
                <a:gs pos="45000">
                  <a:schemeClr val="accent3">
                    <a:lumMod val="20000"/>
                    <a:lumOff val="80000"/>
                  </a:schemeClr>
                </a:gs>
                <a:gs pos="63000">
                  <a:schemeClr val="accent6">
                    <a:lumMod val="20000"/>
                    <a:lumOff val="80000"/>
                  </a:schemeClr>
                </a:gs>
                <a:gs pos="94000">
                  <a:schemeClr val="accent3">
                    <a:lumMod val="60000"/>
                    <a:lumOff val="40000"/>
                  </a:schemeClr>
                </a:gs>
              </a:gsLst>
              <a:lin ang="5400000" scaled="1"/>
              <a:tileRect/>
            </a:gradFill>
            <a:ln w="25400">
              <a:noFill/>
            </a:ln>
            <a:effectLst/>
          </c:spPr>
          <c:cat>
            <c:strRef>
              <c:f>PivotTables!$O$24:$O$46</c:f>
              <c:strCache>
                <c:ptCount val="22"/>
                <c:pt idx="0">
                  <c:v>00</c:v>
                </c:pt>
                <c:pt idx="1">
                  <c:v>02</c:v>
                </c:pt>
                <c:pt idx="2">
                  <c:v>03</c:v>
                </c:pt>
                <c:pt idx="3">
                  <c:v>05</c:v>
                </c:pt>
                <c:pt idx="4">
                  <c:v>06</c:v>
                </c:pt>
                <c:pt idx="5">
                  <c:v>07</c:v>
                </c:pt>
                <c:pt idx="6">
                  <c:v>08</c:v>
                </c:pt>
                <c:pt idx="7">
                  <c:v>09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strCache>
            </c:strRef>
          </c:cat>
          <c:val>
            <c:numRef>
              <c:f>PivotTables!$R$24:$R$46</c:f>
              <c:numCache>
                <c:formatCode>General</c:formatCode>
                <c:ptCount val="22"/>
                <c:pt idx="0">
                  <c:v>53</c:v>
                </c:pt>
                <c:pt idx="3">
                  <c:v>83</c:v>
                </c:pt>
                <c:pt idx="4">
                  <c:v>209</c:v>
                </c:pt>
                <c:pt idx="5">
                  <c:v>313</c:v>
                </c:pt>
                <c:pt idx="6">
                  <c:v>725</c:v>
                </c:pt>
                <c:pt idx="7">
                  <c:v>1035</c:v>
                </c:pt>
                <c:pt idx="8">
                  <c:v>1205</c:v>
                </c:pt>
                <c:pt idx="9">
                  <c:v>1175</c:v>
                </c:pt>
                <c:pt idx="10">
                  <c:v>1409</c:v>
                </c:pt>
                <c:pt idx="11">
                  <c:v>1429</c:v>
                </c:pt>
                <c:pt idx="12">
                  <c:v>3387</c:v>
                </c:pt>
                <c:pt idx="13">
                  <c:v>2020</c:v>
                </c:pt>
                <c:pt idx="14">
                  <c:v>2958</c:v>
                </c:pt>
                <c:pt idx="15">
                  <c:v>1720</c:v>
                </c:pt>
                <c:pt idx="16">
                  <c:v>2704</c:v>
                </c:pt>
                <c:pt idx="17">
                  <c:v>3760</c:v>
                </c:pt>
                <c:pt idx="18">
                  <c:v>2576</c:v>
                </c:pt>
                <c:pt idx="19">
                  <c:v>1463</c:v>
                </c:pt>
                <c:pt idx="20">
                  <c:v>1269</c:v>
                </c:pt>
                <c:pt idx="21">
                  <c:v>420</c:v>
                </c:pt>
              </c:numCache>
            </c:numRef>
          </c:val>
          <c:extLst>
            <c:ext xmlns:c16="http://schemas.microsoft.com/office/drawing/2014/chart" uri="{C3380CC4-5D6E-409C-BE32-E72D297353CC}">
              <c16:uniqueId val="{00000004-0B54-4441-8986-2AA7A23D9777}"/>
            </c:ext>
          </c:extLst>
        </c:ser>
        <c:dLbls>
          <c:showLegendKey val="0"/>
          <c:showVal val="0"/>
          <c:showCatName val="0"/>
          <c:showSerName val="0"/>
          <c:showPercent val="0"/>
          <c:showBubbleSize val="0"/>
        </c:dLbls>
        <c:axId val="1810229231"/>
        <c:axId val="1810230943"/>
      </c:areaChart>
      <c:dateAx>
        <c:axId val="1810229231"/>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b="1">
                    <a:solidFill>
                      <a:schemeClr val="accent1"/>
                    </a:solidFill>
                  </a:rPr>
                  <a:t>Time</a:t>
                </a:r>
                <a:r>
                  <a:rPr lang="en-GB" sz="1600" b="1" baseline="0">
                    <a:solidFill>
                      <a:schemeClr val="accent1"/>
                    </a:solidFill>
                  </a:rPr>
                  <a:t> of  The Day</a:t>
                </a:r>
                <a:endParaRPr lang="en-GB" sz="1600" b="1">
                  <a:solidFill>
                    <a:schemeClr val="accent1"/>
                  </a:solidFill>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F400]h:mm:ss\ AM/P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accent1"/>
                </a:solidFill>
                <a:latin typeface="+mn-lt"/>
                <a:ea typeface="+mn-ea"/>
                <a:cs typeface="+mn-cs"/>
              </a:defRPr>
            </a:pPr>
            <a:endParaRPr lang="en-US"/>
          </a:p>
        </c:txPr>
        <c:crossAx val="1810230943"/>
        <c:crosses val="autoZero"/>
        <c:auto val="0"/>
        <c:lblOffset val="100"/>
        <c:baseTimeUnit val="days"/>
      </c:dateAx>
      <c:valAx>
        <c:axId val="1810230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r>
                  <a:rPr lang="en-GB" sz="2400" b="1" baseline="0">
                    <a:solidFill>
                      <a:schemeClr val="accent1"/>
                    </a:solidFill>
                  </a:rPr>
                  <a:t> Interactions in Hundreds</a:t>
                </a:r>
                <a:endParaRPr lang="en-GB" sz="2400" b="1">
                  <a:solidFill>
                    <a:schemeClr val="accent1"/>
                  </a:solidFill>
                </a:endParaRPr>
              </a:p>
            </c:rich>
          </c:tx>
          <c:layout>
            <c:manualLayout>
              <c:xMode val="edge"/>
              <c:yMode val="edge"/>
              <c:x val="1.5334226045615611E-2"/>
              <c:y val="0.29659578986436153"/>
            </c:manualLayout>
          </c:layout>
          <c:overlay val="0"/>
          <c:spPr>
            <a:noFill/>
            <a:ln>
              <a:noFill/>
            </a:ln>
            <a:effectLst/>
          </c:spPr>
          <c:txPr>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1400" b="1" i="0" u="none" strike="noStrike" kern="1200" baseline="0">
                <a:solidFill>
                  <a:schemeClr val="accent1"/>
                </a:solidFill>
                <a:latin typeface="+mn-lt"/>
                <a:ea typeface="+mn-ea"/>
                <a:cs typeface="+mn-cs"/>
              </a:defRPr>
            </a:pPr>
            <a:endParaRPr lang="en-US"/>
          </a:p>
        </c:txPr>
        <c:crossAx val="1810229231"/>
        <c:crosses val="autoZero"/>
        <c:crossBetween val="midCat"/>
        <c:dispUnits>
          <c:builtInUnit val="hundreds"/>
        </c:dispUnits>
      </c:valAx>
      <c:spPr>
        <a:noFill/>
        <a:ln>
          <a:noFill/>
        </a:ln>
        <a:effectLst/>
      </c:spPr>
    </c:plotArea>
    <c:legend>
      <c:legendPos val="r"/>
      <c:layout>
        <c:manualLayout>
          <c:xMode val="edge"/>
          <c:yMode val="edge"/>
          <c:x val="0.86846178571107779"/>
          <c:y val="0.18846631372443631"/>
          <c:w val="8.536254111416948E-2"/>
          <c:h val="0.16780069704401704"/>
        </c:manualLayout>
      </c:layout>
      <c:overlay val="0"/>
      <c:spPr>
        <a:solidFill>
          <a:schemeClr val="bg1"/>
        </a:solid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[SM_Sentiments.xlsx]PivotTables!PivotTable2</c:name>
    <c:fmtId val="5"/>
  </c:pivotSource>
  <c:chart>
    <c:title>
      <c:tx>
        <c:rich>
          <a:bodyPr rot="0" spcFirstLastPara="1" vertOverflow="ellipsis" vert="horz" wrap="square" anchor="ctr" anchorCtr="1"/>
          <a:lstStyle/>
          <a:p>
            <a:pPr>
              <a:defRPr sz="3600" b="1" i="0" u="none" strike="noStrike" kern="1200" spc="0" baseline="0">
                <a:solidFill>
                  <a:schemeClr val="accent1"/>
                </a:solidFill>
                <a:latin typeface="+mn-lt"/>
                <a:ea typeface="+mn-ea"/>
                <a:cs typeface="+mn-cs"/>
              </a:defRPr>
            </a:pPr>
            <a:r>
              <a:rPr lang="en-GB" b="1">
                <a:solidFill>
                  <a:schemeClr val="accent1"/>
                </a:solidFill>
              </a:rPr>
              <a:t>Sentiment</a:t>
            </a:r>
            <a:r>
              <a:rPr lang="en-GB" b="1" baseline="0">
                <a:solidFill>
                  <a:schemeClr val="accent1"/>
                </a:solidFill>
              </a:rPr>
              <a:t> per Country.  2010-2023</a:t>
            </a:r>
            <a:endParaRPr lang="en-GB" b="1">
              <a:solidFill>
                <a:schemeClr val="accent1"/>
              </a:solidFill>
            </a:endParaRPr>
          </a:p>
        </c:rich>
      </c:tx>
      <c:layout>
        <c:manualLayout>
          <c:xMode val="edge"/>
          <c:yMode val="edge"/>
          <c:x val="6.136816461478227E-2"/>
          <c:y val="3.9525671650594237E-2"/>
        </c:manualLayout>
      </c:layout>
      <c:overlay val="0"/>
      <c:spPr>
        <a:noFill/>
        <a:ln>
          <a:noFill/>
        </a:ln>
        <a:effectLst/>
      </c:spPr>
      <c:txPr>
        <a:bodyPr rot="0" spcFirstLastPara="1" vertOverflow="ellipsis" vert="horz" wrap="square" anchor="ctr" anchorCtr="1"/>
        <a:lstStyle/>
        <a:p>
          <a:pPr>
            <a:defRPr sz="36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0F9ED5">
                  <a:lumMod val="20000"/>
                  <a:lumOff val="80000"/>
                </a:srgbClr>
              </a:gs>
              <a:gs pos="24000">
                <a:srgbClr val="0F9ED5">
                  <a:lumMod val="45000"/>
                  <a:lumOff val="55000"/>
                </a:srgbClr>
              </a:gs>
              <a:gs pos="66000">
                <a:srgbClr val="0F9ED5">
                  <a:lumMod val="45000"/>
                  <a:lumOff val="55000"/>
                </a:srgbClr>
              </a:gs>
              <a:gs pos="90000">
                <a:srgbClr val="0F9ED5">
                  <a:lumMod val="30000"/>
                  <a:lumOff val="70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4EA72E">
                  <a:lumMod val="20000"/>
                  <a:lumOff val="80000"/>
                </a:srgbClr>
              </a:gs>
              <a:gs pos="35000">
                <a:srgbClr val="4EA72E">
                  <a:lumMod val="0"/>
                  <a:lumOff val="100000"/>
                </a:srgbClr>
              </a:gs>
              <a:gs pos="100000">
                <a:srgbClr val="4EA72E">
                  <a:lumMod val="60000"/>
                  <a:lumOff val="40000"/>
                </a:srgb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0F9ED5">
                  <a:lumMod val="20000"/>
                  <a:lumOff val="80000"/>
                </a:srgbClr>
              </a:gs>
              <a:gs pos="24000">
                <a:srgbClr val="0F9ED5">
                  <a:lumMod val="45000"/>
                  <a:lumOff val="55000"/>
                </a:srgbClr>
              </a:gs>
              <a:gs pos="66000">
                <a:srgbClr val="0F9ED5">
                  <a:lumMod val="45000"/>
                  <a:lumOff val="55000"/>
                </a:srgbClr>
              </a:gs>
              <a:gs pos="90000">
                <a:srgbClr val="0F9ED5">
                  <a:lumMod val="30000"/>
                  <a:lumOff val="70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rgbClr val="4EA72E">
                  <a:lumMod val="20000"/>
                  <a:lumOff val="80000"/>
                </a:srgbClr>
              </a:gs>
              <a:gs pos="35000">
                <a:srgbClr val="4EA72E">
                  <a:lumMod val="0"/>
                  <a:lumOff val="100000"/>
                </a:srgbClr>
              </a:gs>
              <a:gs pos="100000">
                <a:srgbClr val="4EA72E">
                  <a:lumMod val="60000"/>
                  <a:lumOff val="40000"/>
                </a:srgb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rgbClr val="0F9ED5">
                  <a:lumMod val="20000"/>
                  <a:lumOff val="80000"/>
                </a:srgbClr>
              </a:gs>
              <a:gs pos="24000">
                <a:srgbClr val="0F9ED5">
                  <a:lumMod val="45000"/>
                  <a:lumOff val="55000"/>
                </a:srgbClr>
              </a:gs>
              <a:gs pos="66000">
                <a:srgbClr val="0F9ED5">
                  <a:lumMod val="45000"/>
                  <a:lumOff val="55000"/>
                </a:srgbClr>
              </a:gs>
              <a:gs pos="90000">
                <a:srgbClr val="0F9ED5">
                  <a:lumMod val="30000"/>
                  <a:lumOff val="70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rgbClr val="4EA72E">
                  <a:lumMod val="20000"/>
                  <a:lumOff val="80000"/>
                </a:srgbClr>
              </a:gs>
              <a:gs pos="35000">
                <a:srgbClr val="4EA72E">
                  <a:lumMod val="0"/>
                  <a:lumOff val="100000"/>
                </a:srgbClr>
              </a:gs>
              <a:gs pos="100000">
                <a:srgbClr val="4EA72E">
                  <a:lumMod val="60000"/>
                  <a:lumOff val="40000"/>
                </a:srgb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503567913385819E-2"/>
          <c:y val="0.15611252536142681"/>
          <c:w val="0.91559366797900266"/>
          <c:h val="0.74547305171814093"/>
        </c:manualLayout>
      </c:layout>
      <c:barChart>
        <c:barDir val="col"/>
        <c:grouping val="percentStacked"/>
        <c:varyColors val="0"/>
        <c:ser>
          <c:idx val="0"/>
          <c:order val="0"/>
          <c:tx>
            <c:strRef>
              <c:f>PivotTables!$H$4:$H$5</c:f>
              <c:strCache>
                <c:ptCount val="1"/>
                <c:pt idx="0">
                  <c:v>Negative</c:v>
                </c:pt>
              </c:strCache>
            </c:strRef>
          </c:tx>
          <c:spPr>
            <a:solidFill>
              <a:schemeClr val="accent1"/>
            </a:solidFill>
            <a:ln>
              <a:noFill/>
            </a:ln>
            <a:effectLst/>
          </c:spPr>
          <c:invertIfNegative val="0"/>
          <c:cat>
            <c:strRef>
              <c:f>PivotTables!$G$6:$G$39</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PivotTables!$H$6:$H$39</c:f>
              <c:numCache>
                <c:formatCode>General</c:formatCode>
                <c:ptCount val="33"/>
                <c:pt idx="0">
                  <c:v>1002</c:v>
                </c:pt>
                <c:pt idx="3">
                  <c:v>450</c:v>
                </c:pt>
                <c:pt idx="5">
                  <c:v>1775</c:v>
                </c:pt>
                <c:pt idx="10">
                  <c:v>337</c:v>
                </c:pt>
                <c:pt idx="11">
                  <c:v>382</c:v>
                </c:pt>
                <c:pt idx="13">
                  <c:v>974</c:v>
                </c:pt>
                <c:pt idx="15">
                  <c:v>158</c:v>
                </c:pt>
                <c:pt idx="17">
                  <c:v>255</c:v>
                </c:pt>
                <c:pt idx="26">
                  <c:v>210</c:v>
                </c:pt>
                <c:pt idx="27">
                  <c:v>270</c:v>
                </c:pt>
                <c:pt idx="31">
                  <c:v>1710</c:v>
                </c:pt>
                <c:pt idx="32">
                  <c:v>2036</c:v>
                </c:pt>
              </c:numCache>
            </c:numRef>
          </c:val>
          <c:extLst>
            <c:ext xmlns:c16="http://schemas.microsoft.com/office/drawing/2014/chart" uri="{C3380CC4-5D6E-409C-BE32-E72D297353CC}">
              <c16:uniqueId val="{00000000-A055-1944-A94A-1DF64D7A7659}"/>
            </c:ext>
          </c:extLst>
        </c:ser>
        <c:ser>
          <c:idx val="1"/>
          <c:order val="1"/>
          <c:tx>
            <c:strRef>
              <c:f>PivotTables!$I$4:$I$5</c:f>
              <c:strCache>
                <c:ptCount val="1"/>
                <c:pt idx="0">
                  <c:v>Neutral</c:v>
                </c:pt>
              </c:strCache>
            </c:strRef>
          </c:tx>
          <c:spPr>
            <a:gradFill flip="none" rotWithShape="1">
              <a:gsLst>
                <a:gs pos="0">
                  <a:srgbClr val="0F9ED5">
                    <a:lumMod val="20000"/>
                    <a:lumOff val="80000"/>
                  </a:srgbClr>
                </a:gs>
                <a:gs pos="24000">
                  <a:srgbClr val="0F9ED5">
                    <a:lumMod val="45000"/>
                    <a:lumOff val="55000"/>
                  </a:srgbClr>
                </a:gs>
                <a:gs pos="66000">
                  <a:srgbClr val="0F9ED5">
                    <a:lumMod val="45000"/>
                    <a:lumOff val="55000"/>
                  </a:srgbClr>
                </a:gs>
                <a:gs pos="90000">
                  <a:srgbClr val="0F9ED5">
                    <a:lumMod val="30000"/>
                    <a:lumOff val="70000"/>
                  </a:srgbClr>
                </a:gs>
              </a:gsLst>
              <a:lin ang="5400000" scaled="1"/>
              <a:tileRect/>
            </a:gradFill>
            <a:ln>
              <a:noFill/>
            </a:ln>
            <a:effectLst/>
          </c:spPr>
          <c:invertIfNegative val="0"/>
          <c:cat>
            <c:strRef>
              <c:f>PivotTables!$G$6:$G$39</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PivotTables!$I$6:$I$39</c:f>
              <c:numCache>
                <c:formatCode>General</c:formatCode>
                <c:ptCount val="33"/>
                <c:pt idx="0">
                  <c:v>742</c:v>
                </c:pt>
                <c:pt idx="2">
                  <c:v>105</c:v>
                </c:pt>
                <c:pt idx="5">
                  <c:v>1062</c:v>
                </c:pt>
                <c:pt idx="10">
                  <c:v>219</c:v>
                </c:pt>
                <c:pt idx="11">
                  <c:v>83</c:v>
                </c:pt>
                <c:pt idx="12">
                  <c:v>264</c:v>
                </c:pt>
                <c:pt idx="13">
                  <c:v>772</c:v>
                </c:pt>
                <c:pt idx="15">
                  <c:v>136</c:v>
                </c:pt>
                <c:pt idx="16">
                  <c:v>90</c:v>
                </c:pt>
                <c:pt idx="17">
                  <c:v>188</c:v>
                </c:pt>
                <c:pt idx="19">
                  <c:v>67</c:v>
                </c:pt>
                <c:pt idx="29">
                  <c:v>180</c:v>
                </c:pt>
                <c:pt idx="31">
                  <c:v>1521</c:v>
                </c:pt>
                <c:pt idx="32">
                  <c:v>2247</c:v>
                </c:pt>
              </c:numCache>
            </c:numRef>
          </c:val>
          <c:extLst>
            <c:ext xmlns:c16="http://schemas.microsoft.com/office/drawing/2014/chart" uri="{C3380CC4-5D6E-409C-BE32-E72D297353CC}">
              <c16:uniqueId val="{00000004-A055-1944-A94A-1DF64D7A7659}"/>
            </c:ext>
          </c:extLst>
        </c:ser>
        <c:ser>
          <c:idx val="2"/>
          <c:order val="2"/>
          <c:tx>
            <c:strRef>
              <c:f>PivotTables!$J$4:$J$5</c:f>
              <c:strCache>
                <c:ptCount val="1"/>
                <c:pt idx="0">
                  <c:v>Positive</c:v>
                </c:pt>
              </c:strCache>
            </c:strRef>
          </c:tx>
          <c:spPr>
            <a:gradFill flip="none" rotWithShape="1">
              <a:gsLst>
                <a:gs pos="0">
                  <a:srgbClr val="4EA72E">
                    <a:lumMod val="20000"/>
                    <a:lumOff val="80000"/>
                  </a:srgbClr>
                </a:gs>
                <a:gs pos="35000">
                  <a:srgbClr val="4EA72E">
                    <a:lumMod val="0"/>
                    <a:lumOff val="100000"/>
                  </a:srgbClr>
                </a:gs>
                <a:gs pos="100000">
                  <a:srgbClr val="4EA72E">
                    <a:lumMod val="60000"/>
                    <a:lumOff val="40000"/>
                  </a:srgbClr>
                </a:gs>
              </a:gsLst>
              <a:path path="circle">
                <a:fillToRect l="50000" t="-80000" r="50000" b="180000"/>
              </a:path>
              <a:tileRect/>
            </a:gradFill>
            <a:ln>
              <a:noFill/>
            </a:ln>
            <a:effectLst/>
          </c:spPr>
          <c:invertIfNegative val="0"/>
          <c:cat>
            <c:strRef>
              <c:f>PivotTables!$G$6:$G$39</c:f>
              <c:strCache>
                <c:ptCount val="33"/>
                <c:pt idx="0">
                  <c:v>Australia</c:v>
                </c:pt>
                <c:pt idx="1">
                  <c:v>Austria</c:v>
                </c:pt>
                <c:pt idx="2">
                  <c:v>Belgium</c:v>
                </c:pt>
                <c:pt idx="3">
                  <c:v>Brazil</c:v>
                </c:pt>
                <c:pt idx="4">
                  <c:v>Cambodia</c:v>
                </c:pt>
                <c:pt idx="5">
                  <c:v>Canada</c:v>
                </c:pt>
                <c:pt idx="6">
                  <c:v>China</c:v>
                </c:pt>
                <c:pt idx="7">
                  <c:v>Colombia</c:v>
                </c:pt>
                <c:pt idx="8">
                  <c:v>Czech Republic</c:v>
                </c:pt>
                <c:pt idx="9">
                  <c:v>Denmark</c:v>
                </c:pt>
                <c:pt idx="10">
                  <c:v>France</c:v>
                </c:pt>
                <c:pt idx="11">
                  <c:v>Germany</c:v>
                </c:pt>
                <c:pt idx="12">
                  <c:v>Greece</c:v>
                </c:pt>
                <c:pt idx="13">
                  <c:v>India</c:v>
                </c:pt>
                <c:pt idx="14">
                  <c:v>Ireland</c:v>
                </c:pt>
                <c:pt idx="15">
                  <c:v>Italy</c:v>
                </c:pt>
                <c:pt idx="16">
                  <c:v>Jamaica</c:v>
                </c:pt>
                <c:pt idx="17">
                  <c:v>Japan</c:v>
                </c:pt>
                <c:pt idx="18">
                  <c:v>Jordan</c:v>
                </c:pt>
                <c:pt idx="19">
                  <c:v>Kenya</c:v>
                </c:pt>
                <c:pt idx="20">
                  <c:v>Maldives</c:v>
                </c:pt>
                <c:pt idx="21">
                  <c:v>Netherlands</c:v>
                </c:pt>
                <c:pt idx="22">
                  <c:v>Norway</c:v>
                </c:pt>
                <c:pt idx="23">
                  <c:v>Peru</c:v>
                </c:pt>
                <c:pt idx="24">
                  <c:v>Portugal</c:v>
                </c:pt>
                <c:pt idx="25">
                  <c:v>Scotland</c:v>
                </c:pt>
                <c:pt idx="26">
                  <c:v>South Africa</c:v>
                </c:pt>
                <c:pt idx="27">
                  <c:v>Spain</c:v>
                </c:pt>
                <c:pt idx="28">
                  <c:v>Sweden</c:v>
                </c:pt>
                <c:pt idx="29">
                  <c:v>Switzerland</c:v>
                </c:pt>
                <c:pt idx="30">
                  <c:v>Thailand</c:v>
                </c:pt>
                <c:pt idx="31">
                  <c:v>UK</c:v>
                </c:pt>
                <c:pt idx="32">
                  <c:v>USA</c:v>
                </c:pt>
              </c:strCache>
            </c:strRef>
          </c:cat>
          <c:val>
            <c:numRef>
              <c:f>PivotTables!$J$6:$J$39</c:f>
              <c:numCache>
                <c:formatCode>General</c:formatCode>
                <c:ptCount val="33"/>
                <c:pt idx="0">
                  <c:v>2646</c:v>
                </c:pt>
                <c:pt idx="1">
                  <c:v>134</c:v>
                </c:pt>
                <c:pt idx="2">
                  <c:v>105</c:v>
                </c:pt>
                <c:pt idx="3">
                  <c:v>898</c:v>
                </c:pt>
                <c:pt idx="4">
                  <c:v>60</c:v>
                </c:pt>
                <c:pt idx="5">
                  <c:v>5402</c:v>
                </c:pt>
                <c:pt idx="6">
                  <c:v>53</c:v>
                </c:pt>
                <c:pt idx="7">
                  <c:v>83</c:v>
                </c:pt>
                <c:pt idx="8">
                  <c:v>106</c:v>
                </c:pt>
                <c:pt idx="9">
                  <c:v>120</c:v>
                </c:pt>
                <c:pt idx="10">
                  <c:v>556</c:v>
                </c:pt>
                <c:pt idx="11">
                  <c:v>549</c:v>
                </c:pt>
                <c:pt idx="12">
                  <c:v>67</c:v>
                </c:pt>
                <c:pt idx="13">
                  <c:v>2263</c:v>
                </c:pt>
                <c:pt idx="14">
                  <c:v>75</c:v>
                </c:pt>
                <c:pt idx="15">
                  <c:v>480</c:v>
                </c:pt>
                <c:pt idx="17">
                  <c:v>735</c:v>
                </c:pt>
                <c:pt idx="18">
                  <c:v>90</c:v>
                </c:pt>
                <c:pt idx="20">
                  <c:v>67</c:v>
                </c:pt>
                <c:pt idx="21">
                  <c:v>322</c:v>
                </c:pt>
                <c:pt idx="22">
                  <c:v>67</c:v>
                </c:pt>
                <c:pt idx="23">
                  <c:v>83</c:v>
                </c:pt>
                <c:pt idx="24">
                  <c:v>166</c:v>
                </c:pt>
                <c:pt idx="25">
                  <c:v>67</c:v>
                </c:pt>
                <c:pt idx="26">
                  <c:v>435</c:v>
                </c:pt>
                <c:pt idx="27">
                  <c:v>106</c:v>
                </c:pt>
                <c:pt idx="28">
                  <c:v>210</c:v>
                </c:pt>
                <c:pt idx="29">
                  <c:v>67</c:v>
                </c:pt>
                <c:pt idx="30">
                  <c:v>105</c:v>
                </c:pt>
                <c:pt idx="31">
                  <c:v>5527</c:v>
                </c:pt>
                <c:pt idx="32">
                  <c:v>8269</c:v>
                </c:pt>
              </c:numCache>
            </c:numRef>
          </c:val>
          <c:extLst>
            <c:ext xmlns:c16="http://schemas.microsoft.com/office/drawing/2014/chart" uri="{C3380CC4-5D6E-409C-BE32-E72D297353CC}">
              <c16:uniqueId val="{00000005-A055-1944-A94A-1DF64D7A7659}"/>
            </c:ext>
          </c:extLst>
        </c:ser>
        <c:dLbls>
          <c:showLegendKey val="0"/>
          <c:showVal val="0"/>
          <c:showCatName val="0"/>
          <c:showSerName val="0"/>
          <c:showPercent val="0"/>
          <c:showBubbleSize val="0"/>
        </c:dLbls>
        <c:gapWidth val="15"/>
        <c:overlap val="100"/>
        <c:axId val="2017760799"/>
        <c:axId val="2018496479"/>
      </c:barChart>
      <c:catAx>
        <c:axId val="201776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crossAx val="2018496479"/>
        <c:crosses val="autoZero"/>
        <c:auto val="1"/>
        <c:lblAlgn val="ctr"/>
        <c:lblOffset val="100"/>
        <c:noMultiLvlLbl val="0"/>
      </c:catAx>
      <c:valAx>
        <c:axId val="201849647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accent1"/>
                </a:solidFill>
                <a:latin typeface="+mn-lt"/>
                <a:ea typeface="+mn-ea"/>
                <a:cs typeface="+mn-cs"/>
              </a:defRPr>
            </a:pPr>
            <a:endParaRPr lang="en-US"/>
          </a:p>
        </c:txPr>
        <c:crossAx val="2017760799"/>
        <c:crossesAt val="1"/>
        <c:crossBetween val="midCat"/>
      </c:valAx>
      <c:spPr>
        <a:noFill/>
        <a:ln>
          <a:noFill/>
        </a:ln>
        <a:effectLst/>
      </c:spPr>
    </c:plotArea>
    <c:legend>
      <c:legendPos val="t"/>
      <c:layout>
        <c:manualLayout>
          <c:xMode val="edge"/>
          <c:yMode val="edge"/>
          <c:x val="0.70970271311194799"/>
          <c:y val="5.1635511584553019E-2"/>
          <c:w val="0.22943567899426728"/>
          <c:h val="5.4937772426947876E-2"/>
        </c:manualLayout>
      </c:layout>
      <c:overlay val="0"/>
      <c:spPr>
        <a:noFill/>
        <a:ln>
          <a:noFill/>
        </a:ln>
        <a:effectLst/>
      </c:spPr>
      <c:txPr>
        <a:bodyPr rot="0" spcFirstLastPara="1" vertOverflow="ellipsis" vert="horz" wrap="square" anchor="ctr" anchorCtr="1"/>
        <a:lstStyle/>
        <a:p>
          <a:pPr>
            <a:defRPr sz="2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25</xdr:col>
      <xdr:colOff>524933</xdr:colOff>
      <xdr:row>1</xdr:row>
      <xdr:rowOff>118533</xdr:rowOff>
    </xdr:from>
    <xdr:to>
      <xdr:col>29</xdr:col>
      <xdr:colOff>355600</xdr:colOff>
      <xdr:row>14</xdr:row>
      <xdr:rowOff>58886</xdr:rowOff>
    </xdr:to>
    <xdr:graphicFrame macro="">
      <xdr:nvGraphicFramePr>
        <xdr:cNvPr id="6" name="Chart 5">
          <a:extLst>
            <a:ext uri="{FF2B5EF4-FFF2-40B4-BE49-F238E27FC236}">
              <a16:creationId xmlns:a16="http://schemas.microsoft.com/office/drawing/2014/main" id="{B8156AC0-FC6B-95B1-8BEF-E9F844215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338665</xdr:colOff>
      <xdr:row>29</xdr:row>
      <xdr:rowOff>67731</xdr:rowOff>
    </xdr:from>
    <xdr:to>
      <xdr:col>30</xdr:col>
      <xdr:colOff>16931</xdr:colOff>
      <xdr:row>43</xdr:row>
      <xdr:rowOff>186265</xdr:rowOff>
    </xdr:to>
    <xdr:graphicFrame macro="">
      <xdr:nvGraphicFramePr>
        <xdr:cNvPr id="7" name="Chart 6">
          <a:extLst>
            <a:ext uri="{FF2B5EF4-FFF2-40B4-BE49-F238E27FC236}">
              <a16:creationId xmlns:a16="http://schemas.microsoft.com/office/drawing/2014/main" id="{E0A5780F-6D92-B83F-1423-F7AB914C5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372532</xdr:colOff>
      <xdr:row>15</xdr:row>
      <xdr:rowOff>203200</xdr:rowOff>
    </xdr:from>
    <xdr:to>
      <xdr:col>29</xdr:col>
      <xdr:colOff>491065</xdr:colOff>
      <xdr:row>27</xdr:row>
      <xdr:rowOff>101600</xdr:rowOff>
    </xdr:to>
    <xdr:graphicFrame macro="">
      <xdr:nvGraphicFramePr>
        <xdr:cNvPr id="8" name="Chart 7">
          <a:extLst>
            <a:ext uri="{FF2B5EF4-FFF2-40B4-BE49-F238E27FC236}">
              <a16:creationId xmlns:a16="http://schemas.microsoft.com/office/drawing/2014/main" id="{3337D9B1-9960-FBF0-859C-90BF5039F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62</xdr:col>
      <xdr:colOff>10005</xdr:colOff>
      <xdr:row>152</xdr:row>
      <xdr:rowOff>41179</xdr:rowOff>
    </xdr:from>
    <xdr:to>
      <xdr:col>93</xdr:col>
      <xdr:colOff>675408</xdr:colOff>
      <xdr:row>215</xdr:row>
      <xdr:rowOff>121036</xdr:rowOff>
    </xdr:to>
    <xdr:graphicFrame macro="">
      <xdr:nvGraphicFramePr>
        <xdr:cNvPr id="5" name="Chart 4">
          <a:extLst>
            <a:ext uri="{FF2B5EF4-FFF2-40B4-BE49-F238E27FC236}">
              <a16:creationId xmlns:a16="http://schemas.microsoft.com/office/drawing/2014/main" id="{F742B932-883C-433C-3265-7877A6E9E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392929</xdr:colOff>
      <xdr:row>154</xdr:row>
      <xdr:rowOff>36946</xdr:rowOff>
    </xdr:from>
    <xdr:to>
      <xdr:col>59</xdr:col>
      <xdr:colOff>156632</xdr:colOff>
      <xdr:row>217</xdr:row>
      <xdr:rowOff>11545</xdr:rowOff>
    </xdr:to>
    <xdr:graphicFrame macro="">
      <xdr:nvGraphicFramePr>
        <xdr:cNvPr id="7" name="Chart 6">
          <a:extLst>
            <a:ext uri="{FF2B5EF4-FFF2-40B4-BE49-F238E27FC236}">
              <a16:creationId xmlns:a16="http://schemas.microsoft.com/office/drawing/2014/main" id="{C2AB4D38-4379-9943-1FBC-BB52D93E55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158751</xdr:colOff>
      <xdr:row>153</xdr:row>
      <xdr:rowOff>25400</xdr:rowOff>
    </xdr:from>
    <xdr:to>
      <xdr:col>25</xdr:col>
      <xdr:colOff>563419</xdr:colOff>
      <xdr:row>216</xdr:row>
      <xdr:rowOff>50799</xdr:rowOff>
    </xdr:to>
    <xdr:graphicFrame macro="">
      <xdr:nvGraphicFramePr>
        <xdr:cNvPr id="21" name="Chart 20">
          <a:extLst>
            <a:ext uri="{FF2B5EF4-FFF2-40B4-BE49-F238E27FC236}">
              <a16:creationId xmlns:a16="http://schemas.microsoft.com/office/drawing/2014/main" id="{FC5921BF-DB0C-D4EA-F2DC-5201C087E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60468</xdr:colOff>
      <xdr:row>2</xdr:row>
      <xdr:rowOff>209644</xdr:rowOff>
    </xdr:from>
    <xdr:to>
      <xdr:col>12</xdr:col>
      <xdr:colOff>297028</xdr:colOff>
      <xdr:row>16</xdr:row>
      <xdr:rowOff>36343</xdr:rowOff>
    </xdr:to>
    <mc:AlternateContent xmlns:mc="http://schemas.openxmlformats.org/markup-compatibility/2006">
      <mc:Choice xmlns:a14="http://schemas.microsoft.com/office/drawing/2010/main" Requires="a14">
        <xdr:graphicFrame macro="">
          <xdr:nvGraphicFramePr>
            <xdr:cNvPr id="23" name="New Sentiment">
              <a:extLst>
                <a:ext uri="{FF2B5EF4-FFF2-40B4-BE49-F238E27FC236}">
                  <a16:creationId xmlns:a16="http://schemas.microsoft.com/office/drawing/2014/main" id="{ACDBA768-61B2-F596-1D30-B938619FA335}"/>
                </a:ext>
              </a:extLst>
            </xdr:cNvPr>
            <xdr:cNvGraphicFramePr/>
          </xdr:nvGraphicFramePr>
          <xdr:xfrm>
            <a:off x="0" y="0"/>
            <a:ext cx="0" cy="0"/>
          </xdr:xfrm>
          <a:graphic>
            <a:graphicData uri="http://schemas.microsoft.com/office/drawing/2010/slicer">
              <sle:slicer xmlns:sle="http://schemas.microsoft.com/office/drawing/2010/slicer" name="New Sentiment"/>
            </a:graphicData>
          </a:graphic>
        </xdr:graphicFrame>
      </mc:Choice>
      <mc:Fallback>
        <xdr:sp macro="" textlink="">
          <xdr:nvSpPr>
            <xdr:cNvPr id="0" name=""/>
            <xdr:cNvSpPr>
              <a:spLocks noTextEdit="1"/>
            </xdr:cNvSpPr>
          </xdr:nvSpPr>
          <xdr:spPr>
            <a:xfrm>
              <a:off x="9479635" y="620277"/>
              <a:ext cx="1845226" cy="28027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50231</xdr:colOff>
      <xdr:row>16</xdr:row>
      <xdr:rowOff>123588</xdr:rowOff>
    </xdr:from>
    <xdr:to>
      <xdr:col>12</xdr:col>
      <xdr:colOff>286791</xdr:colOff>
      <xdr:row>29</xdr:row>
      <xdr:rowOff>155572</xdr:rowOff>
    </xdr:to>
    <mc:AlternateContent xmlns:mc="http://schemas.openxmlformats.org/markup-compatibility/2006">
      <mc:Choice xmlns:a14="http://schemas.microsoft.com/office/drawing/2010/main" Requires="a14">
        <xdr:graphicFrame macro="">
          <xdr:nvGraphicFramePr>
            <xdr:cNvPr id="24" name="NEW Platform">
              <a:extLst>
                <a:ext uri="{FF2B5EF4-FFF2-40B4-BE49-F238E27FC236}">
                  <a16:creationId xmlns:a16="http://schemas.microsoft.com/office/drawing/2014/main" id="{75046FEB-54F4-2E20-E66D-64ECF4EBC744}"/>
                </a:ext>
              </a:extLst>
            </xdr:cNvPr>
            <xdr:cNvGraphicFramePr/>
          </xdr:nvGraphicFramePr>
          <xdr:xfrm>
            <a:off x="0" y="0"/>
            <a:ext cx="0" cy="0"/>
          </xdr:xfrm>
          <a:graphic>
            <a:graphicData uri="http://schemas.microsoft.com/office/drawing/2010/slicer">
              <sle:slicer xmlns:sle="http://schemas.microsoft.com/office/drawing/2010/slicer" name="NEW Platform"/>
            </a:graphicData>
          </a:graphic>
        </xdr:graphicFrame>
      </mc:Choice>
      <mc:Fallback>
        <xdr:sp macro="" textlink="">
          <xdr:nvSpPr>
            <xdr:cNvPr id="0" name=""/>
            <xdr:cNvSpPr>
              <a:spLocks noTextEdit="1"/>
            </xdr:cNvSpPr>
          </xdr:nvSpPr>
          <xdr:spPr>
            <a:xfrm>
              <a:off x="9469398" y="3510255"/>
              <a:ext cx="1845226" cy="2783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266700</xdr:colOff>
      <xdr:row>21</xdr:row>
      <xdr:rowOff>97366</xdr:rowOff>
    </xdr:from>
    <xdr:to>
      <xdr:col>21</xdr:col>
      <xdr:colOff>295356</xdr:colOff>
      <xdr:row>34</xdr:row>
      <xdr:rowOff>82953</xdr:rowOff>
    </xdr:to>
    <mc:AlternateContent xmlns:mc="http://schemas.openxmlformats.org/markup-compatibility/2006">
      <mc:Choice xmlns:a14="http://schemas.microsoft.com/office/drawing/2010/main" Requires="a14">
        <xdr:graphicFrame macro="">
          <xdr:nvGraphicFramePr>
            <xdr:cNvPr id="27" name="New Sentiment 2">
              <a:extLst>
                <a:ext uri="{FF2B5EF4-FFF2-40B4-BE49-F238E27FC236}">
                  <a16:creationId xmlns:a16="http://schemas.microsoft.com/office/drawing/2014/main" id="{C81CC32A-F379-B6A5-E1E3-9B9C8F3D7FF9}"/>
                </a:ext>
              </a:extLst>
            </xdr:cNvPr>
            <xdr:cNvGraphicFramePr/>
          </xdr:nvGraphicFramePr>
          <xdr:xfrm>
            <a:off x="0" y="0"/>
            <a:ext cx="0" cy="0"/>
          </xdr:xfrm>
          <a:graphic>
            <a:graphicData uri="http://schemas.microsoft.com/office/drawing/2010/slicer">
              <sle:slicer xmlns:sle="http://schemas.microsoft.com/office/drawing/2010/slicer" name="New Sentiment 2"/>
            </a:graphicData>
          </a:graphic>
        </xdr:graphicFrame>
      </mc:Choice>
      <mc:Fallback>
        <xdr:sp macro="" textlink="">
          <xdr:nvSpPr>
            <xdr:cNvPr id="0" name=""/>
            <xdr:cNvSpPr>
              <a:spLocks noTextEdit="1"/>
            </xdr:cNvSpPr>
          </xdr:nvSpPr>
          <xdr:spPr>
            <a:xfrm>
              <a:off x="17729200" y="4542366"/>
              <a:ext cx="1806656" cy="27372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385232</xdr:colOff>
      <xdr:row>21</xdr:row>
      <xdr:rowOff>71967</xdr:rowOff>
    </xdr:from>
    <xdr:to>
      <xdr:col>25</xdr:col>
      <xdr:colOff>38099</xdr:colOff>
      <xdr:row>34</xdr:row>
      <xdr:rowOff>57555</xdr:rowOff>
    </xdr:to>
    <mc:AlternateContent xmlns:mc="http://schemas.openxmlformats.org/markup-compatibility/2006">
      <mc:Choice xmlns:a14="http://schemas.microsoft.com/office/drawing/2010/main" Requires="a14">
        <xdr:graphicFrame macro="">
          <xdr:nvGraphicFramePr>
            <xdr:cNvPr id="30" name="Hour">
              <a:extLst>
                <a:ext uri="{FF2B5EF4-FFF2-40B4-BE49-F238E27FC236}">
                  <a16:creationId xmlns:a16="http://schemas.microsoft.com/office/drawing/2014/main" id="{88E178E2-6979-7183-8F4C-16C0A8B501BA}"/>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dr:sp macro="" textlink="">
          <xdr:nvSpPr>
            <xdr:cNvPr id="0" name=""/>
            <xdr:cNvSpPr>
              <a:spLocks noTextEdit="1"/>
            </xdr:cNvSpPr>
          </xdr:nvSpPr>
          <xdr:spPr>
            <a:xfrm>
              <a:off x="19625732" y="4516967"/>
              <a:ext cx="1790700" cy="27372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855134</xdr:colOff>
      <xdr:row>21</xdr:row>
      <xdr:rowOff>101600</xdr:rowOff>
    </xdr:from>
    <xdr:to>
      <xdr:col>27</xdr:col>
      <xdr:colOff>465668</xdr:colOff>
      <xdr:row>34</xdr:row>
      <xdr:rowOff>79372</xdr:rowOff>
    </xdr:to>
    <mc:AlternateContent xmlns:mc="http://schemas.openxmlformats.org/markup-compatibility/2006">
      <mc:Choice xmlns:a14="http://schemas.microsoft.com/office/drawing/2010/main" Requires="a14">
        <xdr:graphicFrame macro="">
          <xdr:nvGraphicFramePr>
            <xdr:cNvPr id="31" name="New Country">
              <a:extLst>
                <a:ext uri="{FF2B5EF4-FFF2-40B4-BE49-F238E27FC236}">
                  <a16:creationId xmlns:a16="http://schemas.microsoft.com/office/drawing/2014/main" id="{244BE138-8017-66B0-39F4-1273868C1420}"/>
                </a:ext>
              </a:extLst>
            </xdr:cNvPr>
            <xdr:cNvGraphicFramePr/>
          </xdr:nvGraphicFramePr>
          <xdr:xfrm>
            <a:off x="0" y="0"/>
            <a:ext cx="0" cy="0"/>
          </xdr:xfrm>
          <a:graphic>
            <a:graphicData uri="http://schemas.microsoft.com/office/drawing/2010/slicer">
              <sle:slicer xmlns:sle="http://schemas.microsoft.com/office/drawing/2010/slicer" name="New Country"/>
            </a:graphicData>
          </a:graphic>
        </xdr:graphicFrame>
      </mc:Choice>
      <mc:Fallback>
        <xdr:sp macro="" textlink="">
          <xdr:nvSpPr>
            <xdr:cNvPr id="0" name=""/>
            <xdr:cNvSpPr>
              <a:spLocks noTextEdit="1"/>
            </xdr:cNvSpPr>
          </xdr:nvSpPr>
          <xdr:spPr>
            <a:xfrm>
              <a:off x="21378334" y="4546600"/>
              <a:ext cx="1799167" cy="27294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647700</xdr:colOff>
      <xdr:row>35</xdr:row>
      <xdr:rowOff>165100</xdr:rowOff>
    </xdr:from>
    <xdr:to>
      <xdr:col>22</xdr:col>
      <xdr:colOff>165100</xdr:colOff>
      <xdr:row>48</xdr:row>
      <xdr:rowOff>142872</xdr:rowOff>
    </xdr:to>
    <mc:AlternateContent xmlns:mc="http://schemas.openxmlformats.org/markup-compatibility/2006">
      <mc:Choice xmlns:a14="http://schemas.microsoft.com/office/drawing/2010/main" Requires="a14">
        <xdr:graphicFrame macro="">
          <xdr:nvGraphicFramePr>
            <xdr:cNvPr id="32" name="NEW Platform 2">
              <a:extLst>
                <a:ext uri="{FF2B5EF4-FFF2-40B4-BE49-F238E27FC236}">
                  <a16:creationId xmlns:a16="http://schemas.microsoft.com/office/drawing/2014/main" id="{320FCE3A-981B-A3FB-61C0-CC0A2659A996}"/>
                </a:ext>
              </a:extLst>
            </xdr:cNvPr>
            <xdr:cNvGraphicFramePr/>
          </xdr:nvGraphicFramePr>
          <xdr:xfrm>
            <a:off x="0" y="0"/>
            <a:ext cx="0" cy="0"/>
          </xdr:xfrm>
          <a:graphic>
            <a:graphicData uri="http://schemas.microsoft.com/office/drawing/2010/slicer">
              <sle:slicer xmlns:sle="http://schemas.microsoft.com/office/drawing/2010/slicer" name="NEW Platform 2"/>
            </a:graphicData>
          </a:graphic>
        </xdr:graphicFrame>
      </mc:Choice>
      <mc:Fallback>
        <xdr:sp macro="" textlink="">
          <xdr:nvSpPr>
            <xdr:cNvPr id="0" name=""/>
            <xdr:cNvSpPr>
              <a:spLocks noTextEdit="1"/>
            </xdr:cNvSpPr>
          </xdr:nvSpPr>
          <xdr:spPr>
            <a:xfrm>
              <a:off x="18110200" y="7573433"/>
              <a:ext cx="1761067" cy="27294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469899</xdr:colOff>
      <xdr:row>35</xdr:row>
      <xdr:rowOff>169333</xdr:rowOff>
    </xdr:from>
    <xdr:to>
      <xdr:col>25</xdr:col>
      <xdr:colOff>626533</xdr:colOff>
      <xdr:row>48</xdr:row>
      <xdr:rowOff>37038</xdr:rowOff>
    </xdr:to>
    <mc:AlternateContent xmlns:mc="http://schemas.openxmlformats.org/markup-compatibility/2006">
      <mc:Choice xmlns:a14="http://schemas.microsoft.com/office/drawing/2010/main" Requires="a14">
        <xdr:graphicFrame macro="">
          <xdr:nvGraphicFramePr>
            <xdr:cNvPr id="34" name="Date">
              <a:extLst>
                <a:ext uri="{FF2B5EF4-FFF2-40B4-BE49-F238E27FC236}">
                  <a16:creationId xmlns:a16="http://schemas.microsoft.com/office/drawing/2014/main" id="{E5E1C720-43C4-16DD-F358-99798FB456A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20176066" y="7577666"/>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787400</xdr:colOff>
      <xdr:row>1</xdr:row>
      <xdr:rowOff>114300</xdr:rowOff>
    </xdr:from>
    <xdr:to>
      <xdr:col>4</xdr:col>
      <xdr:colOff>520700</xdr:colOff>
      <xdr:row>11</xdr:row>
      <xdr:rowOff>114300</xdr:rowOff>
    </xdr:to>
    <xdr:sp macro="" textlink="">
      <xdr:nvSpPr>
        <xdr:cNvPr id="2" name="TextBox 1">
          <a:extLst>
            <a:ext uri="{FF2B5EF4-FFF2-40B4-BE49-F238E27FC236}">
              <a16:creationId xmlns:a16="http://schemas.microsoft.com/office/drawing/2014/main" id="{A321D89A-0A5D-69C4-CBAB-5E877B71D902}"/>
            </a:ext>
          </a:extLst>
        </xdr:cNvPr>
        <xdr:cNvSpPr txBox="1"/>
      </xdr:nvSpPr>
      <xdr:spPr>
        <a:xfrm>
          <a:off x="787400" y="317500"/>
          <a:ext cx="3035300" cy="2032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000">
              <a:ln>
                <a:solidFill>
                  <a:schemeClr val="accent6">
                    <a:lumMod val="75000"/>
                    <a:alpha val="62000"/>
                  </a:schemeClr>
                </a:solidFill>
              </a:ln>
              <a:solidFill>
                <a:schemeClr val="accent1"/>
              </a:solidFill>
            </a:rPr>
            <a:t>Social Media Sentiment Dashboard</a:t>
          </a:r>
        </a:p>
      </xdr:txBody>
    </xdr:sp>
    <xdr:clientData/>
  </xdr:twoCellAnchor>
  <xdr:twoCellAnchor editAs="oneCell">
    <xdr:from>
      <xdr:col>1</xdr:col>
      <xdr:colOff>0</xdr:colOff>
      <xdr:row>14</xdr:row>
      <xdr:rowOff>0</xdr:rowOff>
    </xdr:from>
    <xdr:to>
      <xdr:col>3</xdr:col>
      <xdr:colOff>177800</xdr:colOff>
      <xdr:row>26</xdr:row>
      <xdr:rowOff>180972</xdr:rowOff>
    </xdr:to>
    <mc:AlternateContent xmlns:mc="http://schemas.openxmlformats.org/markup-compatibility/2006">
      <mc:Choice xmlns:a14="http://schemas.microsoft.com/office/drawing/2010/main" Requires="a14">
        <xdr:graphicFrame macro="">
          <xdr:nvGraphicFramePr>
            <xdr:cNvPr id="3" name="New Sentiment 1">
              <a:extLst>
                <a:ext uri="{FF2B5EF4-FFF2-40B4-BE49-F238E27FC236}">
                  <a16:creationId xmlns:a16="http://schemas.microsoft.com/office/drawing/2014/main" id="{0D6DC1BD-AC08-7A44-A90A-99AF63291B41}"/>
                </a:ext>
              </a:extLst>
            </xdr:cNvPr>
            <xdr:cNvGraphicFramePr/>
          </xdr:nvGraphicFramePr>
          <xdr:xfrm>
            <a:off x="0" y="0"/>
            <a:ext cx="0" cy="0"/>
          </xdr:xfrm>
          <a:graphic>
            <a:graphicData uri="http://schemas.microsoft.com/office/drawing/2010/slicer">
              <sle:slicer xmlns:sle="http://schemas.microsoft.com/office/drawing/2010/slicer" name="New Sentiment 1"/>
            </a:graphicData>
          </a:graphic>
        </xdr:graphicFrame>
      </mc:Choice>
      <mc:Fallback>
        <xdr:sp macro="" textlink="">
          <xdr:nvSpPr>
            <xdr:cNvPr id="0" name=""/>
            <xdr:cNvSpPr>
              <a:spLocks noTextEdit="1"/>
            </xdr:cNvSpPr>
          </xdr:nvSpPr>
          <xdr:spPr>
            <a:xfrm>
              <a:off x="846667" y="3344333"/>
              <a:ext cx="1871133" cy="27209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14</xdr:row>
      <xdr:rowOff>12700</xdr:rowOff>
    </xdr:from>
    <xdr:to>
      <xdr:col>5</xdr:col>
      <xdr:colOff>596900</xdr:colOff>
      <xdr:row>27</xdr:row>
      <xdr:rowOff>12243</xdr:rowOff>
    </xdr:to>
    <mc:AlternateContent xmlns:mc="http://schemas.openxmlformats.org/markup-compatibility/2006">
      <mc:Choice xmlns:a14="http://schemas.microsoft.com/office/drawing/2010/main" Requires="a14">
        <xdr:graphicFrame macro="">
          <xdr:nvGraphicFramePr>
            <xdr:cNvPr id="4" name="NEW Platform 1">
              <a:extLst>
                <a:ext uri="{FF2B5EF4-FFF2-40B4-BE49-F238E27FC236}">
                  <a16:creationId xmlns:a16="http://schemas.microsoft.com/office/drawing/2014/main" id="{A9E38EC7-D8A1-6C40-B047-259E33255D0D}"/>
                </a:ext>
              </a:extLst>
            </xdr:cNvPr>
            <xdr:cNvGraphicFramePr/>
          </xdr:nvGraphicFramePr>
          <xdr:xfrm>
            <a:off x="0" y="0"/>
            <a:ext cx="0" cy="0"/>
          </xdr:xfrm>
          <a:graphic>
            <a:graphicData uri="http://schemas.microsoft.com/office/drawing/2010/slicer">
              <sle:slicer xmlns:sle="http://schemas.microsoft.com/office/drawing/2010/slicer" name="NEW Platform 1"/>
            </a:graphicData>
          </a:graphic>
        </xdr:graphicFrame>
      </mc:Choice>
      <mc:Fallback>
        <xdr:sp macro="" textlink="">
          <xdr:nvSpPr>
            <xdr:cNvPr id="0" name=""/>
            <xdr:cNvSpPr>
              <a:spLocks noTextEdit="1"/>
            </xdr:cNvSpPr>
          </xdr:nvSpPr>
          <xdr:spPr>
            <a:xfrm>
              <a:off x="2959100" y="3357033"/>
              <a:ext cx="1871133" cy="27512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762000</xdr:colOff>
      <xdr:row>29</xdr:row>
      <xdr:rowOff>0</xdr:rowOff>
    </xdr:from>
    <xdr:to>
      <xdr:col>10</xdr:col>
      <xdr:colOff>330200</xdr:colOff>
      <xdr:row>45</xdr:row>
      <xdr:rowOff>101600</xdr:rowOff>
    </xdr:to>
    <xdr:graphicFrame macro="">
      <xdr:nvGraphicFramePr>
        <xdr:cNvPr id="5" name="Chart 4">
          <a:extLst>
            <a:ext uri="{FF2B5EF4-FFF2-40B4-BE49-F238E27FC236}">
              <a16:creationId xmlns:a16="http://schemas.microsoft.com/office/drawing/2014/main" id="{13B2CEC5-7233-1E4F-9C7E-22F3645783B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717907</xdr:colOff>
      <xdr:row>47</xdr:row>
      <xdr:rowOff>191962</xdr:rowOff>
    </xdr:from>
    <xdr:to>
      <xdr:col>10</xdr:col>
      <xdr:colOff>304800</xdr:colOff>
      <xdr:row>68</xdr:row>
      <xdr:rowOff>12699</xdr:rowOff>
    </xdr:to>
    <xdr:graphicFrame macro="">
      <xdr:nvGraphicFramePr>
        <xdr:cNvPr id="6" name="Chart 5">
          <a:extLst>
            <a:ext uri="{FF2B5EF4-FFF2-40B4-BE49-F238E27FC236}">
              <a16:creationId xmlns:a16="http://schemas.microsoft.com/office/drawing/2014/main" id="{232B5075-B9E6-054F-A4AA-829622C7AE8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245532</xdr:colOff>
      <xdr:row>11</xdr:row>
      <xdr:rowOff>94890</xdr:rowOff>
    </xdr:from>
    <xdr:to>
      <xdr:col>28</xdr:col>
      <xdr:colOff>634999</xdr:colOff>
      <xdr:row>37</xdr:row>
      <xdr:rowOff>93133</xdr:rowOff>
    </xdr:to>
    <xdr:graphicFrame macro="">
      <xdr:nvGraphicFramePr>
        <xdr:cNvPr id="7" name="Chart 6">
          <a:extLst>
            <a:ext uri="{FF2B5EF4-FFF2-40B4-BE49-F238E27FC236}">
              <a16:creationId xmlns:a16="http://schemas.microsoft.com/office/drawing/2014/main" id="{F8C0FBD7-94EB-D24B-B7E1-F560B2DC186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508000</xdr:colOff>
      <xdr:row>43</xdr:row>
      <xdr:rowOff>76200</xdr:rowOff>
    </xdr:from>
    <xdr:to>
      <xdr:col>27</xdr:col>
      <xdr:colOff>685799</xdr:colOff>
      <xdr:row>70</xdr:row>
      <xdr:rowOff>171450</xdr:rowOff>
    </xdr:to>
    <xdr:graphicFrame macro="">
      <xdr:nvGraphicFramePr>
        <xdr:cNvPr id="9" name="Chart 8">
          <a:extLst>
            <a:ext uri="{FF2B5EF4-FFF2-40B4-BE49-F238E27FC236}">
              <a16:creationId xmlns:a16="http://schemas.microsoft.com/office/drawing/2014/main" id="{9A103D1F-E7AA-A047-B160-1F5E1105DFE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825499</xdr:colOff>
      <xdr:row>14</xdr:row>
      <xdr:rowOff>27517</xdr:rowOff>
    </xdr:from>
    <xdr:to>
      <xdr:col>8</xdr:col>
      <xdr:colOff>169333</xdr:colOff>
      <xdr:row>26</xdr:row>
      <xdr:rowOff>195789</xdr:rowOff>
    </xdr:to>
    <mc:AlternateContent xmlns:mc="http://schemas.openxmlformats.org/markup-compatibility/2006">
      <mc:Choice xmlns:a14="http://schemas.microsoft.com/office/drawing/2010/main" Requires="a14">
        <xdr:graphicFrame macro="">
          <xdr:nvGraphicFramePr>
            <xdr:cNvPr id="12" name="New Country 1">
              <a:extLst>
                <a:ext uri="{FF2B5EF4-FFF2-40B4-BE49-F238E27FC236}">
                  <a16:creationId xmlns:a16="http://schemas.microsoft.com/office/drawing/2014/main" id="{4B09144F-DE43-5847-B47E-1604D54D87B6}"/>
                </a:ext>
              </a:extLst>
            </xdr:cNvPr>
            <xdr:cNvGraphicFramePr/>
          </xdr:nvGraphicFramePr>
          <xdr:xfrm>
            <a:off x="0" y="0"/>
            <a:ext cx="0" cy="0"/>
          </xdr:xfrm>
          <a:graphic>
            <a:graphicData uri="http://schemas.microsoft.com/office/drawing/2010/slicer">
              <sle:slicer xmlns:sle="http://schemas.microsoft.com/office/drawing/2010/slicer" name="New Country 1"/>
            </a:graphicData>
          </a:graphic>
        </xdr:graphicFrame>
      </mc:Choice>
      <mc:Fallback>
        <xdr:sp macro="" textlink="">
          <xdr:nvSpPr>
            <xdr:cNvPr id="0" name=""/>
            <xdr:cNvSpPr>
              <a:spLocks noTextEdit="1"/>
            </xdr:cNvSpPr>
          </xdr:nvSpPr>
          <xdr:spPr>
            <a:xfrm>
              <a:off x="5058832" y="3371850"/>
              <a:ext cx="1883834" cy="27082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355599</xdr:colOff>
      <xdr:row>14</xdr:row>
      <xdr:rowOff>46567</xdr:rowOff>
    </xdr:from>
    <xdr:to>
      <xdr:col>10</xdr:col>
      <xdr:colOff>516466</xdr:colOff>
      <xdr:row>26</xdr:row>
      <xdr:rowOff>137584</xdr:rowOff>
    </xdr:to>
    <mc:AlternateContent xmlns:mc="http://schemas.openxmlformats.org/markup-compatibility/2006">
      <mc:Choice xmlns:a14="http://schemas.microsoft.com/office/drawing/2010/main" Requires="a14">
        <xdr:graphicFrame macro="">
          <xdr:nvGraphicFramePr>
            <xdr:cNvPr id="13" name="Hour 1">
              <a:extLst>
                <a:ext uri="{FF2B5EF4-FFF2-40B4-BE49-F238E27FC236}">
                  <a16:creationId xmlns:a16="http://schemas.microsoft.com/office/drawing/2014/main" id="{7B3BB01D-DBCE-A747-B03A-9DBEE5553B4E}"/>
                </a:ext>
              </a:extLst>
            </xdr:cNvPr>
            <xdr:cNvGraphicFramePr/>
          </xdr:nvGraphicFramePr>
          <xdr:xfrm>
            <a:off x="0" y="0"/>
            <a:ext cx="0" cy="0"/>
          </xdr:xfrm>
          <a:graphic>
            <a:graphicData uri="http://schemas.microsoft.com/office/drawing/2010/slicer">
              <sle:slicer xmlns:sle="http://schemas.microsoft.com/office/drawing/2010/slicer" name="Hour 1"/>
            </a:graphicData>
          </a:graphic>
        </xdr:graphicFrame>
      </mc:Choice>
      <mc:Fallback>
        <xdr:sp macro="" textlink="">
          <xdr:nvSpPr>
            <xdr:cNvPr id="0" name=""/>
            <xdr:cNvSpPr>
              <a:spLocks noTextEdit="1"/>
            </xdr:cNvSpPr>
          </xdr:nvSpPr>
          <xdr:spPr>
            <a:xfrm>
              <a:off x="7128932" y="3390900"/>
              <a:ext cx="1854201" cy="26310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50800</xdr:colOff>
      <xdr:row>71</xdr:row>
      <xdr:rowOff>0</xdr:rowOff>
    </xdr:from>
    <xdr:to>
      <xdr:col>27</xdr:col>
      <xdr:colOff>279400</xdr:colOff>
      <xdr:row>112</xdr:row>
      <xdr:rowOff>146050</xdr:rowOff>
    </xdr:to>
    <xdr:graphicFrame macro="">
      <xdr:nvGraphicFramePr>
        <xdr:cNvPr id="14" name="Chart 13">
          <a:extLst>
            <a:ext uri="{FF2B5EF4-FFF2-40B4-BE49-F238E27FC236}">
              <a16:creationId xmlns:a16="http://schemas.microsoft.com/office/drawing/2014/main" id="{89F3C50A-9952-5948-A421-0B232D424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584200</xdr:colOff>
      <xdr:row>18</xdr:row>
      <xdr:rowOff>0</xdr:rowOff>
    </xdr:from>
    <xdr:to>
      <xdr:col>27</xdr:col>
      <xdr:colOff>533400</xdr:colOff>
      <xdr:row>22</xdr:row>
      <xdr:rowOff>25400</xdr:rowOff>
    </xdr:to>
    <xdr:sp macro="" textlink="">
      <xdr:nvSpPr>
        <xdr:cNvPr id="15" name="TextBox 14">
          <a:extLst>
            <a:ext uri="{FF2B5EF4-FFF2-40B4-BE49-F238E27FC236}">
              <a16:creationId xmlns:a16="http://schemas.microsoft.com/office/drawing/2014/main" id="{87ABDB23-2F14-F927-FBF2-B2F756DED2A4}"/>
            </a:ext>
          </a:extLst>
        </xdr:cNvPr>
        <xdr:cNvSpPr txBox="1"/>
      </xdr:nvSpPr>
      <xdr:spPr>
        <a:xfrm>
          <a:off x="22377400" y="4064000"/>
          <a:ext cx="787400" cy="838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a:t>🇬🇧</a:t>
          </a:r>
        </a:p>
      </xdr:txBody>
    </xdr:sp>
    <xdr:clientData/>
  </xdr:twoCellAnchor>
  <xdr:oneCellAnchor>
    <xdr:from>
      <xdr:col>14</xdr:col>
      <xdr:colOff>63500</xdr:colOff>
      <xdr:row>44</xdr:row>
      <xdr:rowOff>31750</xdr:rowOff>
    </xdr:from>
    <xdr:ext cx="2444750" cy="832920"/>
    <xdr:sp macro="" textlink="">
      <xdr:nvSpPr>
        <xdr:cNvPr id="16" name="TextBox 15">
          <a:extLst>
            <a:ext uri="{FF2B5EF4-FFF2-40B4-BE49-F238E27FC236}">
              <a16:creationId xmlns:a16="http://schemas.microsoft.com/office/drawing/2014/main" id="{019171DC-5475-91D4-19B3-E296FFC27A9C}"/>
            </a:ext>
          </a:extLst>
        </xdr:cNvPr>
        <xdr:cNvSpPr txBox="1"/>
      </xdr:nvSpPr>
      <xdr:spPr>
        <a:xfrm>
          <a:off x="11620500" y="8826500"/>
          <a:ext cx="2444750" cy="832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4400"/>
            <a:t>🌎</a:t>
          </a:r>
        </a:p>
      </xdr:txBody>
    </xdr:sp>
    <xdr:clientData/>
  </xdr:oneCellAnchor>
  <xdr:twoCellAnchor editAs="oneCell">
    <xdr:from>
      <xdr:col>10</xdr:col>
      <xdr:colOff>761999</xdr:colOff>
      <xdr:row>14</xdr:row>
      <xdr:rowOff>42334</xdr:rowOff>
    </xdr:from>
    <xdr:to>
      <xdr:col>13</xdr:col>
      <xdr:colOff>71965</xdr:colOff>
      <xdr:row>26</xdr:row>
      <xdr:rowOff>121706</xdr:rowOff>
    </xdr:to>
    <mc:AlternateContent xmlns:mc="http://schemas.openxmlformats.org/markup-compatibility/2006">
      <mc:Choice xmlns:a14="http://schemas.microsoft.com/office/drawing/2010/main" Requires="a14">
        <xdr:graphicFrame macro="">
          <xdr:nvGraphicFramePr>
            <xdr:cNvPr id="18" name="Date 1">
              <a:extLst>
                <a:ext uri="{FF2B5EF4-FFF2-40B4-BE49-F238E27FC236}">
                  <a16:creationId xmlns:a16="http://schemas.microsoft.com/office/drawing/2014/main" id="{F084998E-D993-CE42-95A7-880F326FDAD9}"/>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9228666" y="3386667"/>
              <a:ext cx="1849966"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70.540551736114" createdVersion="8" refreshedVersion="8" minRefreshableVersion="3" recordCount="732" xr:uid="{EC397600-721A-F347-B4B3-295805147EB9}">
  <cacheSource type="worksheet">
    <worksheetSource ref="A1:U733" sheet="Transformations"/>
  </cacheSource>
  <cacheFields count="23">
    <cacheField name="Text" numFmtId="0">
      <sharedItems/>
    </cacheField>
    <cacheField name="Sentiment" numFmtId="0">
      <sharedItems/>
    </cacheField>
    <cacheField name="New Sentiment" numFmtId="0">
      <sharedItems count="3">
        <s v="Positive"/>
        <s v="Negative"/>
        <s v="Neutral"/>
      </sharedItems>
    </cacheField>
    <cacheField name="Timestamp" numFmtId="22">
      <sharedItems containsSemiMixedTypes="0" containsNonDate="0" containsDate="1" containsString="0" minDate="2010-05-15T15:30:00" maxDate="2023-10-22T20:45:00"/>
    </cacheField>
    <cacheField name="Date" numFmtId="14">
      <sharedItems containsSemiMixedTypes="0" containsNonDate="0" containsDate="1" containsString="0" minDate="2010-05-15T00:00:00" maxDate="2023-10-23T00:00:00" count="533">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10-05-15T00:00:00"/>
        <d v="2021-08-10T00:00:00"/>
        <d v="2011-06-20T00:00:00"/>
        <d v="2022-02-12T00:00:00"/>
        <d v="2012-11-25T00:00:00"/>
        <d v="2013-04-05T00:00:00"/>
        <d v="2014-09-14T00:00:00"/>
        <d v="2015-07-18T00:00:00"/>
        <d v="2016-02-23T00:00:00"/>
        <d v="2017-10-30T00:00:00"/>
        <d v="2018-06-15T00:00:00"/>
        <d v="2019-03-28T00:00:00"/>
        <d v="2019-11-11T00:00:00"/>
        <d v="2020-04-02T00:00:00"/>
        <d v="2021-06-19T00:00:00"/>
        <d v="2010-08-15T00:00:00"/>
        <d v="2011-09-22T00:00:00"/>
        <d v="2012-03-10T00:00:00"/>
        <d v="2013-12-05T00:00:00"/>
        <d v="2014-07-20T00:00:00"/>
        <d v="2015-12-22T00:00:00"/>
        <d v="2016-02-10T00:00:00"/>
        <d v="2017-04-30T00:00:00"/>
        <d v="2018-09-15T00:00:00"/>
        <d v="2019-06-28T00:00:00"/>
        <d v="2020-11-11T00:00:00"/>
        <d v="2021-03-02T00:00:00"/>
        <d v="2012-02-18T00:00:00"/>
        <d v="2018-11-05T00:00:00"/>
        <d v="2015-09-12T00:00:00"/>
        <d v="2016-07-30T00:00:00"/>
        <d v="2013-04-20T00:00:00"/>
        <d v="2017-12-08T00:00:00"/>
        <d v="2014-06-03T00:00:00"/>
        <d v="2019-01-15T00:00:00"/>
        <d v="2016-12-25T00:00:00"/>
        <d v="2018-03-10T00:00:00"/>
        <d v="2020-09-17T00:00:00"/>
        <d v="2011-08-28T00:00:00"/>
        <d v="2017-11-01T00:00:00"/>
        <d v="2019-06-15T00:00:00"/>
        <d v="2022-04-03T00:00:00"/>
        <d v="2010-11-12T00:00:00"/>
        <d v="2011-07-22T00:00:00"/>
        <d v="2012-03-30T00:00:00"/>
        <d v="2013-10-05T00:00:00"/>
        <d v="2014-07-10T00:00:00"/>
        <d v="2015-12-18T00:00:00"/>
        <d v="2017-09-25T00:00:00"/>
        <d v="2018-04-15T00:00:00"/>
        <d v="2019-11-28T00:00:00"/>
        <d v="2020-05-11T00:00:00"/>
        <d v="2021-02-05T00:00:00"/>
        <d v="2021-03-10T00:00:00"/>
        <d v="2022-07-05T00:00:00"/>
        <d v="2019-11-18T00:00:00"/>
        <d v="2020-08-12T00:00:00"/>
        <d v="2018-05-22T00:00:00"/>
        <d v="2017-01-30T00:00:00"/>
        <d v="2016-09-28T00:00:00"/>
        <d v="2019-04-15T00:00:00"/>
        <d v="2021-12-03T00:00:00"/>
        <d v="2020-06-20T00:00:00"/>
        <d v="2018-11-07T00:00:00"/>
        <d v="2017-08-25T00:00:00"/>
        <d v="2019-02-11T00:00:00"/>
        <d v="2016-04-02T00:00:00"/>
        <d v="2015-10-18T00:00:00"/>
        <d v="2019-07-12T00:00:00"/>
        <d v="2018-06-03T00:00:00"/>
        <d v="2022-01-15T00:00:00"/>
        <d v="2017-04-10T00:00:00"/>
        <d v="2016-11-28T00:00:00"/>
        <d v="2018-09-05T00:00:00"/>
        <d v="2021-10-22T00:00:00"/>
        <d v="2019-05-08T00:00:00"/>
        <d v="2017-03-20T00:00:00"/>
        <d v="2018-12-15T00:00:00"/>
        <d v="2016-07-01T00:00:00"/>
        <d v="2020-08-20T00:00:00"/>
        <d v="2021-02-25T00:00:00"/>
        <d v="2019-09-12T00:00:00"/>
        <d v="2018-08-05T00:00:00"/>
        <d v="2017-01-12T00:00:00"/>
        <d v="2022-04-05T00:00:00"/>
        <d v="2021-10-02T00:00:00"/>
        <d v="2023-04-15T00:00:00"/>
        <d v="2022-11-28T00:00:00"/>
        <d v="2019-06-18T00:00:00"/>
        <d v="2018-02-05T00:00:00"/>
        <d v="2022-05-30T00:00:00"/>
        <d v="2023-01-10T00:00:00"/>
        <d v="2020-09-18T00:00:00"/>
        <d v="2021-07-03T00:00:00"/>
        <d v="2022-10-08T00:00:00"/>
        <d v="2023-03-22T00:00:00"/>
        <d v="2021-05-15T00:00:00"/>
        <d v="2019-12-28T00:00:00"/>
        <d v="2020-03-01T00:00:00"/>
        <d v="2018-07-10T00:00:00"/>
        <d v="2022-01-05T00:00:00"/>
        <d v="2021-08-20T00:00:00"/>
        <d v="2019-11-03T00:00:00"/>
        <d v="2020-04-12T00:00:00"/>
        <d v="2022-04-15T00:00:00"/>
        <d v="2023-02-10T00:00:00"/>
        <d v="2020-08-05T00:00:00"/>
        <d v="2021-12-01T00:00:00"/>
        <d v="2019-03-25T00:00:00"/>
        <d v="2017-06-18T00:00:00"/>
        <d v="2022-07-08T00:00:00"/>
        <d v="2023-05-15T00:00:00"/>
        <d v="2021-09-10T00:00:00"/>
        <d v="2020-02-28T00:00:00"/>
        <d v="2023-03-10T00:00:00"/>
        <d v="2021-05-02T00:00:00"/>
        <d v="2019-10-18T00:00:00"/>
        <d v="2020-01-05T00:00:00"/>
        <d v="2018-08-10T00:00:00"/>
        <d v="2021-07-20T00:00:00"/>
        <d v="2019-12-03T00:00:00"/>
        <d v="2022-05-08T00:00:00"/>
        <d v="2020-06-05T00:00:00"/>
        <d v="2021-11-30T00:00:00"/>
        <d v="2019-02-25T00:00:00"/>
        <d v="2017-05-18T00:00:00"/>
        <d v="2022-08-05T00:00:00"/>
        <d v="2023-06-15T00:00:00"/>
        <d v="2021-10-10T00:00:00"/>
        <d v="2020-05-12T00:00:00"/>
        <d v="2022-12-01T00:00:00"/>
        <d v="2018-07-12T00:00:00"/>
        <d v="2020-09-05T00:00:00"/>
        <d v="2022-04-18T00:00:00"/>
        <d v="2019-12-10T00:00:00"/>
        <d v="2018-04-03T00:00:00"/>
        <d v="2022-06-20T00:00:00"/>
        <d v="2020-07-08T00:00:00"/>
        <d v="2021-08-15T00:00:00"/>
        <d v="2019-10-25T00:00:00"/>
        <d v="2023-10-05T00:00:00"/>
        <d v="2022-02-15T00:00:00"/>
        <d v="2021-05-08T00:00:00"/>
        <d v="2020-11-29T00:00:00"/>
        <d v="2019-09-14T00:00:00"/>
        <d v="2022-03-12T00:00:00"/>
        <d v="2023-03-30T00:00:00"/>
        <d v="2021-07-01T00:00:00"/>
        <d v="2022-07-17T00:00:00"/>
        <d v="2018-08-22T00:00:00"/>
        <d v="2021-12-08T00:00:00"/>
        <d v="2019-04-27T00:00:00"/>
        <d v="2023-09-03T00:00:00"/>
        <d v="2020-06-10T00:00:00"/>
        <d v="2022-04-01T00:00:00"/>
        <d v="2021-01-15T00:00:00"/>
        <d v="2023-05-06T00:00:00"/>
        <d v="2020-08-29T00:00:00"/>
        <d v="2022-10-30T00:00:00"/>
        <d v="2021-09-15T00:00:00"/>
        <d v="2019-03-08T00:00:00"/>
        <d v="2017-07-20T00:00:00"/>
        <d v="2020-11-02T00:00:00"/>
        <d v="2022-05-12T00:00:00"/>
        <d v="2023-04-08T00:00:00"/>
        <d v="2021-06-25T00:00:00"/>
        <d v="2019-08-30T00:00:00"/>
        <d v="2022-08-03T00:00:00"/>
        <d v="2020-12-17T00:00:00"/>
        <d v="2021-02-28T00:00:00"/>
        <d v="2018-05-10T00:00:00"/>
        <d v="2022-01-07T00:00:00"/>
        <d v="2019-09-19T00:00:00"/>
        <d v="2023-07-14T00:00:00"/>
        <d v="2020-04-05T00:00:00"/>
        <d v="2021-11-29T00:00:00"/>
        <d v="2019-12-12T00:00:00"/>
        <d v="2022-05-20T00:00:00"/>
        <d v="2020-09-03T00:00:00"/>
        <d v="2021-02-10T00:00:00"/>
        <d v="2018-08-18T00:00:00"/>
        <d v="2022-02-28T00:00:00"/>
        <d v="2019-10-15T00:00:00"/>
        <d v="2017-12-01T00:00:00"/>
        <d v="2020-04-18T00:00:00"/>
        <d v="2023-01-07T00:00:00"/>
        <d v="2021-06-10T00:00:00"/>
        <d v="2020-02-22T00:00:00"/>
        <d v="2018-03-17T00:00:00"/>
        <d v="2022-10-28T00:00:00"/>
        <d v="2020-11-01T00:00:00"/>
        <d v="2023-10-12T00:00:00"/>
        <d v="2020-09-15T00:00:00"/>
        <d v="2017-11-08T00:00:00"/>
        <d v="2021-05-20T00:00:00"/>
        <d v="2018-12-05T00:00:00"/>
        <d v="2020-03-15T00:00:00"/>
        <d v="2016-08-22T00:00:00"/>
        <d v="2019-08-20T00:00:00"/>
        <d v="2017-04-15T00:00:00"/>
        <d v="2022-10-22T00:00:00"/>
        <d v="2016-07-02T00:00:00"/>
        <d v="2020-11-18T00:00:00"/>
        <d v="2023-03-05T00:00:00"/>
        <d v="2015-12-01T00:00:00"/>
        <d v="2018-05-12T00:00:00"/>
        <d v="2022-07-25T00:00:00"/>
        <d v="2017-01-28T00:00:00"/>
        <d v="2016-11-14T00:00:00"/>
        <d v="2018-08-07T00:00:00"/>
        <d v="2022-06-30T00:00:00"/>
        <d v="2017-06-12T00:00:00"/>
        <d v="2021-07-05T00:00:00"/>
        <d v="2016-04-15T00:00:00"/>
        <d v="2020-02-10T00:00:00"/>
        <d v="2018-09-22T00:00:00"/>
        <d v="2015-11-08T00:00:00"/>
        <d v="2022-08-10T00:00:00"/>
        <d v="2019-04-05T00:00:00"/>
        <d v="2020-12-15T00:00:00"/>
        <d v="2017-10-20T00:00:00"/>
        <d v="2018-06-12T00:00:00"/>
        <d v="2016-03-08T00:00:00"/>
        <d v="2023-04-18T00:00:00"/>
        <d v="2020-07-25T00:00:00"/>
        <d v="2019-11-30T00:00:00"/>
        <d v="2015-09-01T00:00:00"/>
        <d v="2022-05-05T00:00:00"/>
        <d v="2018-07-08T00:00:00"/>
        <d v="2021-09-20T00:00:00"/>
        <d v="2016-11-15T00:00:00"/>
        <d v="2020-01-12T00:00:00"/>
        <d v="2017-12-28T00:00:00"/>
        <d v="2019-03-02T00:00:00"/>
        <d v="2022-06-08T00:00:00"/>
        <d v="2020-12-02T00:00:00"/>
        <d v="2017-06-10T00:00:00"/>
        <d v="2021-04-15T00:00:00"/>
        <d v="2019-09-28T00:00:00"/>
        <d v="2016-12-05T00:00:00"/>
        <d v="2018-02-10T00:00:00"/>
        <d v="2015-08-22T00:00:00"/>
        <d v="2020-11-20T00:00:00"/>
        <d v="2019-08-05T00:00:00"/>
        <d v="2021-02-12T00:00:00"/>
        <d v="2020-11-28T00:00:00"/>
        <d v="2016-05-15T00:00:00"/>
        <d v="2018-09-10T00:00:00"/>
        <d v="2022-03-20T00:00:00"/>
        <d v="2017-07-18T00:00:00"/>
        <d v="2015-06-28T00:00:00"/>
        <d v="2019-10-08T00:00:00"/>
        <d v="2016-11-22T00:00:00"/>
        <d v="2022-08-18T00:00:00"/>
        <d v="2017-03-12T00:00:00"/>
        <d v="2015-12-15T00:00:00"/>
        <d v="2021-09-05T00:00:00"/>
        <d v="2016-07-10T00:00:00"/>
        <d v="2019-04-30T00:00:00"/>
        <d v="2022-01-08T00:00:00"/>
        <d v="2017-09-10T00:00:00"/>
        <d v="2016-06-28T00:00:00"/>
        <d v="2019-10-22T00:00:00"/>
        <d v="2021-03-15T00:00:00"/>
        <d v="2017-08-10T00:00:00"/>
        <d v="2016-12-12T00:00:00"/>
        <d v="2020-07-18T00:00:00"/>
        <d v="2019-11-08T00:00:00"/>
        <d v="2017-03-28T00:00:00"/>
        <d v="2018-06-10T00:00:00"/>
        <d v="2016-12-22T00:00:00"/>
        <d v="2021-01-05T00:00:00"/>
        <d v="2019-04-18T00:00:00"/>
        <d v="2017-08-28T00:00:00"/>
        <d v="2022-07-10T00:00:00"/>
        <d v="2019-05-15T00:00:00"/>
        <d v="2018-11-28T00:00:00"/>
        <d v="2016-10-18T00:00:00"/>
        <d v="2020-08-15T00:00:00"/>
        <d v="2017-04-28T00:00:00"/>
        <d v="2019-09-10T00:00:00"/>
        <d v="2022-01-28T00:00:00"/>
        <d v="2016-06-15T00:00:00"/>
        <d v="2018-04-12T00:00:00"/>
        <d v="2019-10-28T00:00:00"/>
        <d v="2017-12-22T00:00:00"/>
        <d v="2016-09-18T00:00:00"/>
        <d v="2019-05-05T00:00:00"/>
        <d v="2018-08-28T00:00:00"/>
        <d v="2022-11-15T00:00:00"/>
        <d v="2019-07-02T00:00:00"/>
        <d v="2021-04-18T00:00:00"/>
        <d v="2023-02-05T00:00:00"/>
        <d v="2016-12-10T00:00:00"/>
        <d v="2020-05-28T00:00:00"/>
        <d v="2017-11-15T00:00:00"/>
        <d v="2021-08-02T00:00:00"/>
        <d v="2022-09-28T00:00:00"/>
        <d v="2019-11-10T00:00:00"/>
        <d v="2021-04-02T00:00:00"/>
        <d v="2017-08-22T00:00:00"/>
        <d v="2020-06-15T00:00:00"/>
        <d v="2016-09-10T00:00:00"/>
        <d v="2017-11-05T00:00:00"/>
        <d v="2022-07-20T00:00:00"/>
        <d v="2018-03-15T00:00:00"/>
        <d v="2017-08-18T00:00:00"/>
        <d v="2020-04-15T00:00:00"/>
        <d v="2019-01-10T00:00:00"/>
        <d v="2018-05-28T00:00:00"/>
        <d v="2022-09-15T00:00:00"/>
        <d v="2019-07-28T00:00:00"/>
        <d v="2021-05-10T00:00:00"/>
        <d v="2018-12-02T00:00:00"/>
        <d v="2020-08-18T00:00:00"/>
        <d v="2019-06-10T00:00:00"/>
        <d v="2023-03-20T00:00:00"/>
        <d v="2020-06-22T00:00:00"/>
        <d v="2018-12-10T00:00:00"/>
        <d v="2020-03-05T00:00:00"/>
        <d v="2018-10-12T00:00:00"/>
        <d v="2019-06-25T00:00:00"/>
        <d v="2017-09-18T00:00:00"/>
        <d v="2016-02-28T00:00:00"/>
        <d v="2022-04-20T00:00:00"/>
        <d v="2019-11-05T00:00:00"/>
        <d v="2015-07-12T00:00:00"/>
        <d v="2020-09-10T00:00:00"/>
        <d v="2018-07-15T00:00:00"/>
        <d v="2020-08-08T00:00:00"/>
        <d v="2021-11-07T00:00:00"/>
        <d v="2016-04-10T00:00:00"/>
        <d v="2019-11-24T00:00:00"/>
        <d v="2015-09-28T00:00:00"/>
        <d v="2020-12-12T00:00:00"/>
        <d v="2019-11-02T00:00:00"/>
        <d v="2017-05-15T00:00:00"/>
        <d v="2021-04-05T00:00:00"/>
        <d v="2016-08-20T00:00:00"/>
        <d v="2019-02-12T00:00:00"/>
        <d v="2021-07-10T00:00:00"/>
        <d v="2022-03-15T00:00:00"/>
        <d v="2020-05-20T00:00:00"/>
        <d v="2023-04-10T00:00:00"/>
        <d v="2021-10-08T00:00:00"/>
        <d v="2019-03-22T00:00:00"/>
        <d v="2019-08-28T00:00:00"/>
        <d v="2020-05-15T00:00:00"/>
        <d v="2016-09-22T00:00:00"/>
        <d v="2015-11-10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5T00:00:00"/>
        <d v="2023-07-16T00:00:00"/>
        <d v="2023-07-17T00:00:00"/>
        <d v="2023-07-18T00:00:00"/>
        <d v="2023-07-19T00:00:00"/>
        <d v="2023-07-20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19T00:00:00"/>
        <d v="2023-10-20T00:00:00"/>
        <d v="2023-10-21T00:00:00"/>
        <d v="2023-10-22T00:00:00"/>
        <d v="2016-09-14T00:00:00"/>
        <d v="2018-06-22T00:00:00"/>
        <d v="2020-02-29T00:00:00"/>
        <d v="2020-11-15T00:00:00"/>
      </sharedItems>
    </cacheField>
    <cacheField name="Time" numFmtId="171">
      <sharedItems containsSemiMixedTypes="0" containsNonDate="0" containsDate="1" containsString="0" minDate="1899-12-30T00:05:00" maxDate="1899-12-31T23:30:00" count="174">
        <d v="1899-12-31T12:30:00"/>
        <d v="1899-12-31T08:45:00"/>
        <d v="1899-12-31T15:45:00"/>
        <d v="1899-12-31T18:20:00"/>
        <d v="1899-12-31T19:55:00"/>
        <d v="1899-12-30T09:10:00"/>
        <d v="1899-12-30T14:45:00"/>
        <d v="1899-12-30T19:30:00"/>
        <d v="1899-12-31T08:00:00"/>
        <d v="1899-12-31T12:20:00"/>
        <d v="1899-12-31T15:15:00"/>
        <d v="1899-12-30T10:30:00"/>
        <d v="1899-12-30T14:50:00"/>
        <d v="1899-12-30T18:00:00"/>
        <d v="1899-12-31T09:45:00"/>
        <d v="1899-12-31T13:20:00"/>
        <d v="1899-12-31T17:10:00"/>
        <d v="1899-12-30T00:05:00"/>
        <d v="1899-12-30T11:30:00"/>
        <d v="1899-12-30T15:15:00"/>
        <d v="1899-12-31T08:40:00"/>
        <d v="1899-12-31T16:45:00"/>
        <d v="1899-12-30T09:15:00"/>
        <d v="1899-12-30T14:30:00"/>
        <d v="1899-12-30T12:00:00"/>
        <d v="1899-12-31T16:20:00"/>
        <d v="1899-12-31T19:45:00"/>
        <d v="1899-12-30T15:00:00"/>
        <d v="1899-12-30T17:30:00"/>
        <d v="1899-12-31T18:00:00"/>
        <d v="1899-12-31T13:15:00"/>
        <d v="1899-12-30T09:45:00"/>
        <d v="1899-12-30T14:20:00"/>
        <d v="1899-12-30T17:40:00"/>
        <d v="1899-12-31T20:00:00"/>
        <d v="1899-12-31T16:10:00"/>
        <d v="1899-12-30T09:00:00"/>
        <d v="1899-12-31T17:00:00"/>
        <d v="1899-12-31T20:20:00"/>
        <d v="1899-12-30T15:45:00"/>
        <d v="1899-12-30T18:30:00"/>
        <d v="1899-12-31T10:45:00"/>
        <d v="1899-12-31T19:00:00"/>
        <d v="1899-12-30T08:00:00"/>
        <d v="1899-12-30T13:30:00"/>
        <d v="1899-12-30T09:30:00"/>
        <d v="1899-12-30T21:15:00"/>
        <d v="1899-12-31T14:45:00"/>
        <d v="1899-12-30T10:00:00"/>
        <d v="1899-12-31T08:30:00"/>
        <d v="1899-12-31T14:20:00"/>
        <d v="1899-12-30T16:00:00"/>
        <d v="1899-12-30T20:30:00"/>
        <d v="1899-12-31T09:00:00"/>
        <d v="1899-12-30T10:45:00"/>
        <d v="1899-12-30T07:30:00"/>
        <d v="1899-12-31T09:30:00"/>
        <d v="1899-12-31T18:45:00"/>
        <d v="1899-12-30T19:45:00"/>
        <d v="1899-12-31T21:15:00"/>
        <d v="1899-12-30T18:20:00"/>
        <d v="1899-12-31T10:00:00"/>
        <d v="1899-12-31T19:30:00"/>
        <d v="1899-12-30T08:30:00"/>
        <d v="1899-12-31T11:30:00"/>
        <d v="1899-12-31T16:00:00"/>
        <d v="1899-12-31T20:30:00"/>
        <d v="1899-12-31T07:30:00"/>
        <d v="1899-12-31T15:00:00"/>
        <d v="1899-12-30T18:45:00"/>
        <d v="1899-12-30T17:45:00"/>
        <d v="1899-12-31T15:30:00"/>
        <d v="1899-12-31T14:30:00"/>
        <d v="1899-12-31T21:45:00"/>
        <d v="1899-12-31T18:10:00"/>
        <d v="1899-12-31T19:15:00"/>
        <d v="1899-12-31T08:20:00"/>
        <d v="1899-12-31T16:30:00"/>
        <d v="1899-12-30T15:30:00"/>
        <d v="1899-12-30T11:45:00"/>
        <d v="1899-12-30T20:20:00"/>
        <d v="1899-12-30T11:20:00"/>
        <d v="1899-12-30T16:40:00"/>
        <d v="1899-12-30T13:15:00"/>
        <d v="1899-12-31T21:20:00"/>
        <d v="1899-12-31T18:30:00"/>
        <d v="1899-12-30T18:10:00"/>
        <d v="1899-12-30T16:30:00"/>
        <d v="1899-12-30T19:00:00"/>
        <d v="1899-12-31T12:00:00"/>
        <d v="1899-12-31T10:15:00"/>
        <d v="1899-12-31T17:30:00"/>
        <d v="1899-12-30T14:00:00"/>
        <d v="1899-12-30T20:45:00"/>
        <d v="1899-12-30T16:20:00"/>
        <d v="1899-12-30T13:45:00"/>
        <d v="1899-12-30T08:15:00"/>
        <d v="1899-12-31T11:45:00"/>
        <d v="1899-12-30T08:45:00"/>
        <d v="1899-12-30T12:15:00"/>
        <d v="1899-12-31T21:00:00"/>
        <d v="1899-12-31T12:15:00"/>
        <d v="1899-12-31T17:45:00"/>
        <d v="1899-12-31T20:10:00"/>
        <d v="1899-12-31T14:15:00"/>
        <d v="1899-12-31T11:10:00"/>
        <d v="1899-12-31T16:50:00"/>
        <d v="1899-12-30T22:00:00"/>
        <d v="1899-12-30T10:20:00"/>
        <d v="1899-12-30T19:55:00"/>
        <d v="1899-12-30T12:10:00"/>
        <d v="1899-12-31T06:15:00"/>
        <d v="1899-12-30T17:20:00"/>
        <d v="1899-12-30T09:50:00"/>
        <d v="1899-12-30T21:40:00"/>
        <d v="1899-12-30T10:05:00"/>
        <d v="1899-12-31T13:00:00"/>
        <d v="1899-12-30T07:20:00"/>
        <d v="1899-12-30T11:40:00"/>
        <d v="1899-12-31T02:00:00"/>
        <d v="1899-12-30T17:50:00"/>
        <d v="1899-12-31T10:10:00"/>
        <d v="1899-12-30T09:20:00"/>
        <d v="1899-12-31T22:45:00"/>
        <d v="1899-12-30T11:10:00"/>
        <d v="1899-12-31T03:30:00"/>
        <d v="1899-12-31T23:00:00"/>
        <d v="1899-12-31T14:50:00"/>
        <d v="1899-12-30T14:40:00"/>
        <d v="1899-12-30T21:00:00"/>
        <d v="1899-12-31T10:30:00"/>
        <d v="1899-12-30T18:50:00"/>
        <d v="1899-12-31T16:15:00"/>
        <d v="1899-12-31T15:20:00"/>
        <d v="1899-12-30T11:15:00"/>
        <d v="1899-12-30T12:30:00"/>
        <d v="1899-12-31T22:10:00"/>
        <d v="1899-12-30T06:15:00"/>
        <d v="1899-12-30T15:10:00"/>
        <d v="1899-12-30T07:15:00"/>
        <d v="1899-12-30T12:45:00"/>
        <d v="1899-12-31T23:30:00"/>
        <d v="1899-12-30T16:45:00"/>
        <d v="1899-12-30T07:00:00"/>
        <d v="1899-12-31T11:15:00"/>
        <d v="1899-12-31T22:00:00"/>
        <d v="1899-12-30T17:10:00"/>
        <d v="1899-12-31T12:45:00"/>
        <d v="1899-12-30T10:15:00"/>
        <d v="1899-12-31T22:30:00"/>
        <d v="1899-12-30T23:30:00"/>
        <d v="1899-12-31T14:00:00"/>
        <d v="1899-12-30T19:15:00"/>
        <d v="1899-12-30T17:00:00"/>
        <d v="1899-12-30T22:45:00"/>
        <d v="1899-12-31T18:15:00"/>
        <d v="1899-12-31T13:30:00"/>
        <d v="1899-12-30T21:45:00"/>
        <d v="1899-12-31T11:00:00"/>
        <d v="1899-12-30T22:15:00"/>
        <d v="1899-12-30T21:30:00"/>
        <d v="1899-12-31T13:45:00"/>
        <d v="1899-12-30T22:30:00"/>
        <d v="1899-12-30T14:15:00"/>
        <d v="1899-12-31T21:30:00"/>
        <d v="1899-12-30T13:00:00"/>
        <d v="1899-12-30T05:30:00"/>
        <d v="1899-12-30T20:15:00"/>
        <d v="1899-12-30T20:00:00"/>
        <d v="1899-12-31T22:15:00"/>
        <d v="1899-12-31T20:15:00"/>
        <d v="1899-12-30T17:15:00"/>
        <d v="1899-12-30T16:15:00"/>
        <d v="1899-12-31T20:45:00"/>
      </sharedItems>
      <fieldGroup par="22"/>
    </cacheField>
    <cacheField name="New Time" numFmtId="171">
      <sharedItems containsNonDate="0" count="107">
        <s v="12:30"/>
        <s v="08:45"/>
        <s v="15:45"/>
        <s v="18:20"/>
        <s v="19:55"/>
        <s v="09:10"/>
        <s v="14:45"/>
        <s v="19:30"/>
        <s v="08:00"/>
        <s v="12:20"/>
        <s v="15:15"/>
        <s v="10:30"/>
        <s v="14:50"/>
        <s v="18:00"/>
        <s v="09:45"/>
        <s v="13:20"/>
        <s v="17:10"/>
        <s v="00:05"/>
        <s v="11:30"/>
        <s v="08:40"/>
        <s v="16:45"/>
        <s v="09:15"/>
        <s v="14:30"/>
        <s v="12:00"/>
        <s v="16:20"/>
        <s v="19:45"/>
        <s v="15:00"/>
        <s v="17:30"/>
        <s v="13:15"/>
        <s v="14:20"/>
        <s v="17:40"/>
        <s v="20:00"/>
        <s v="16:10"/>
        <s v="09:00"/>
        <s v="17:00"/>
        <s v="20:20"/>
        <s v="18:30"/>
        <s v="10:45"/>
        <s v="19:00"/>
        <s v="13:30"/>
        <s v="09:30"/>
        <s v="21:15"/>
        <s v="10:00"/>
        <s v="08:30"/>
        <s v="16:00"/>
        <s v="20:30"/>
        <s v="07:30"/>
        <s v="18:45"/>
        <s v="17:45"/>
        <s v="15:30"/>
        <s v="21:45"/>
        <s v="18:10"/>
        <s v="19:15"/>
        <s v="08:20"/>
        <s v="16:30"/>
        <s v="11:45"/>
        <s v="11:20"/>
        <s v="16:40"/>
        <s v="21:20"/>
        <s v="10:15"/>
        <s v="14:00"/>
        <s v="20:45"/>
        <s v="13:45"/>
        <s v="08:15"/>
        <s v="12:15"/>
        <s v="21:00"/>
        <s v="20:10"/>
        <s v="14:15"/>
        <s v="11:10"/>
        <s v="16:50"/>
        <s v="22:00"/>
        <s v="10:20"/>
        <s v="12:10"/>
        <s v="06:15"/>
        <s v="17:20"/>
        <s v="09:50"/>
        <s v="21:40"/>
        <s v="10:05"/>
        <s v="13:00"/>
        <s v="07:20"/>
        <s v="11:40"/>
        <s v="02:00"/>
        <s v="17:50"/>
        <s v="10:10"/>
        <s v="09:20"/>
        <s v="22:45"/>
        <s v="03:30"/>
        <s v="23:00"/>
        <s v="14:40"/>
        <s v="18:50"/>
        <s v="16:15"/>
        <s v="15:20"/>
        <s v="11:15"/>
        <s v="22:10"/>
        <s v="15:10"/>
        <s v="07:15"/>
        <s v="12:45"/>
        <s v="23:30"/>
        <s v="07:00"/>
        <s v="22:30"/>
        <s v="18:15"/>
        <s v="11:00"/>
        <s v="22:15"/>
        <s v="21:30"/>
        <s v="05:30"/>
        <s v="20:15"/>
        <s v="17:15"/>
      </sharedItems>
    </cacheField>
    <cacheField name="User" numFmtId="0">
      <sharedItems/>
    </cacheField>
    <cacheField name="Platform" numFmtId="0">
      <sharedItems count="4">
        <s v=" Twitter  "/>
        <s v=" Instagram "/>
        <s v=" Facebook "/>
        <s v=" Twitter "/>
      </sharedItems>
    </cacheField>
    <cacheField name="NEW Platform" numFmtId="0">
      <sharedItems count="3">
        <s v="Twitter"/>
        <s v="Instagram"/>
        <s v="Facebook"/>
      </sharedItems>
    </cacheField>
    <cacheField name="Hashtags" numFmtId="0">
      <sharedItems/>
    </cacheField>
    <cacheField name="Retweets" numFmtId="0">
      <sharedItems containsSemiMixedTypes="0" containsString="0" containsNumber="1" containsInteger="1" minValue="5" maxValue="40"/>
    </cacheField>
    <cacheField name="Likes" numFmtId="0">
      <sharedItems containsSemiMixedTypes="0" containsString="0" containsNumber="1" containsInteger="1" minValue="10" maxValue="80"/>
    </cacheField>
    <cacheField name="Interactions" numFmtId="0">
      <sharedItems containsSemiMixedTypes="0" containsString="0" containsNumber="1" containsInteger="1" minValue="15" maxValue="120" count="45">
        <n v="45"/>
        <n v="15"/>
        <n v="60"/>
        <n v="23"/>
        <n v="37"/>
        <n v="75"/>
        <n v="30"/>
        <n v="90"/>
        <n v="53"/>
        <n v="67"/>
        <n v="22"/>
        <n v="83"/>
        <n v="27"/>
        <n v="42"/>
        <n v="39"/>
        <n v="54"/>
        <n v="33"/>
        <n v="66"/>
        <n v="36"/>
        <n v="51"/>
        <n v="57"/>
        <n v="48"/>
        <n v="63"/>
        <n v="69"/>
        <n v="72"/>
        <n v="24"/>
        <n v="120"/>
        <n v="105"/>
        <n v="62"/>
        <n v="58"/>
        <n v="74"/>
        <n v="50"/>
        <n v="56"/>
        <n v="79"/>
        <n v="65"/>
        <n v="59"/>
        <n v="43"/>
        <n v="47"/>
        <n v="41"/>
        <n v="76"/>
        <n v="64"/>
        <n v="68"/>
        <n v="77"/>
        <n v="73"/>
        <n v="71"/>
      </sharedItems>
    </cacheField>
    <cacheField name="Country" numFmtId="0">
      <sharedItems count="115">
        <s v=" USA      "/>
        <s v=" Canada   "/>
        <s v=" USA        "/>
        <s v=" UK       "/>
        <s v=" Australia "/>
        <s v=" India    "/>
        <s v=" USA    "/>
        <s v="USA"/>
        <s v=" Canada    "/>
        <s v=" USA       "/>
        <s v=" USA "/>
        <s v=" Canada  "/>
        <s v=" UK "/>
        <s v=" India     "/>
        <s v=" Canada "/>
        <s v=" UK        "/>
        <s v=" India "/>
        <s v=" UK   "/>
        <s v=" UK         "/>
        <s v=" USA     "/>
        <s v=" Canada     "/>
        <s v=" USA          "/>
        <s v=" India      "/>
        <s v=" Australia  "/>
        <s v=" UK           "/>
        <s v=" Canada       "/>
        <s v=" Australia   "/>
        <s v=" Australia    "/>
        <s v=" UK            "/>
        <s v=" USA   "/>
        <s v=" India       "/>
        <s v=" UK          "/>
        <s v=" USA  "/>
        <s v=" UK      "/>
        <s v=" Canada      "/>
        <s v=" India   "/>
        <s v=" Canada          "/>
        <s v=" India        "/>
        <s v=" Australia     "/>
        <s v=" Canada        "/>
        <s v=" India         "/>
        <s v=" USA           "/>
        <s v=" USA               "/>
        <s v=" Canada            "/>
        <s v=" UK                "/>
        <s v=" India              "/>
        <s v=" Australia          "/>
        <s v=" France            "/>
        <s v=" Brazil            "/>
        <s v=" Japan             "/>
        <s v=" Greece            "/>
        <s v=" India             "/>
        <s v=" Brazil           "/>
        <s v=" France           "/>
        <s v=" Japan            "/>
        <s v=" Canada           "/>
        <s v=" Australia         "/>
        <s v=" UK               "/>
        <s v=" USA             "/>
        <s v=" Greece           "/>
        <s v=" Germany         "/>
        <s v=" Sweden          "/>
        <s v=" Italy           "/>
        <s v=" Netherlands     "/>
        <s v=" South Africa    "/>
        <s v=" Spain           "/>
        <s v=" Portugal        "/>
        <s v=" Switzerland     "/>
        <s v=" Austria         "/>
        <s v=" Belgium         "/>
        <s v=" Denmark         "/>
        <s v=" Czech Republic  "/>
        <s v=" Canada         "/>
        <s v=" France          "/>
        <s v=" UK              "/>
        <s v=" India          "/>
        <s v=" Australia      "/>
        <s v=" Japan           "/>
        <s v=" Brazil          "/>
        <s v=" Germany       "/>
        <s v=" Australia        "/>
        <s v=" France         "/>
        <s v=" Italy         "/>
        <s v=" Japan       "/>
        <s v=" Spain        "/>
        <s v=" Netherlands  "/>
        <s v=" South Africa "/>
        <s v=" Germany     "/>
        <s v=" USA         "/>
        <s v=" France    "/>
        <s v=" Brazil     "/>
        <s v=" Germany "/>
        <s v=" Brazil "/>
        <s v=" France "/>
        <s v=" Italy "/>
        <s v=" Japan "/>
        <s v=" Spain "/>
        <s v=" Netherlands "/>
        <s v=" Greece "/>
        <s v=" Jordan "/>
        <s v=" Peru "/>
        <s v=" Maldives "/>
        <s v=" China "/>
        <s v=" Cambodia "/>
        <s v=" Switzerland "/>
        <s v=" Norway "/>
        <s v=" Colombia "/>
        <s v=" Ireland "/>
        <s v=" Jamaica "/>
        <s v=" Kenya "/>
        <s v=" Scotland "/>
        <s v=" Thailand "/>
        <s v=" USA"/>
        <s v=" Canada"/>
        <s v=" UK"/>
      </sharedItems>
    </cacheField>
    <cacheField name="New Country" numFmtId="0">
      <sharedItems count="33">
        <s v="USA"/>
        <s v="Canada"/>
        <s v="UK"/>
        <s v="Australia"/>
        <s v="India"/>
        <s v="France"/>
        <s v="Brazil"/>
        <s v="Japan"/>
        <s v="Greece"/>
        <s v="Germany"/>
        <s v="Sweden"/>
        <s v="Italy"/>
        <s v="Netherlands"/>
        <s v="South Africa"/>
        <s v="Spain"/>
        <s v="Portugal"/>
        <s v="Switzerland"/>
        <s v="Austria"/>
        <s v="Belgium"/>
        <s v="Denmark"/>
        <s v="Czech Republic"/>
        <s v="Jordan"/>
        <s v="Peru"/>
        <s v="Maldives"/>
        <s v="China"/>
        <s v="Cambodia"/>
        <s v="Norway"/>
        <s v="Colombia"/>
        <s v="Ireland"/>
        <s v="Jamaica"/>
        <s v="Kenya"/>
        <s v="Scotland"/>
        <s v="Thailand"/>
      </sharedItems>
    </cacheField>
    <cacheField name="Year" numFmtId="0">
      <sharedItems containsSemiMixedTypes="0" containsString="0" containsNumber="1" containsInteger="1" minValue="2010" maxValue="2023"/>
    </cacheField>
    <cacheField name="Month"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 name="Hour" numFmtId="0">
      <sharedItems containsSemiMixedTypes="0" containsString="0" containsNumber="1" containsInteger="1" minValue="0" maxValue="23" count="22">
        <n v="12"/>
        <n v="8"/>
        <n v="15"/>
        <n v="18"/>
        <n v="19"/>
        <n v="9"/>
        <n v="14"/>
        <n v="10"/>
        <n v="13"/>
        <n v="17"/>
        <n v="0"/>
        <n v="11"/>
        <n v="16"/>
        <n v="20"/>
        <n v="21"/>
        <n v="7"/>
        <n v="22"/>
        <n v="6"/>
        <n v="2"/>
        <n v="3"/>
        <n v="23"/>
        <n v="5"/>
      </sharedItems>
    </cacheField>
    <cacheField name="Minutes (Time)" numFmtId="0" databaseField="0">
      <fieldGroup base="5">
        <rangePr groupBy="minutes" startDate="1899-12-30T00:05:00" endDate="1899-12-31T23:30: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1/01/1900"/>
        </groupItems>
      </fieldGroup>
    </cacheField>
    <cacheField name="Hours (Time)" numFmtId="0" databaseField="0">
      <fieldGroup base="5">
        <rangePr groupBy="hours" startDate="1899-12-30T00:05:00" endDate="1899-12-31T23:30:00"/>
        <groupItems count="26">
          <s v="&lt;00/01/1900"/>
          <s v="00"/>
          <s v="01"/>
          <s v="02"/>
          <s v="03"/>
          <s v="04"/>
          <s v="05"/>
          <s v="06"/>
          <s v="07"/>
          <s v="08"/>
          <s v="09"/>
          <s v="10"/>
          <s v="11"/>
          <s v="12"/>
          <s v="13"/>
          <s v="14"/>
          <s v="15"/>
          <s v="16"/>
          <s v="17"/>
          <s v="18"/>
          <s v="19"/>
          <s v="20"/>
          <s v="21"/>
          <s v="22"/>
          <s v="23"/>
          <s v="&gt;01/01/1900"/>
        </groupItems>
      </fieldGroup>
    </cacheField>
    <cacheField name="Days (Time)" numFmtId="0" databaseField="0">
      <fieldGroup base="5">
        <rangePr groupBy="days" startDate="1899-12-30T00:05:00" endDate="1899-12-31T23:30:00"/>
        <groupItems count="368">
          <s v="&lt;00/01/190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1900"/>
        </groupItems>
      </fieldGroup>
    </cacheField>
  </cacheFields>
  <extLst>
    <ext xmlns:x14="http://schemas.microsoft.com/office/spreadsheetml/2009/9/main" uri="{725AE2AE-9491-48be-B2B4-4EB974FC3084}">
      <x14:pivotCacheDefinition pivotCacheId="824907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70.630791087962" createdVersion="8" refreshedVersion="8" minRefreshableVersion="3" recordCount="732" xr:uid="{421A8B69-CE8F-9941-AAE8-B62767E74A85}">
  <cacheSource type="worksheet">
    <worksheetSource ref="B1:Q733" sheet="Transformations"/>
  </cacheSource>
  <cacheFields count="16">
    <cacheField name="Sentiment" numFmtId="0">
      <sharedItems count="279">
        <s v=" Positive  "/>
        <s v=" Negative  "/>
        <s v=" Neutral   "/>
        <s v=" Anger        "/>
        <s v=" Fear         "/>
        <s v=" Sadness      "/>
        <s v=" Disgust      "/>
        <s v=" Happiness    "/>
        <s v=" Joy          "/>
        <s v=" Love         "/>
        <s v=" Amusement    "/>
        <s v=" Enjoyment    "/>
        <s v=" Admiration   "/>
        <s v=" Affection    "/>
        <s v=" Awe          "/>
        <s v=" Disappointed "/>
        <s v=" Surprise     "/>
        <s v=" Acceptance   "/>
        <s v=" Adoration    "/>
        <s v=" Anticipation "/>
        <s v=" Bitter       "/>
        <s v=" Calmness     "/>
        <s v=" Confusion    "/>
        <s v=" Excitement   "/>
        <s v=" Kind         "/>
        <s v=" Pride        "/>
        <s v=" Shame        "/>
        <s v=" Confusion "/>
        <s v=" Excitement "/>
        <s v=" Shame "/>
        <s v=" Elation       "/>
        <s v=" Euphoria      "/>
        <s v=" Contentment   "/>
        <s v=" Serenity      "/>
        <s v=" Gratitude     "/>
        <s v=" Hope          "/>
        <s v=" Empowerment   "/>
        <s v=" Compassion    "/>
        <s v=" Tenderness    "/>
        <s v=" Arousal       "/>
        <s v=" Enthusiasm    "/>
        <s v=" Fulfillment  "/>
        <s v=" Reverence     "/>
        <s v=" Compassion"/>
        <s v=" Fulfillment   "/>
        <s v=" Reverence "/>
        <s v=" Elation   "/>
        <s v=" Despair         "/>
        <s v=" Grief           "/>
        <s v=" Loneliness      "/>
        <s v=" Jealousy        "/>
        <s v=" Resentment      "/>
        <s v=" Frustration     "/>
        <s v=" Boredom         "/>
        <s v=" Anxiety         "/>
        <s v=" Intimidation    "/>
        <s v=" Helplessness    "/>
        <s v=" Envy            "/>
        <s v=" Regret         "/>
        <s v=" Disgust         "/>
        <s v=" Despair      "/>
        <s v=" Loneliness "/>
        <s v=" Frustration "/>
        <s v=" Anxiety   "/>
        <s v=" Intimidation "/>
        <s v=" Helplessness "/>
        <s v=" Jealousy    "/>
        <s v=" Curiosity       "/>
        <s v=" Indifference    "/>
        <s v=" Confusion       "/>
        <s v=" Numbness        "/>
        <s v=" Melancholy      "/>
        <s v=" Nostalgia       "/>
        <s v=" Ambivalence     "/>
        <s v=" Acceptance      "/>
        <s v=" Determination   "/>
        <s v=" Serenity        "/>
        <s v=" Numbness "/>
        <s v=" Zest "/>
        <s v=" Contentment "/>
        <s v=" Hopeful "/>
        <s v=" Proud "/>
        <s v=" Grateful "/>
        <s v=" Empathetic "/>
        <s v=" Compassionate "/>
        <s v=" Playful "/>
        <s v=" Free-spirited "/>
        <s v=" Inspired "/>
        <s v=" Confident "/>
        <s v=" Serenity "/>
        <s v=" Curiosity "/>
        <s v=" Ambivalence "/>
        <s v=" Despair "/>
        <s v=" Bitterness "/>
        <s v=" Yearning "/>
        <s v=" Fearful "/>
        <s v=" Apprehensive "/>
        <s v=" Overwhelmed "/>
        <s v=" Jealous "/>
        <s v=" Devastated "/>
        <s v=" Frustrated "/>
        <s v=" Envious "/>
        <s v=" Dismissive "/>
        <s v=" Awe           "/>
        <s v=" Determination "/>
        <s v=" Nostalgia      "/>
        <s v=" Thrill        "/>
        <s v=" Calmness      "/>
        <s v=" Overwhelmed   "/>
        <s v=" Gratitude   "/>
        <s v=" Bittersweet "/>
        <s v=" Curiosity     "/>
        <s v=" Admiration    "/>
        <s v=" Overjoyed     "/>
        <s v=" Inspiration   "/>
        <s v=" Motivation    "/>
        <s v=" Amusement     "/>
        <s v=" Contemplation "/>
        <s v=" JoyfulReunion "/>
        <s v=" Excitement    "/>
        <s v=" Satisfaction  "/>
        <s v=" Blessed       "/>
        <s v=" Anticipation  "/>
        <s v=" Reflection    "/>
        <s v=" Nostalgia     "/>
        <s v=" Appreciation  "/>
        <s v=" Confidence    "/>
        <s v=" Surprise      "/>
        <s v=" Accomplishment "/>
        <s v=" Wonderment    "/>
        <s v=" Optimism      "/>
        <s v=" Pride         "/>
        <s v=" Happiness     "/>
        <s v=" Curiosity   "/>
        <s v=" Enchantment   "/>
        <s v=" Intrigue      "/>
        <s v=" PlayfulJoy    "/>
        <s v=" Mindfulness   "/>
        <s v=" DreamChaser   "/>
        <s v=" Elegance "/>
        <s v=" Whimsy        "/>
        <s v=" Pensive "/>
        <s v=" Thrill      "/>
        <s v=" Harmony    "/>
        <s v=" Creativity   "/>
        <s v=" Radiance    "/>
        <s v=" Wonder     "/>
        <s v=" Rejuvenation "/>
        <s v=" Inspiration "/>
        <s v=" Coziness     "/>
        <s v=" Gratitude  "/>
        <s v=" Adventure "/>
        <s v=" Euphoria   "/>
        <s v=" Awe    "/>
        <s v=" Melodic       "/>
        <s v=" FestiveJoy    "/>
        <s v=" InnerJourney  "/>
        <s v=" Freedom       "/>
        <s v=" Dazzle        "/>
        <s v=" Adrenaline     "/>
        <s v=" Harmony       "/>
        <s v=" ArtisticBurst "/>
        <s v=" Radiance      "/>
        <s v=" Wonder       "/>
        <s v=" Inspiration  "/>
        <s v=" CulinaryOdyssey "/>
        <s v=" Euphoria     "/>
        <s v=" Curiosity  "/>
        <s v=" Resilience   "/>
        <s v=" Immersion "/>
        <s v=" Nostalgia "/>
        <s v=" Spark        "/>
        <s v=" Gratitude    "/>
        <s v=" Marvel       "/>
        <s v=" Serenity   "/>
        <s v=" Heartbreak    "/>
        <s v=" Loneliness    "/>
        <s v=" Grief      "/>
        <s v=" Despair   "/>
        <s v=" Betrayal      "/>
        <s v=" Suffering "/>
        <s v=" EmotionalStorm "/>
        <s v=" Regret        "/>
        <s v=" Isolation "/>
        <s v=" Disappointment "/>
        <s v=" LostLove "/>
        <s v=" Melancholy "/>
        <s v=" Exhaustion "/>
        <s v=" Sorrow      "/>
        <s v=" Darkness     "/>
        <s v=" Desperation "/>
        <s v=" Ruins      "/>
        <s v=" Desolation "/>
        <s v=" Regret "/>
        <s v=" Grief "/>
        <s v=" Heartbreak "/>
        <s v=" Betrayal "/>
        <s v=" Resilience "/>
        <s v=" Sorrow "/>
        <s v=" Loss "/>
        <s v=" Heartache "/>
        <s v=" Solitude "/>
        <s v=" Joy "/>
        <s v=" Happiness "/>
        <s v=" Enthusiasm "/>
        <s v=" Gratitude "/>
        <s v=" Positivity "/>
        <s v=" Kindness "/>
        <s v=" Friendship "/>
        <s v=" Love "/>
        <s v=" Surprise "/>
        <s v=" Success "/>
        <s v=" Thrill "/>
        <s v=" Reflection "/>
        <s v=" Enchantment "/>
        <s v=" Exploration "/>
        <s v=" Awe "/>
        <s v=" Amazement "/>
        <s v=" Romance "/>
        <s v=" Captivation "/>
        <s v=" Wonder "/>
        <s v=" Tranquility "/>
        <s v=" Grandeur "/>
        <s v=" Emotion "/>
        <s v=" Energy "/>
        <s v=" Celebration "/>
        <s v=" Charm "/>
        <s v=" Ecstasy "/>
        <s v=" Hope "/>
        <s v=" Creativity "/>
        <s v=" Colorful "/>
        <s v=" Pride "/>
        <s v=" Hypnotic "/>
        <s v=" Connection "/>
        <s v=" Iconic "/>
        <s v=" Euphoria "/>
        <s v=" Journey "/>
        <s v=" Engagement "/>
        <s v=" Touched "/>
        <s v=" Suspense "/>
        <s v=" Satisfaction "/>
        <s v=" Admiration "/>
        <s v=" Triumph "/>
        <s v=" Heartwarming "/>
        <s v=" Obstacle "/>
        <s v=" Sympathy "/>
        <s v=" Pressure "/>
        <s v=" Renewed Effort "/>
        <s v=" Miscalculation "/>
        <s v=" Challenge "/>
        <s v=" Solace "/>
        <s v=" Breakthrough "/>
        <s v=" Harmony "/>
        <s v=" Joy in Baking "/>
        <s v=" Envisioning History "/>
        <s v=" Imagination "/>
        <s v=" Vibrancy "/>
        <s v=" Mesmerizing "/>
        <s v=" Culinary Adventure "/>
        <s v=" Winter Magic "/>
        <s v=" Thrilling Journey "/>
        <s v=" Nature's Beauty "/>
        <s v=" Celestial Wonder "/>
        <s v=" Creative Inspiration "/>
        <s v=" Runway Creativity "/>
        <s v=" Ocean's Freedom "/>
        <s v=" Whispers of the Past "/>
        <s v=" Boredom "/>
        <s v=" Indifference "/>
        <s v=" Disgust "/>
        <s v=" Relief "/>
        <s v=" Positive "/>
        <s v=" Embarrassed "/>
        <s v=" Mischievous "/>
        <s v=" Sad "/>
        <s v=" Hate "/>
        <s v=" Bad "/>
        <s v=" Neutral "/>
        <s v=" Happy "/>
      </sharedItems>
    </cacheField>
    <cacheField name="New Sentiment" numFmtId="0">
      <sharedItems count="3">
        <s v="Positive"/>
        <s v="Negative"/>
        <s v="Neutral"/>
      </sharedItems>
    </cacheField>
    <cacheField name="Sentiment Value" numFmtId="1">
      <sharedItems containsSemiMixedTypes="0" containsString="0" containsNumber="1" containsInteger="1" minValue="-1" maxValue="1"/>
    </cacheField>
    <cacheField name="Timestamp" numFmtId="22">
      <sharedItems containsSemiMixedTypes="0" containsNonDate="0" containsDate="1" containsString="0" minDate="2010-05-15T15:30:00" maxDate="2023-10-22T20:45:00"/>
    </cacheField>
    <cacheField name="Date" numFmtId="14">
      <sharedItems containsSemiMixedTypes="0" containsNonDate="0" containsDate="1" containsString="0" minDate="2010-05-15T00:00:00" maxDate="2023-10-23T00:00:00"/>
    </cacheField>
    <cacheField name="Time" numFmtId="171">
      <sharedItems containsSemiMixedTypes="0" containsNonDate="0" containsDate="1" containsString="0" minDate="1899-12-30T00:05:00" maxDate="1899-12-31T23:30:00" count="174">
        <d v="1899-12-31T12:30:00"/>
        <d v="1899-12-31T08:45:00"/>
        <d v="1899-12-31T15:45:00"/>
        <d v="1899-12-31T18:20:00"/>
        <d v="1899-12-31T19:55:00"/>
        <d v="1899-12-30T09:10:00"/>
        <d v="1899-12-30T14:45:00"/>
        <d v="1899-12-30T19:30:00"/>
        <d v="1899-12-31T08:00:00"/>
        <d v="1899-12-31T12:20:00"/>
        <d v="1899-12-31T15:15:00"/>
        <d v="1899-12-30T10:30:00"/>
        <d v="1899-12-30T14:50:00"/>
        <d v="1899-12-30T18:00:00"/>
        <d v="1899-12-31T09:45:00"/>
        <d v="1899-12-31T13:20:00"/>
        <d v="1899-12-31T17:10:00"/>
        <d v="1899-12-30T00:05:00"/>
        <d v="1899-12-30T11:30:00"/>
        <d v="1899-12-30T15:15:00"/>
        <d v="1899-12-31T08:40:00"/>
        <d v="1899-12-31T16:45:00"/>
        <d v="1899-12-30T09:15:00"/>
        <d v="1899-12-30T14:30:00"/>
        <d v="1899-12-30T12:00:00"/>
        <d v="1899-12-31T16:20:00"/>
        <d v="1899-12-31T19:45:00"/>
        <d v="1899-12-30T15:00:00"/>
        <d v="1899-12-30T17:30:00"/>
        <d v="1899-12-31T18:00:00"/>
        <d v="1899-12-31T13:15:00"/>
        <d v="1899-12-30T09:45:00"/>
        <d v="1899-12-30T14:20:00"/>
        <d v="1899-12-30T17:40:00"/>
        <d v="1899-12-31T20:00:00"/>
        <d v="1899-12-31T16:10:00"/>
        <d v="1899-12-30T09:00:00"/>
        <d v="1899-12-31T17:00:00"/>
        <d v="1899-12-31T20:20:00"/>
        <d v="1899-12-30T15:45:00"/>
        <d v="1899-12-30T18:30:00"/>
        <d v="1899-12-31T10:45:00"/>
        <d v="1899-12-31T19:00:00"/>
        <d v="1899-12-30T08:00:00"/>
        <d v="1899-12-30T13:30:00"/>
        <d v="1899-12-30T09:30:00"/>
        <d v="1899-12-30T21:15:00"/>
        <d v="1899-12-31T14:45:00"/>
        <d v="1899-12-30T10:00:00"/>
        <d v="1899-12-31T08:30:00"/>
        <d v="1899-12-31T14:20:00"/>
        <d v="1899-12-30T16:00:00"/>
        <d v="1899-12-30T20:30:00"/>
        <d v="1899-12-31T09:00:00"/>
        <d v="1899-12-30T10:45:00"/>
        <d v="1899-12-30T07:30:00"/>
        <d v="1899-12-31T09:30:00"/>
        <d v="1899-12-31T18:45:00"/>
        <d v="1899-12-30T19:45:00"/>
        <d v="1899-12-31T21:15:00"/>
        <d v="1899-12-30T18:20:00"/>
        <d v="1899-12-31T10:00:00"/>
        <d v="1899-12-31T19:30:00"/>
        <d v="1899-12-30T08:30:00"/>
        <d v="1899-12-31T11:30:00"/>
        <d v="1899-12-31T16:00:00"/>
        <d v="1899-12-31T20:30:00"/>
        <d v="1899-12-31T07:30:00"/>
        <d v="1899-12-31T15:00:00"/>
        <d v="1899-12-30T18:45:00"/>
        <d v="1899-12-30T17:45:00"/>
        <d v="1899-12-31T15:30:00"/>
        <d v="1899-12-31T14:30:00"/>
        <d v="1899-12-31T21:45:00"/>
        <d v="1899-12-31T18:10:00"/>
        <d v="1899-12-31T19:15:00"/>
        <d v="1899-12-31T08:20:00"/>
        <d v="1899-12-31T16:30:00"/>
        <d v="1899-12-30T15:30:00"/>
        <d v="1899-12-30T11:45:00"/>
        <d v="1899-12-30T20:20:00"/>
        <d v="1899-12-30T11:20:00"/>
        <d v="1899-12-30T16:40:00"/>
        <d v="1899-12-30T13:15:00"/>
        <d v="1899-12-31T21:20:00"/>
        <d v="1899-12-31T18:30:00"/>
        <d v="1899-12-30T18:10:00"/>
        <d v="1899-12-30T16:30:00"/>
        <d v="1899-12-30T19:00:00"/>
        <d v="1899-12-31T12:00:00"/>
        <d v="1899-12-31T10:15:00"/>
        <d v="1899-12-31T17:30:00"/>
        <d v="1899-12-30T14:00:00"/>
        <d v="1899-12-30T20:45:00"/>
        <d v="1899-12-30T16:20:00"/>
        <d v="1899-12-30T13:45:00"/>
        <d v="1899-12-30T08:15:00"/>
        <d v="1899-12-31T11:45:00"/>
        <d v="1899-12-30T08:45:00"/>
        <d v="1899-12-30T12:15:00"/>
        <d v="1899-12-31T21:00:00"/>
        <d v="1899-12-31T12:15:00"/>
        <d v="1899-12-31T17:45:00"/>
        <d v="1899-12-31T20:10:00"/>
        <d v="1899-12-31T14:15:00"/>
        <d v="1899-12-31T11:10:00"/>
        <d v="1899-12-31T16:50:00"/>
        <d v="1899-12-30T22:00:00"/>
        <d v="1899-12-30T10:20:00"/>
        <d v="1899-12-30T19:55:00"/>
        <d v="1899-12-30T12:10:00"/>
        <d v="1899-12-31T06:15:00"/>
        <d v="1899-12-30T17:20:00"/>
        <d v="1899-12-30T09:50:00"/>
        <d v="1899-12-30T21:40:00"/>
        <d v="1899-12-30T10:05:00"/>
        <d v="1899-12-31T13:00:00"/>
        <d v="1899-12-30T07:20:00"/>
        <d v="1899-12-30T11:40:00"/>
        <d v="1899-12-31T02:00:00"/>
        <d v="1899-12-30T17:50:00"/>
        <d v="1899-12-31T10:10:00"/>
        <d v="1899-12-30T09:20:00"/>
        <d v="1899-12-31T22:45:00"/>
        <d v="1899-12-30T11:10:00"/>
        <d v="1899-12-31T03:30:00"/>
        <d v="1899-12-31T23:00:00"/>
        <d v="1899-12-31T14:50:00"/>
        <d v="1899-12-30T14:40:00"/>
        <d v="1899-12-30T21:00:00"/>
        <d v="1899-12-31T10:30:00"/>
        <d v="1899-12-30T18:50:00"/>
        <d v="1899-12-31T16:15:00"/>
        <d v="1899-12-31T15:20:00"/>
        <d v="1899-12-30T11:15:00"/>
        <d v="1899-12-30T12:30:00"/>
        <d v="1899-12-31T22:10:00"/>
        <d v="1899-12-30T06:15:00"/>
        <d v="1899-12-30T15:10:00"/>
        <d v="1899-12-30T07:15:00"/>
        <d v="1899-12-30T12:45:00"/>
        <d v="1899-12-31T23:30:00"/>
        <d v="1899-12-30T16:45:00"/>
        <d v="1899-12-30T07:00:00"/>
        <d v="1899-12-31T11:15:00"/>
        <d v="1899-12-31T22:00:00"/>
        <d v="1899-12-30T17:10:00"/>
        <d v="1899-12-31T12:45:00"/>
        <d v="1899-12-30T10:15:00"/>
        <d v="1899-12-31T22:30:00"/>
        <d v="1899-12-30T23:30:00"/>
        <d v="1899-12-31T14:00:00"/>
        <d v="1899-12-30T19:15:00"/>
        <d v="1899-12-30T17:00:00"/>
        <d v="1899-12-30T22:45:00"/>
        <d v="1899-12-31T18:15:00"/>
        <d v="1899-12-31T13:30:00"/>
        <d v="1899-12-30T21:45:00"/>
        <d v="1899-12-31T11:00:00"/>
        <d v="1899-12-30T22:15:00"/>
        <d v="1899-12-30T21:30:00"/>
        <d v="1899-12-31T13:45:00"/>
        <d v="1899-12-30T22:30:00"/>
        <d v="1899-12-30T14:15:00"/>
        <d v="1899-12-31T21:30:00"/>
        <d v="1899-12-30T13:00:00"/>
        <d v="1899-12-30T05:30:00"/>
        <d v="1899-12-30T20:15:00"/>
        <d v="1899-12-30T20:00:00"/>
        <d v="1899-12-31T22:15:00"/>
        <d v="1899-12-31T20:15:00"/>
        <d v="1899-12-30T17:15:00"/>
        <d v="1899-12-30T16:15:00"/>
        <d v="1899-12-31T20:45:00"/>
      </sharedItems>
    </cacheField>
    <cacheField name="New Time" numFmtId="171">
      <sharedItems containsNonDate="0" count="107">
        <s v="12:30"/>
        <s v="08:45"/>
        <s v="15:45"/>
        <s v="18:20"/>
        <s v="19:55"/>
        <s v="09:10"/>
        <s v="14:45"/>
        <s v="19:30"/>
        <s v="08:00"/>
        <s v="12:20"/>
        <s v="15:15"/>
        <s v="10:30"/>
        <s v="14:50"/>
        <s v="18:00"/>
        <s v="09:45"/>
        <s v="13:20"/>
        <s v="17:10"/>
        <s v="00:05"/>
        <s v="11:30"/>
        <s v="08:40"/>
        <s v="16:45"/>
        <s v="09:15"/>
        <s v="14:30"/>
        <s v="12:00"/>
        <s v="16:20"/>
        <s v="19:45"/>
        <s v="15:00"/>
        <s v="17:30"/>
        <s v="13:15"/>
        <s v="14:20"/>
        <s v="17:40"/>
        <s v="20:00"/>
        <s v="16:10"/>
        <s v="09:00"/>
        <s v="17:00"/>
        <s v="20:20"/>
        <s v="18:30"/>
        <s v="10:45"/>
        <s v="19:00"/>
        <s v="13:30"/>
        <s v="09:30"/>
        <s v="21:15"/>
        <s v="10:00"/>
        <s v="08:30"/>
        <s v="16:00"/>
        <s v="20:30"/>
        <s v="07:30"/>
        <s v="18:45"/>
        <s v="17:45"/>
        <s v="15:30"/>
        <s v="21:45"/>
        <s v="18:10"/>
        <s v="19:15"/>
        <s v="08:20"/>
        <s v="16:30"/>
        <s v="11:45"/>
        <s v="11:20"/>
        <s v="16:40"/>
        <s v="21:20"/>
        <s v="10:15"/>
        <s v="14:00"/>
        <s v="20:45"/>
        <s v="13:45"/>
        <s v="08:15"/>
        <s v="12:15"/>
        <s v="21:00"/>
        <s v="20:10"/>
        <s v="14:15"/>
        <s v="11:10"/>
        <s v="16:50"/>
        <s v="22:00"/>
        <s v="10:20"/>
        <s v="12:10"/>
        <s v="06:15"/>
        <s v="17:20"/>
        <s v="09:50"/>
        <s v="21:40"/>
        <s v="10:05"/>
        <s v="13:00"/>
        <s v="07:20"/>
        <s v="11:40"/>
        <s v="02:00"/>
        <s v="17:50"/>
        <s v="10:10"/>
        <s v="09:20"/>
        <s v="22:45"/>
        <s v="03:30"/>
        <s v="23:00"/>
        <s v="14:40"/>
        <s v="18:50"/>
        <s v="16:15"/>
        <s v="15:20"/>
        <s v="11:15"/>
        <s v="22:10"/>
        <s v="15:10"/>
        <s v="07:15"/>
        <s v="12:45"/>
        <s v="23:30"/>
        <s v="07:00"/>
        <s v="22:30"/>
        <s v="18:15"/>
        <s v="11:00"/>
        <s v="22:15"/>
        <s v="21:30"/>
        <s v="05:30"/>
        <s v="20:15"/>
        <s v="17:15"/>
      </sharedItems>
    </cacheField>
    <cacheField name="User" numFmtId="0">
      <sharedItems/>
    </cacheField>
    <cacheField name="Platform" numFmtId="0">
      <sharedItems/>
    </cacheField>
    <cacheField name="NEW Platform" numFmtId="0">
      <sharedItems count="3">
        <s v="Twitter"/>
        <s v="Instagram"/>
        <s v="Facebook"/>
      </sharedItems>
    </cacheField>
    <cacheField name="Hashtags" numFmtId="0">
      <sharedItems/>
    </cacheField>
    <cacheField name="Retweets" numFmtId="0">
      <sharedItems containsSemiMixedTypes="0" containsString="0" containsNumber="1" containsInteger="1" minValue="5" maxValue="40"/>
    </cacheField>
    <cacheField name="Likes" numFmtId="0">
      <sharedItems containsSemiMixedTypes="0" containsString="0" containsNumber="1" containsInteger="1" minValue="10" maxValue="80"/>
    </cacheField>
    <cacheField name="Interactions" numFmtId="0">
      <sharedItems containsSemiMixedTypes="0" containsString="0" containsNumber="1" containsInteger="1" minValue="15" maxValue="120"/>
    </cacheField>
    <cacheField name="Country" numFmtId="0">
      <sharedItems/>
    </cacheField>
    <cacheField name="New Country" numFmtId="0">
      <sharedItems count="33">
        <s v="USA"/>
        <s v="Canada"/>
        <s v="UK"/>
        <s v="Australia"/>
        <s v="India"/>
        <s v="France"/>
        <s v="Brazil"/>
        <s v="Japan"/>
        <s v="Greece"/>
        <s v="Germany"/>
        <s v="Sweden"/>
        <s v="Italy"/>
        <s v="Netherlands"/>
        <s v="South Africa"/>
        <s v="Spain"/>
        <s v="Portugal"/>
        <s v="Switzerland"/>
        <s v="Austria"/>
        <s v="Belgium"/>
        <s v="Denmark"/>
        <s v="Czech Republic"/>
        <s v="Jordan"/>
        <s v="Peru"/>
        <s v="Maldives"/>
        <s v="China"/>
        <s v="Cambodia"/>
        <s v="Norway"/>
        <s v="Colombia"/>
        <s v="Ireland"/>
        <s v="Jamaica"/>
        <s v="Kenya"/>
        <s v="Scotland"/>
        <s v="Thailan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s v=" Enjoying a beautiful day at the park!              "/>
    <s v=" Positive  "/>
    <x v="0"/>
    <d v="2023-01-15T12:30:00"/>
    <x v="0"/>
    <x v="0"/>
    <x v="0"/>
    <s v=" User123      "/>
    <x v="0"/>
    <x v="0"/>
    <s v=" #Nature #Park                            "/>
    <n v="15"/>
    <n v="30"/>
    <x v="0"/>
    <x v="0"/>
    <x v="0"/>
    <n v="2023"/>
    <n v="1"/>
    <n v="15"/>
    <x v="0"/>
  </r>
  <r>
    <s v=" Traffic was terrible this morning.                 "/>
    <s v=" Negative  "/>
    <x v="1"/>
    <d v="2023-01-15T08:45:00"/>
    <x v="0"/>
    <x v="1"/>
    <x v="1"/>
    <s v=" CommuterX    "/>
    <x v="0"/>
    <x v="0"/>
    <s v=" #Traffic #Morning                        "/>
    <n v="5"/>
    <n v="10"/>
    <x v="1"/>
    <x v="1"/>
    <x v="1"/>
    <n v="2023"/>
    <n v="1"/>
    <n v="15"/>
    <x v="1"/>
  </r>
  <r>
    <s v=" Just finished an amazing workout! üí™               "/>
    <s v=" Positive  "/>
    <x v="0"/>
    <d v="2023-01-15T15:45:00"/>
    <x v="0"/>
    <x v="2"/>
    <x v="2"/>
    <s v=" FitnessFan   "/>
    <x v="1"/>
    <x v="1"/>
    <s v=" #Fitness #Workout                        "/>
    <n v="20"/>
    <n v="40"/>
    <x v="2"/>
    <x v="2"/>
    <x v="0"/>
    <n v="2023"/>
    <n v="1"/>
    <n v="15"/>
    <x v="2"/>
  </r>
  <r>
    <s v=" Excited about the upcoming weekend getaway!        "/>
    <s v=" Positive  "/>
    <x v="0"/>
    <d v="2023-01-15T18:20:00"/>
    <x v="0"/>
    <x v="3"/>
    <x v="3"/>
    <s v=" AdventureX   "/>
    <x v="2"/>
    <x v="2"/>
    <s v=" #Travel #Adventure                       "/>
    <n v="8"/>
    <n v="15"/>
    <x v="3"/>
    <x v="3"/>
    <x v="2"/>
    <n v="2023"/>
    <n v="1"/>
    <n v="15"/>
    <x v="3"/>
  </r>
  <r>
    <s v=" Trying out a new recipe for dinner tonight.        "/>
    <s v=" Neutral   "/>
    <x v="2"/>
    <d v="2023-01-15T19:55:00"/>
    <x v="0"/>
    <x v="4"/>
    <x v="4"/>
    <s v=" ChefCook     "/>
    <x v="1"/>
    <x v="1"/>
    <s v=" #Cooking #Food                           "/>
    <n v="12"/>
    <n v="25"/>
    <x v="4"/>
    <x v="4"/>
    <x v="3"/>
    <n v="2023"/>
    <n v="1"/>
    <n v="15"/>
    <x v="4"/>
  </r>
  <r>
    <s v=" Feeling grateful for the little things in life.    "/>
    <s v=" Positive  "/>
    <x v="0"/>
    <d v="2023-01-16T09:10:00"/>
    <x v="1"/>
    <x v="5"/>
    <x v="5"/>
    <s v=" GratitudeNow "/>
    <x v="0"/>
    <x v="0"/>
    <s v=" #Gratitude #PositiveVibes              "/>
    <n v="25"/>
    <n v="50"/>
    <x v="5"/>
    <x v="5"/>
    <x v="4"/>
    <n v="2023"/>
    <n v="1"/>
    <n v="16"/>
    <x v="5"/>
  </r>
  <r>
    <s v=" Rainy days call for cozy blankets and hot cocoa.   "/>
    <s v=" Positive  "/>
    <x v="0"/>
    <d v="2023-01-16T14:45:00"/>
    <x v="1"/>
    <x v="6"/>
    <x v="6"/>
    <s v=" RainyDays    "/>
    <x v="2"/>
    <x v="2"/>
    <s v=" #RainyDays #Cozy                         "/>
    <n v="10"/>
    <n v="20"/>
    <x v="6"/>
    <x v="1"/>
    <x v="1"/>
    <n v="2023"/>
    <n v="1"/>
    <n v="16"/>
    <x v="6"/>
  </r>
  <r>
    <s v=" The new movie release is a must-watch!             "/>
    <s v=" Positive  "/>
    <x v="0"/>
    <d v="2023-01-16T19:30:00"/>
    <x v="1"/>
    <x v="7"/>
    <x v="7"/>
    <s v=" MovieBuff    "/>
    <x v="1"/>
    <x v="1"/>
    <s v=" #MovieNight #MustWatch                  "/>
    <n v="15"/>
    <n v="30"/>
    <x v="0"/>
    <x v="6"/>
    <x v="0"/>
    <n v="2023"/>
    <n v="1"/>
    <n v="16"/>
    <x v="4"/>
  </r>
  <r>
    <s v=" Political discussions heating up on the timeline.  "/>
    <s v=" Negative  "/>
    <x v="1"/>
    <d v="2023-01-17T08:00:00"/>
    <x v="2"/>
    <x v="8"/>
    <x v="8"/>
    <s v=" DebateTalk   "/>
    <x v="0"/>
    <x v="0"/>
    <s v=" #Politics #Debate                       "/>
    <n v="30"/>
    <n v="60"/>
    <x v="7"/>
    <x v="0"/>
    <x v="0"/>
    <n v="2023"/>
    <n v="1"/>
    <n v="17"/>
    <x v="1"/>
  </r>
  <r>
    <s v=" Missing summer vibes and beach days.               "/>
    <s v=" Neutral   "/>
    <x v="2"/>
    <d v="2023-01-17T12:20:00"/>
    <x v="2"/>
    <x v="9"/>
    <x v="9"/>
    <s v=" BeachLover   "/>
    <x v="2"/>
    <x v="2"/>
    <s v=" #Summer #BeachDays                      "/>
    <n v="18"/>
    <n v="35"/>
    <x v="8"/>
    <x v="4"/>
    <x v="3"/>
    <n v="2023"/>
    <n v="1"/>
    <n v="17"/>
    <x v="0"/>
  </r>
  <r>
    <s v=" Just published a new blog post. Check it out!      "/>
    <s v=" Positive  "/>
    <x v="0"/>
    <d v="2023-01-17T15:15:00"/>
    <x v="2"/>
    <x v="10"/>
    <x v="10"/>
    <s v=" BloggerX     "/>
    <x v="1"/>
    <x v="1"/>
    <s v=" #Blogging #NewPost                      "/>
    <n v="22"/>
    <n v="45"/>
    <x v="9"/>
    <x v="7"/>
    <x v="0"/>
    <n v="2023"/>
    <n v="1"/>
    <n v="17"/>
    <x v="2"/>
  </r>
  <r>
    <s v=" Feeling a bit under the weather today.             "/>
    <s v=" Negative  "/>
    <x v="1"/>
    <d v="2023-01-18T10:30:00"/>
    <x v="3"/>
    <x v="11"/>
    <x v="11"/>
    <s v=" WellnessCheck"/>
    <x v="0"/>
    <x v="0"/>
    <s v=" #SickDay #Health                        "/>
    <n v="7"/>
    <n v="15"/>
    <x v="10"/>
    <x v="1"/>
    <x v="1"/>
    <n v="2023"/>
    <n v="1"/>
    <n v="18"/>
    <x v="7"/>
  </r>
  <r>
    <s v=" Exploring the city's hidden gems.                  "/>
    <s v=" Positive  "/>
    <x v="0"/>
    <d v="2023-01-18T14:50:00"/>
    <x v="3"/>
    <x v="12"/>
    <x v="12"/>
    <s v=" UrbanExplorer"/>
    <x v="2"/>
    <x v="2"/>
    <s v=" #CityExplore #HiddenGems                "/>
    <n v="12"/>
    <n v="25"/>
    <x v="4"/>
    <x v="3"/>
    <x v="2"/>
    <n v="2023"/>
    <n v="1"/>
    <n v="18"/>
    <x v="6"/>
  </r>
  <r>
    <s v=" New year, new fitness goals! üí™                    "/>
    <s v=" Positive  "/>
    <x v="0"/>
    <d v="2023-01-18T18:00:00"/>
    <x v="3"/>
    <x v="13"/>
    <x v="13"/>
    <s v=" FitJourney   "/>
    <x v="1"/>
    <x v="1"/>
    <s v=" #NewYear #FitnessGoals                  "/>
    <n v="28"/>
    <n v="55"/>
    <x v="11"/>
    <x v="2"/>
    <x v="0"/>
    <n v="2023"/>
    <n v="1"/>
    <n v="18"/>
    <x v="3"/>
  </r>
  <r>
    <s v=" Technology is changing the way we live.            "/>
    <s v=" Neutral   "/>
    <x v="2"/>
    <d v="2023-01-19T09:45:00"/>
    <x v="4"/>
    <x v="14"/>
    <x v="14"/>
    <s v=" TechEnthusiast"/>
    <x v="0"/>
    <x v="0"/>
    <s v=" #Tech #Innovation                       "/>
    <n v="15"/>
    <n v="30"/>
    <x v="0"/>
    <x v="5"/>
    <x v="4"/>
    <n v="2023"/>
    <n v="1"/>
    <n v="19"/>
    <x v="5"/>
  </r>
  <r>
    <s v=" Reflecting on the past and looking ahead.          "/>
    <s v=" Positive  "/>
    <x v="0"/>
    <d v="2023-01-19T13:20:00"/>
    <x v="4"/>
    <x v="15"/>
    <x v="15"/>
    <s v=" Reflections  "/>
    <x v="2"/>
    <x v="2"/>
    <s v=" #Reflection #Future                     "/>
    <n v="20"/>
    <n v="40"/>
    <x v="2"/>
    <x v="0"/>
    <x v="0"/>
    <n v="2023"/>
    <n v="1"/>
    <n v="19"/>
    <x v="8"/>
  </r>
  <r>
    <s v=" Just adopted a cute furry friend! üêæ              "/>
    <s v=" Positive  "/>
    <x v="0"/>
    <d v="2023-01-19T17:10:00"/>
    <x v="4"/>
    <x v="16"/>
    <x v="16"/>
    <s v=" PetAdopter   "/>
    <x v="1"/>
    <x v="1"/>
    <s v=" #PetAdoption #FurryFriend               "/>
    <n v="15"/>
    <n v="30"/>
    <x v="0"/>
    <x v="8"/>
    <x v="1"/>
    <n v="2023"/>
    <n v="1"/>
    <n v="19"/>
    <x v="9"/>
  </r>
  <r>
    <s v=" Late-night gaming session with friends.            "/>
    <s v=" Positive  "/>
    <x v="0"/>
    <d v="2023-01-20T00:05:00"/>
    <x v="5"/>
    <x v="17"/>
    <x v="17"/>
    <s v=" GamerX       "/>
    <x v="0"/>
    <x v="0"/>
    <s v=" #Gaming #LateNight                      "/>
    <n v="18"/>
    <n v="35"/>
    <x v="8"/>
    <x v="3"/>
    <x v="2"/>
    <n v="2023"/>
    <n v="1"/>
    <n v="20"/>
    <x v="10"/>
  </r>
  <r>
    <s v=" Attending a virtual conference on AI.              "/>
    <s v=" Neutral   "/>
    <x v="2"/>
    <d v="2023-01-20T11:30:00"/>
    <x v="5"/>
    <x v="18"/>
    <x v="18"/>
    <s v=" TechConference"/>
    <x v="2"/>
    <x v="2"/>
    <s v=" #AI #TechConference                     "/>
    <n v="25"/>
    <n v="50"/>
    <x v="5"/>
    <x v="7"/>
    <x v="0"/>
    <n v="2023"/>
    <n v="1"/>
    <n v="20"/>
    <x v="11"/>
  </r>
  <r>
    <s v=" Winter blues got me feeling low.                   "/>
    <s v=" Negative  "/>
    <x v="1"/>
    <d v="2023-01-20T15:15:00"/>
    <x v="5"/>
    <x v="19"/>
    <x v="10"/>
    <s v=" WinterBlues  "/>
    <x v="1"/>
    <x v="1"/>
    <s v=" #WinterBlues #Mood                      "/>
    <n v="8"/>
    <n v="15"/>
    <x v="3"/>
    <x v="9"/>
    <x v="0"/>
    <n v="2023"/>
    <n v="1"/>
    <n v="20"/>
    <x v="2"/>
  </r>
  <r>
    <s v=" Sipping coffee and enjoying a good book.           "/>
    <s v=" Positive  "/>
    <x v="0"/>
    <d v="2023-01-21T08:40:00"/>
    <x v="6"/>
    <x v="20"/>
    <x v="19"/>
    <s v=" Bookworm     "/>
    <x v="0"/>
    <x v="0"/>
    <s v=" #Reading #CoffeeTime                    "/>
    <n v="22"/>
    <n v="45"/>
    <x v="9"/>
    <x v="5"/>
    <x v="4"/>
    <n v="2023"/>
    <n v="1"/>
    <n v="21"/>
    <x v="1"/>
  </r>
  <r>
    <s v=" Exploring the world of virtual reality.            "/>
    <s v=" Positive  "/>
    <x v="0"/>
    <d v="2023-01-21T13:20:00"/>
    <x v="6"/>
    <x v="15"/>
    <x v="15"/>
    <s v=" VRExplorer   "/>
    <x v="2"/>
    <x v="2"/>
    <s v=" #VR #VirtualReality                     "/>
    <n v="15"/>
    <n v="30"/>
    <x v="0"/>
    <x v="7"/>
    <x v="0"/>
    <n v="2023"/>
    <n v="1"/>
    <n v="21"/>
    <x v="8"/>
  </r>
  <r>
    <s v=" Productive day ticking off my to-do list.          "/>
    <s v=" Positive  "/>
    <x v="0"/>
    <d v="2023-01-21T16:45:00"/>
    <x v="6"/>
    <x v="21"/>
    <x v="20"/>
    <s v=" ProductivityPro"/>
    <x v="1"/>
    <x v="1"/>
    <s v=" #Productivity #WorkFromHome           "/>
    <n v="30"/>
    <n v="60"/>
    <x v="7"/>
    <x v="10"/>
    <x v="0"/>
    <n v="2023"/>
    <n v="1"/>
    <n v="21"/>
    <x v="12"/>
  </r>
  <r>
    <s v=" Just finished a challenging workout routine.       "/>
    <s v=" Positive  "/>
    <x v="0"/>
    <d v="2023-01-22T09:15:00"/>
    <x v="7"/>
    <x v="22"/>
    <x v="21"/>
    <s v=" FitnessWarrior"/>
    <x v="0"/>
    <x v="0"/>
    <s v=" #Fitness #ChallengeAccepted             "/>
    <n v="20"/>
    <n v="40"/>
    <x v="2"/>
    <x v="3"/>
    <x v="2"/>
    <n v="2023"/>
    <n v="1"/>
    <n v="22"/>
    <x v="5"/>
  </r>
  <r>
    <s v=" Celebrating a milestone at work! üéâ               "/>
    <s v=" Positive  "/>
    <x v="0"/>
    <d v="2023-01-22T14:30:00"/>
    <x v="7"/>
    <x v="23"/>
    <x v="22"/>
    <s v=" CareerMilestone"/>
    <x v="2"/>
    <x v="2"/>
    <s v=" #Career #Milestone                      "/>
    <n v="12"/>
    <n v="25"/>
    <x v="4"/>
    <x v="11"/>
    <x v="1"/>
    <n v="2023"/>
    <n v="1"/>
    <n v="22"/>
    <x v="6"/>
  </r>
  <r>
    <s v=" Sunday brunch with friends.                        "/>
    <s v=" Positive  "/>
    <x v="0"/>
    <d v="2023-01-22T12:00:00"/>
    <x v="7"/>
    <x v="24"/>
    <x v="23"/>
    <s v=" BrunchBuddy  "/>
    <x v="1"/>
    <x v="1"/>
    <s v=" #Brunch #Friends                       "/>
    <n v="15"/>
    <n v="30"/>
    <x v="0"/>
    <x v="12"/>
    <x v="2"/>
    <n v="2023"/>
    <n v="1"/>
    <n v="22"/>
    <x v="0"/>
  </r>
  <r>
    <s v=" Learning a new language for personal growth.       "/>
    <s v=" Positive  "/>
    <x v="0"/>
    <d v="2023-01-23T16:20:00"/>
    <x v="8"/>
    <x v="25"/>
    <x v="24"/>
    <s v=" LanguageLearner"/>
    <x v="2"/>
    <x v="2"/>
    <s v=" #LanguageLearning #PersonalGrowth       "/>
    <n v="25"/>
    <n v="50"/>
    <x v="5"/>
    <x v="13"/>
    <x v="4"/>
    <n v="2023"/>
    <n v="1"/>
    <n v="23"/>
    <x v="12"/>
  </r>
  <r>
    <s v=" Quiet evening with a good book.                    "/>
    <s v=" Positive  "/>
    <x v="0"/>
    <d v="2023-01-23T19:45:00"/>
    <x v="8"/>
    <x v="26"/>
    <x v="25"/>
    <s v=" BookLover    "/>
    <x v="1"/>
    <x v="1"/>
    <s v=" #Reading #QuietTime                     "/>
    <n v="15"/>
    <n v="30"/>
    <x v="0"/>
    <x v="4"/>
    <x v="3"/>
    <n v="2023"/>
    <n v="1"/>
    <n v="23"/>
    <x v="4"/>
  </r>
  <r>
    <s v=" Reflecting on the importance of mental health.     "/>
    <s v=" Positive  "/>
    <x v="0"/>
    <d v="2023-01-24T11:30:00"/>
    <x v="9"/>
    <x v="18"/>
    <x v="18"/>
    <s v=" MentalHealthMatters"/>
    <x v="0"/>
    <x v="0"/>
    <s v=" #MentalHealth #SelfCare                 "/>
    <n v="22"/>
    <n v="45"/>
    <x v="9"/>
    <x v="0"/>
    <x v="0"/>
    <n v="2023"/>
    <n v="1"/>
    <n v="24"/>
    <x v="11"/>
  </r>
  <r>
    <s v=" New painting in progress! üé®                       "/>
    <s v=" Positive  "/>
    <x v="0"/>
    <d v="2023-01-24T15:00:00"/>
    <x v="9"/>
    <x v="27"/>
    <x v="26"/>
    <s v=" ArtistInAction"/>
    <x v="2"/>
    <x v="2"/>
    <s v=" #Art #PaintingInProgress             "/>
    <n v="12"/>
    <n v="25"/>
    <x v="4"/>
    <x v="14"/>
    <x v="1"/>
    <n v="2023"/>
    <n v="1"/>
    <n v="24"/>
    <x v="2"/>
  </r>
  <r>
    <s v=" Weekend road trip to explore scenic views.         "/>
    <s v=" Positive  "/>
    <x v="0"/>
    <d v="2023-01-24T17:30:00"/>
    <x v="9"/>
    <x v="28"/>
    <x v="27"/>
    <s v=" RoadTripper  "/>
    <x v="1"/>
    <x v="1"/>
    <s v=" #RoadTrip #ScenicViews                  "/>
    <n v="18"/>
    <n v="35"/>
    <x v="8"/>
    <x v="15"/>
    <x v="2"/>
    <n v="2023"/>
    <n v="1"/>
    <n v="24"/>
    <x v="9"/>
  </r>
  <r>
    <s v=" Enjoying a cup of tea and watching the sunset.     "/>
    <s v=" Positive  "/>
    <x v="0"/>
    <d v="2023-01-25T18:00:00"/>
    <x v="10"/>
    <x v="29"/>
    <x v="13"/>
    <s v=" SunsetWatcher"/>
    <x v="0"/>
    <x v="0"/>
    <s v=" #TeaTime #Sunset                       "/>
    <n v="15"/>
    <n v="30"/>
    <x v="0"/>
    <x v="5"/>
    <x v="4"/>
    <n v="2023"/>
    <n v="1"/>
    <n v="25"/>
    <x v="3"/>
  </r>
  <r>
    <s v=" Coding a new project with enthusiasm.              "/>
    <s v=" Positive  "/>
    <x v="0"/>
    <d v="2023-01-25T13:15:00"/>
    <x v="10"/>
    <x v="30"/>
    <x v="28"/>
    <s v=" CodeEnthusiast"/>
    <x v="2"/>
    <x v="2"/>
    <s v=" #Coding #Enthusiasm                   "/>
    <n v="30"/>
    <n v="60"/>
    <x v="7"/>
    <x v="10"/>
    <x v="0"/>
    <n v="2023"/>
    <n v="1"/>
    <n v="25"/>
    <x v="8"/>
  </r>
  <r>
    <s v=" Feeling inspired after attending a workshop.       "/>
    <s v=" Positive  "/>
    <x v="0"/>
    <d v="2023-01-26T09:45:00"/>
    <x v="11"/>
    <x v="31"/>
    <x v="14"/>
    <s v=" WorkshopAttendee"/>
    <x v="1"/>
    <x v="1"/>
    <s v=" #Inspiration #Workshop                  "/>
    <n v="25"/>
    <n v="50"/>
    <x v="5"/>
    <x v="7"/>
    <x v="0"/>
    <n v="2023"/>
    <n v="1"/>
    <n v="26"/>
    <x v="5"/>
  </r>
  <r>
    <s v=" Winter sports day at the local park.               "/>
    <s v=" Positive  "/>
    <x v="0"/>
    <d v="2023-01-26T14:20:00"/>
    <x v="11"/>
    <x v="32"/>
    <x v="29"/>
    <s v=" WinterSports  "/>
    <x v="0"/>
    <x v="0"/>
    <s v=" #WinterSports #Fun                     "/>
    <n v="15"/>
    <n v="30"/>
    <x v="0"/>
    <x v="1"/>
    <x v="1"/>
    <n v="2023"/>
    <n v="1"/>
    <n v="26"/>
    <x v="6"/>
  </r>
  <r>
    <s v=" Quality time with family this weekend.             "/>
    <s v=" Positive  "/>
    <x v="0"/>
    <d v="2023-01-26T17:40:00"/>
    <x v="11"/>
    <x v="33"/>
    <x v="30"/>
    <s v=" FamilyTime   "/>
    <x v="2"/>
    <x v="2"/>
    <s v=" #FamilyTime #Weekend                    "/>
    <n v="22"/>
    <n v="45"/>
    <x v="9"/>
    <x v="15"/>
    <x v="2"/>
    <n v="2023"/>
    <n v="1"/>
    <n v="26"/>
    <x v="9"/>
  </r>
  <r>
    <s v=" Attending a live music concert tonight.            "/>
    <s v=" Positive  "/>
    <x v="0"/>
    <d v="2023-01-27T20:00:00"/>
    <x v="12"/>
    <x v="34"/>
    <x v="31"/>
    <s v=" MusicLover   "/>
    <x v="1"/>
    <x v="1"/>
    <s v=" #Music #ConcertNight                  "/>
    <n v="18"/>
    <n v="35"/>
    <x v="8"/>
    <x v="10"/>
    <x v="0"/>
    <n v="2023"/>
    <n v="1"/>
    <n v="27"/>
    <x v="13"/>
  </r>
  <r>
    <s v=" Practicing mindfulness with meditation.            "/>
    <s v=" Positive  "/>
    <x v="0"/>
    <d v="2023-01-27T12:30:00"/>
    <x v="12"/>
    <x v="0"/>
    <x v="0"/>
    <s v=" MindfulMoments"/>
    <x v="0"/>
    <x v="0"/>
    <s v=" #Mindfulness #Meditation               "/>
    <n v="15"/>
    <n v="30"/>
    <x v="0"/>
    <x v="5"/>
    <x v="4"/>
    <n v="2023"/>
    <n v="1"/>
    <n v="27"/>
    <x v="0"/>
  </r>
  <r>
    <s v=" Trying out a new dessert recipe.                   "/>
    <s v=" Positive  "/>
    <x v="0"/>
    <d v="2023-01-27T16:10:00"/>
    <x v="12"/>
    <x v="35"/>
    <x v="32"/>
    <s v=" DessertExplorer"/>
    <x v="2"/>
    <x v="2"/>
    <s v=" #Dessert #Cooking                      "/>
    <n v="12"/>
    <n v="25"/>
    <x v="4"/>
    <x v="14"/>
    <x v="1"/>
    <n v="2023"/>
    <n v="1"/>
    <n v="27"/>
    <x v="12"/>
  </r>
  <r>
    <s v=" Excited about the upcoming gaming tournament.      "/>
    <s v=" Positive  "/>
    <x v="0"/>
    <d v="2023-01-28T09:00:00"/>
    <x v="13"/>
    <x v="36"/>
    <x v="33"/>
    <s v=" GamingEnthusiast"/>
    <x v="1"/>
    <x v="1"/>
    <s v=" #Gaming #Tournament                     "/>
    <n v="30"/>
    <n v="60"/>
    <x v="7"/>
    <x v="7"/>
    <x v="0"/>
    <n v="2023"/>
    <n v="1"/>
    <n v="28"/>
    <x v="5"/>
  </r>
  <r>
    <s v=" Planning a garden makeover for spring.             "/>
    <s v=" Positive  "/>
    <x v="0"/>
    <d v="2023-01-28T14:45:00"/>
    <x v="13"/>
    <x v="6"/>
    <x v="6"/>
    <s v=" GardenPlanner "/>
    <x v="0"/>
    <x v="0"/>
    <s v=" #Gardening #Spring                     "/>
    <n v="25"/>
    <n v="50"/>
    <x v="5"/>
    <x v="0"/>
    <x v="0"/>
    <n v="2023"/>
    <n v="1"/>
    <n v="28"/>
    <x v="6"/>
  </r>
  <r>
    <s v=" Celebrating a friend's birthday tonight! üéÇ       "/>
    <s v=" Positive  "/>
    <x v="0"/>
    <d v="2023-01-28T19:30:00"/>
    <x v="13"/>
    <x v="7"/>
    <x v="7"/>
    <s v=" BirthdayBash "/>
    <x v="2"/>
    <x v="2"/>
    <s v=" #Birthday #Celebration                  "/>
    <n v="15"/>
    <n v="30"/>
    <x v="0"/>
    <x v="12"/>
    <x v="2"/>
    <n v="2023"/>
    <n v="1"/>
    <n v="28"/>
    <x v="4"/>
  </r>
  <r>
    <s v=" Feeling accomplished after a productive day.       "/>
    <s v=" Positive  "/>
    <x v="0"/>
    <d v="2023-01-29T17:00:00"/>
    <x v="14"/>
    <x v="37"/>
    <x v="34"/>
    <s v=" ProductivityWin"/>
    <x v="1"/>
    <x v="1"/>
    <s v=" #Accomplished #Success               "/>
    <n v="22"/>
    <n v="45"/>
    <x v="9"/>
    <x v="16"/>
    <x v="4"/>
    <n v="2023"/>
    <n v="1"/>
    <n v="29"/>
    <x v="9"/>
  </r>
  <r>
    <s v=" A cozy evening with a good movie.                 "/>
    <s v=" Positive  "/>
    <x v="0"/>
    <d v="2023-01-29T20:20:00"/>
    <x v="14"/>
    <x v="38"/>
    <x v="35"/>
    <s v=" MovieNight   "/>
    <x v="0"/>
    <x v="0"/>
    <s v=" #CozyNight #MovieTime                   "/>
    <n v="18"/>
    <n v="35"/>
    <x v="8"/>
    <x v="1"/>
    <x v="1"/>
    <n v="2023"/>
    <n v="1"/>
    <n v="29"/>
    <x v="13"/>
  </r>
  <r>
    <s v=" Exploring local art galleries this weekend.        "/>
    <s v=" Positive  "/>
    <x v="0"/>
    <d v="2023-01-30T11:30:00"/>
    <x v="15"/>
    <x v="18"/>
    <x v="18"/>
    <s v=" ArtExplorer  "/>
    <x v="2"/>
    <x v="2"/>
    <s v=" #Art #GalleryExplore                    "/>
    <n v="15"/>
    <n v="30"/>
    <x v="0"/>
    <x v="0"/>
    <x v="0"/>
    <n v="2023"/>
    <n v="1"/>
    <n v="30"/>
    <x v="11"/>
  </r>
  <r>
    <s v=" New book release from my favorite author!          "/>
    <s v=" Positive  "/>
    <x v="0"/>
    <d v="2023-01-30T15:45:00"/>
    <x v="15"/>
    <x v="39"/>
    <x v="2"/>
    <s v=" BookwormX    "/>
    <x v="1"/>
    <x v="1"/>
    <s v=" #BookRelease #FavoriteAuthor           "/>
    <n v="12"/>
    <n v="25"/>
    <x v="4"/>
    <x v="17"/>
    <x v="2"/>
    <n v="2023"/>
    <n v="1"/>
    <n v="30"/>
    <x v="2"/>
  </r>
  <r>
    <s v=" Attending a virtual reality meetup.                "/>
    <s v=" Positive  "/>
    <x v="0"/>
    <d v="2023-01-30T18:30:00"/>
    <x v="15"/>
    <x v="40"/>
    <x v="36"/>
    <s v=" VRMeetup     "/>
    <x v="0"/>
    <x v="0"/>
    <s v=" #VRMeetup #VirtualReality               "/>
    <n v="28"/>
    <n v="55"/>
    <x v="11"/>
    <x v="5"/>
    <x v="4"/>
    <n v="2023"/>
    <n v="1"/>
    <n v="30"/>
    <x v="3"/>
  </r>
  <r>
    <s v=" Reflecting on the beauty of nature.                "/>
    <s v=" Positive  "/>
    <x v="0"/>
    <d v="2023-01-31T10:45:00"/>
    <x v="16"/>
    <x v="41"/>
    <x v="37"/>
    <s v=" NatureLover  "/>
    <x v="2"/>
    <x v="2"/>
    <s v=" #Nature #Reflection                     "/>
    <n v="15"/>
    <n v="30"/>
    <x v="0"/>
    <x v="4"/>
    <x v="3"/>
    <n v="2023"/>
    <n v="1"/>
    <n v="31"/>
    <x v="7"/>
  </r>
  <r>
    <s v=" Cooking a special dinner for loved ones.           "/>
    <s v=" Positive  "/>
    <x v="0"/>
    <d v="2023-01-31T19:00:00"/>
    <x v="16"/>
    <x v="42"/>
    <x v="38"/>
    <s v=" ChefAtHome   "/>
    <x v="1"/>
    <x v="1"/>
    <s v=" #Cooking #SpecialDinner                "/>
    <n v="20"/>
    <n v="40"/>
    <x v="2"/>
    <x v="9"/>
    <x v="0"/>
    <n v="2023"/>
    <n v="1"/>
    <n v="31"/>
    <x v="4"/>
  </r>
  <r>
    <s v=" Feeling optimistic about the week ahead.           "/>
    <s v=" Positive  "/>
    <x v="0"/>
    <d v="2023-01-31T16:20:00"/>
    <x v="16"/>
    <x v="25"/>
    <x v="24"/>
    <s v=" OptimisticMindset"/>
    <x v="0"/>
    <x v="0"/>
    <s v=" #Optimism #NewWeek                     "/>
    <n v="15"/>
    <n v="30"/>
    <x v="0"/>
    <x v="1"/>
    <x v="1"/>
    <n v="2023"/>
    <n v="1"/>
    <n v="31"/>
    <x v="12"/>
  </r>
  <r>
    <s v=" Starting a new fitness challenge tomorrow! üí™     "/>
    <s v=" Positive  "/>
    <x v="0"/>
    <d v="2023-02-01T08:00:00"/>
    <x v="17"/>
    <x v="43"/>
    <x v="8"/>
    <s v=" FitnessChallenge"/>
    <x v="2"/>
    <x v="2"/>
    <s v=" #FitnessChallenge #NewBeginnings       "/>
    <n v="22"/>
    <n v="45"/>
    <x v="9"/>
    <x v="18"/>
    <x v="2"/>
    <n v="2023"/>
    <n v="2"/>
    <n v="1"/>
    <x v="1"/>
  </r>
  <r>
    <s v=" Sunday bike ride through scenic trails.           "/>
    <s v=" Positive  "/>
    <x v="0"/>
    <d v="2023-02-01T13:30:00"/>
    <x v="17"/>
    <x v="44"/>
    <x v="39"/>
    <s v=" BikeExplorer  "/>
    <x v="1"/>
    <x v="1"/>
    <s v=" #BikeRide #ScenicTrails                "/>
    <n v="18"/>
    <n v="35"/>
    <x v="8"/>
    <x v="19"/>
    <x v="0"/>
    <n v="2023"/>
    <n v="2"/>
    <n v="1"/>
    <x v="8"/>
  </r>
  <r>
    <s v=" Can't believe the injustice happening in our society."/>
    <s v=" Anger        "/>
    <x v="1"/>
    <d v="2023-02-11T09:30:00"/>
    <x v="18"/>
    <x v="45"/>
    <x v="40"/>
    <s v=" SocialJustice   "/>
    <x v="0"/>
    <x v="0"/>
    <s v=" #Injustice #Angry                            "/>
    <n v="20"/>
    <n v="40"/>
    <x v="2"/>
    <x v="20"/>
    <x v="1"/>
    <n v="2023"/>
    <n v="2"/>
    <n v="11"/>
    <x v="5"/>
  </r>
  <r>
    <s v=" Feeling a sense of fear after watching a thriller movie. "/>
    <s v=" Fear         "/>
    <x v="1"/>
    <d v="2023-02-11T21:15:00"/>
    <x v="18"/>
    <x v="46"/>
    <x v="41"/>
    <s v=" ThrillerFan     "/>
    <x v="1"/>
    <x v="1"/>
    <s v=" #Fear #ThrillerMovie                         "/>
    <n v="15"/>
    <n v="30"/>
    <x v="0"/>
    <x v="21"/>
    <x v="0"/>
    <n v="2023"/>
    <n v="2"/>
    <n v="11"/>
    <x v="14"/>
  </r>
  <r>
    <s v=" Heartbroken after hearing the news about a natural disaster. "/>
    <s v=" Sadness      "/>
    <x v="1"/>
    <d v="2023-02-12T14:45:00"/>
    <x v="19"/>
    <x v="47"/>
    <x v="6"/>
    <s v=" EmpathyFirst    "/>
    <x v="2"/>
    <x v="2"/>
    <s v=" #Sadness #NaturalDisaster                    "/>
    <n v="25"/>
    <n v="50"/>
    <x v="5"/>
    <x v="22"/>
    <x v="4"/>
    <n v="2023"/>
    <n v="2"/>
    <n v="12"/>
    <x v="6"/>
  </r>
  <r>
    <s v=" The state of the world's environment is just disgusting. "/>
    <s v=" Disgust      "/>
    <x v="1"/>
    <d v="2023-02-12T18:20:00"/>
    <x v="19"/>
    <x v="3"/>
    <x v="3"/>
    <s v=" EcoAwareness    "/>
    <x v="0"/>
    <x v="0"/>
    <s v=" #Disgust #Environment                        "/>
    <n v="18"/>
    <n v="35"/>
    <x v="8"/>
    <x v="18"/>
    <x v="2"/>
    <n v="2023"/>
    <n v="2"/>
    <n v="12"/>
    <x v="3"/>
  </r>
  <r>
    <s v=" Pure happiness: celebrating a loved one's achievement! "/>
    <s v=" Happiness    "/>
    <x v="0"/>
    <d v="2023-02-13T10:00:00"/>
    <x v="20"/>
    <x v="48"/>
    <x v="42"/>
    <s v=" ProudFriend     "/>
    <x v="1"/>
    <x v="1"/>
    <s v=" #Happiness #Celebration                   "/>
    <n v="30"/>
    <n v="60"/>
    <x v="7"/>
    <x v="10"/>
    <x v="0"/>
    <n v="2023"/>
    <n v="2"/>
    <n v="13"/>
    <x v="7"/>
  </r>
  <r>
    <s v=" Laughter is the best medicine‚Äîenjoying a comedy show. "/>
    <s v=" Joy          "/>
    <x v="0"/>
    <d v="2023-02-13T19:30:00"/>
    <x v="20"/>
    <x v="7"/>
    <x v="7"/>
    <s v=" ComedyFan       "/>
    <x v="2"/>
    <x v="2"/>
    <s v=" #Joy #ComedyShow                             "/>
    <n v="22"/>
    <n v="45"/>
    <x v="9"/>
    <x v="8"/>
    <x v="1"/>
    <n v="2023"/>
    <n v="2"/>
    <n v="13"/>
    <x v="4"/>
  </r>
  <r>
    <s v=" Sharing love and positive vibes with everyone! ‚ù§Ô∏è      "/>
    <s v=" Love         "/>
    <x v="0"/>
    <d v="2023-02-14T08:30:00"/>
    <x v="21"/>
    <x v="49"/>
    <x v="43"/>
    <s v=" LoveSpreader    "/>
    <x v="0"/>
    <x v="0"/>
    <s v=" #Love #SpreadLove                            "/>
    <n v="15"/>
    <n v="30"/>
    <x v="0"/>
    <x v="23"/>
    <x v="3"/>
    <n v="2023"/>
    <n v="2"/>
    <n v="14"/>
    <x v="1"/>
  </r>
  <r>
    <s v=" An amusing incident brightened up my day!               "/>
    <s v=" Amusement    "/>
    <x v="0"/>
    <d v="2023-02-14T14:20:00"/>
    <x v="21"/>
    <x v="50"/>
    <x v="29"/>
    <s v=" AmusedSoul      "/>
    <x v="1"/>
    <x v="1"/>
    <s v=" #Amusement #FunTimes                         "/>
    <n v="18"/>
    <n v="35"/>
    <x v="8"/>
    <x v="24"/>
    <x v="2"/>
    <n v="2023"/>
    <n v="2"/>
    <n v="14"/>
    <x v="6"/>
  </r>
  <r>
    <s v=" Enjoying a quiet evening with a book and some tea.      "/>
    <s v=" Enjoyment    "/>
    <x v="0"/>
    <d v="2023-02-14T19:45:00"/>
    <x v="21"/>
    <x v="26"/>
    <x v="25"/>
    <s v=" BookLoverAgain  "/>
    <x v="2"/>
    <x v="2"/>
    <s v=" #Enjoyment #BookTime                         "/>
    <n v="25"/>
    <n v="50"/>
    <x v="5"/>
    <x v="25"/>
    <x v="1"/>
    <n v="2023"/>
    <n v="2"/>
    <n v="14"/>
    <x v="4"/>
  </r>
  <r>
    <s v=" Admiring the beauty of nature during a peaceful hike.   "/>
    <s v=" Admiration   "/>
    <x v="2"/>
    <d v="2023-02-15T11:30:00"/>
    <x v="22"/>
    <x v="18"/>
    <x v="18"/>
    <s v=" NatureAdmirer   "/>
    <x v="0"/>
    <x v="0"/>
    <s v=" #Admiration #Nature                         "/>
    <n v="20"/>
    <n v="40"/>
    <x v="2"/>
    <x v="9"/>
    <x v="0"/>
    <n v="2023"/>
    <n v="2"/>
    <n v="15"/>
    <x v="11"/>
  </r>
  <r>
    <s v=" Sending affectionate vibes to all my followers!          "/>
    <s v=" Affection    "/>
    <x v="0"/>
    <d v="2023-02-15T16:00:00"/>
    <x v="22"/>
    <x v="51"/>
    <x v="44"/>
    <s v=" AffectionSender "/>
    <x v="1"/>
    <x v="1"/>
    <s v=" #Affection #PositiveVibes                   "/>
    <n v="15"/>
    <n v="30"/>
    <x v="0"/>
    <x v="7"/>
    <x v="0"/>
    <n v="2023"/>
    <n v="2"/>
    <n v="15"/>
    <x v="12"/>
  </r>
  <r>
    <s v=" Experiencing awe at the breathtaking sunset.            "/>
    <s v=" Awe          "/>
    <x v="0"/>
    <d v="2023-02-15T20:30:00"/>
    <x v="22"/>
    <x v="52"/>
    <x v="45"/>
    <s v=" AweStruck       "/>
    <x v="2"/>
    <x v="2"/>
    <s v=" #Awe #Breathtaking                          "/>
    <n v="22"/>
    <n v="45"/>
    <x v="9"/>
    <x v="26"/>
    <x v="3"/>
    <n v="2023"/>
    <n v="2"/>
    <n v="15"/>
    <x v="13"/>
  </r>
  <r>
    <s v=" Disappointed with the service at a local restaurant.    "/>
    <s v=" Disappointed "/>
    <x v="1"/>
    <d v="2023-02-16T09:00:00"/>
    <x v="23"/>
    <x v="53"/>
    <x v="33"/>
    <s v=" FoodieGoneWrong "/>
    <x v="0"/>
    <x v="0"/>
    <s v=" #Disappointed #BadService                   "/>
    <n v="18"/>
    <n v="35"/>
    <x v="8"/>
    <x v="22"/>
    <x v="4"/>
    <n v="2023"/>
    <n v="2"/>
    <n v="16"/>
    <x v="5"/>
  </r>
  <r>
    <s v=" A surprise gift from a friend made my day!              "/>
    <s v=" Surprise     "/>
    <x v="2"/>
    <d v="2023-02-16T14:45:00"/>
    <x v="23"/>
    <x v="47"/>
    <x v="6"/>
    <s v=" HappySurprise   "/>
    <x v="1"/>
    <x v="1"/>
    <s v=" #Surprise #Gift                              "/>
    <n v="25"/>
    <n v="50"/>
    <x v="5"/>
    <x v="21"/>
    <x v="0"/>
    <n v="2023"/>
    <n v="2"/>
    <n v="16"/>
    <x v="6"/>
  </r>
  <r>
    <s v=" Finding acceptance in the midst of life's challenges.   "/>
    <s v=" Acceptance   "/>
    <x v="0"/>
    <d v="2023-02-16T18:20:00"/>
    <x v="23"/>
    <x v="3"/>
    <x v="3"/>
    <s v=" AcceptanceSeeker"/>
    <x v="2"/>
    <x v="2"/>
    <s v=" #Acceptance #Challenges                     "/>
    <n v="15"/>
    <n v="30"/>
    <x v="0"/>
    <x v="20"/>
    <x v="1"/>
    <n v="2023"/>
    <n v="2"/>
    <n v="16"/>
    <x v="3"/>
  </r>
  <r>
    <s v=" Overflowing with adoration for my adorable pet! üêæ      "/>
    <s v=" Adoration    "/>
    <x v="0"/>
    <d v="2023-02-17T10:45:00"/>
    <x v="24"/>
    <x v="54"/>
    <x v="37"/>
    <s v=" PetAdorer       "/>
    <x v="0"/>
    <x v="0"/>
    <s v=" #Adoration #PetLove                         "/>
    <n v="22"/>
    <n v="45"/>
    <x v="9"/>
    <x v="15"/>
    <x v="2"/>
    <n v="2023"/>
    <n v="2"/>
    <n v="17"/>
    <x v="7"/>
  </r>
  <r>
    <s v=" Anticipating a thrilling adventure in the coming weeks. "/>
    <s v=" Anticipation "/>
    <x v="2"/>
    <d v="2023-02-17T07:30:00"/>
    <x v="24"/>
    <x v="55"/>
    <x v="46"/>
    <s v=" AdventureAwaits  "/>
    <x v="1"/>
    <x v="1"/>
    <s v=" #Anticipation #Adventure                    "/>
    <n v="20"/>
    <n v="40"/>
    <x v="2"/>
    <x v="7"/>
    <x v="0"/>
    <n v="2023"/>
    <n v="2"/>
    <n v="17"/>
    <x v="15"/>
  </r>
  <r>
    <s v=" A bitter experience turned into a valuable lesson.      "/>
    <s v=" Bitter       "/>
    <x v="1"/>
    <d v="2023-02-17T15:00:00"/>
    <x v="24"/>
    <x v="27"/>
    <x v="26"/>
    <s v=" LearnFromBitter "/>
    <x v="2"/>
    <x v="2"/>
    <s v=" #BitterLesson #Growth                      "/>
    <n v="18"/>
    <n v="35"/>
    <x v="8"/>
    <x v="9"/>
    <x v="0"/>
    <n v="2023"/>
    <n v="2"/>
    <n v="17"/>
    <x v="2"/>
  </r>
  <r>
    <s v=" Finding calmness in the midst of a busy day.            "/>
    <s v=" Calmness     "/>
    <x v="0"/>
    <d v="2023-02-18T09:30:00"/>
    <x v="25"/>
    <x v="56"/>
    <x v="40"/>
    <s v=" ZenMaster       "/>
    <x v="0"/>
    <x v="0"/>
    <s v=" #Calmness #PeacefulMind                    "/>
    <n v="15"/>
    <n v="30"/>
    <x v="0"/>
    <x v="13"/>
    <x v="4"/>
    <n v="2023"/>
    <n v="2"/>
    <n v="18"/>
    <x v="5"/>
  </r>
  <r>
    <s v=" Confusion clouds my mind as I navigate through decisions."/>
    <s v=" Confusion    "/>
    <x v="2"/>
    <d v="2023-02-18T14:20:00"/>
    <x v="25"/>
    <x v="50"/>
    <x v="29"/>
    <s v=" ConfusedMind    "/>
    <x v="1"/>
    <x v="1"/>
    <s v=" #Confusion #DecisionMaking                 "/>
    <n v="25"/>
    <n v="50"/>
    <x v="5"/>
    <x v="17"/>
    <x v="2"/>
    <n v="2023"/>
    <n v="2"/>
    <n v="18"/>
    <x v="6"/>
  </r>
  <r>
    <s v=" Excitement building up for the upcoming vacation!       "/>
    <s v=" Excitement   "/>
    <x v="0"/>
    <d v="2023-02-18T18:45:00"/>
    <x v="25"/>
    <x v="57"/>
    <x v="47"/>
    <s v=" VacationDreamer "/>
    <x v="2"/>
    <x v="2"/>
    <s v=" #Excitement #TravelPlans                   "/>
    <n v="22"/>
    <n v="45"/>
    <x v="9"/>
    <x v="8"/>
    <x v="1"/>
    <n v="2023"/>
    <n v="2"/>
    <n v="18"/>
    <x v="3"/>
  </r>
  <r>
    <s v=" Kindness witnessed today restored my faith in humanity. "/>
    <s v=" Kind         "/>
    <x v="0"/>
    <d v="2023-02-19T11:30:00"/>
    <x v="26"/>
    <x v="18"/>
    <x v="18"/>
    <s v=" KindnessPrevails"/>
    <x v="0"/>
    <x v="0"/>
    <s v=" #Kindness #Humanity                        "/>
    <n v="20"/>
    <n v="40"/>
    <x v="2"/>
    <x v="9"/>
    <x v="0"/>
    <n v="2023"/>
    <n v="2"/>
    <n v="19"/>
    <x v="11"/>
  </r>
  <r>
    <s v=" Pride in achieving a personal milestone.               "/>
    <s v=" Pride        "/>
    <x v="0"/>
    <d v="2023-02-19T16:00:00"/>
    <x v="26"/>
    <x v="51"/>
    <x v="44"/>
    <s v=" PersonalAchiever"/>
    <x v="1"/>
    <x v="1"/>
    <s v=" #Pride #Milestone                           "/>
    <n v="30"/>
    <n v="60"/>
    <x v="7"/>
    <x v="27"/>
    <x v="3"/>
    <n v="2023"/>
    <n v="2"/>
    <n v="19"/>
    <x v="12"/>
  </r>
  <r>
    <s v=" A moment of shame for not standing up against injustice. "/>
    <s v=" Shame        "/>
    <x v="1"/>
    <d v="2023-02-19T19:45:00"/>
    <x v="26"/>
    <x v="58"/>
    <x v="25"/>
    <s v=" ReflectiveSelf  "/>
    <x v="2"/>
    <x v="2"/>
    <s v=" #Shame #Injustice                           "/>
    <n v="15"/>
    <n v="30"/>
    <x v="0"/>
    <x v="22"/>
    <x v="4"/>
    <n v="2023"/>
    <n v="2"/>
    <n v="19"/>
    <x v="4"/>
  </r>
  <r>
    <s v=" Fuming with anger after a heated argument.            "/>
    <s v=" Anger        "/>
    <x v="1"/>
    <d v="2023-02-20T09:30:00"/>
    <x v="27"/>
    <x v="56"/>
    <x v="40"/>
    <s v=" AngryDebater    "/>
    <x v="0"/>
    <x v="0"/>
    <s v=" #Anger #Argument                             "/>
    <n v="20"/>
    <n v="40"/>
    <x v="2"/>
    <x v="20"/>
    <x v="1"/>
    <n v="2023"/>
    <n v="2"/>
    <n v="20"/>
    <x v="5"/>
  </r>
  <r>
    <s v=" The fear of the unknown is keeping me up at night.    "/>
    <s v=" Fear         "/>
    <x v="1"/>
    <d v="2023-02-20T21:15:00"/>
    <x v="27"/>
    <x v="59"/>
    <x v="41"/>
    <s v=" FearfulDreamer  "/>
    <x v="1"/>
    <x v="1"/>
    <s v=" #Fear #Unknown                               "/>
    <n v="15"/>
    <n v="30"/>
    <x v="0"/>
    <x v="21"/>
    <x v="0"/>
    <n v="2023"/>
    <n v="2"/>
    <n v="20"/>
    <x v="14"/>
  </r>
  <r>
    <s v=" Heartfelt sadness after bidding farewell to a dear friend. "/>
    <s v=" Sadness      "/>
    <x v="1"/>
    <d v="2023-02-21T14:45:00"/>
    <x v="28"/>
    <x v="6"/>
    <x v="6"/>
    <s v=" FarewellHeart   "/>
    <x v="2"/>
    <x v="2"/>
    <s v=" #Sadness #Farewell                          "/>
    <n v="25"/>
    <n v="50"/>
    <x v="5"/>
    <x v="22"/>
    <x v="4"/>
    <n v="2023"/>
    <n v="2"/>
    <n v="21"/>
    <x v="6"/>
  </r>
  <r>
    <s v=" The state of corruption in our society is utterly disgusting. "/>
    <s v=" Disgust      "/>
    <x v="1"/>
    <d v="2023-02-21T18:20:00"/>
    <x v="28"/>
    <x v="60"/>
    <x v="3"/>
    <s v=" AntiCorruption  "/>
    <x v="0"/>
    <x v="0"/>
    <s v=" #Disgust #Corruption                         "/>
    <n v="18"/>
    <n v="35"/>
    <x v="8"/>
    <x v="18"/>
    <x v="2"/>
    <n v="2023"/>
    <n v="2"/>
    <n v="21"/>
    <x v="3"/>
  </r>
  <r>
    <s v=" Overflowing happiness: welcoming a new family member!  "/>
    <s v=" Happiness    "/>
    <x v="0"/>
    <d v="2023-02-22T10:00:00"/>
    <x v="29"/>
    <x v="61"/>
    <x v="42"/>
    <s v=" NewParentJoy    "/>
    <x v="1"/>
    <x v="1"/>
    <s v=" #Happiness #NewFamilyMember                 "/>
    <n v="30"/>
    <n v="60"/>
    <x v="7"/>
    <x v="24"/>
    <x v="2"/>
    <n v="2023"/>
    <n v="2"/>
    <n v="22"/>
    <x v="7"/>
  </r>
  <r>
    <s v=" Laughter is the key to joy‚Äîattending a stand-up comedy show. "/>
    <s v=" Joy          "/>
    <x v="0"/>
    <d v="2023-02-22T19:30:00"/>
    <x v="29"/>
    <x v="62"/>
    <x v="7"/>
    <s v=" StandUpFan      "/>
    <x v="2"/>
    <x v="2"/>
    <s v=" #Joy #StandUpComedy                         "/>
    <n v="22"/>
    <n v="45"/>
    <x v="9"/>
    <x v="8"/>
    <x v="1"/>
    <n v="2023"/>
    <n v="2"/>
    <n v="22"/>
    <x v="4"/>
  </r>
  <r>
    <s v=" Sending love to all my followers on this beautiful day! ‚ù§Ô∏è "/>
    <s v=" Love         "/>
    <x v="0"/>
    <d v="2023-02-23T08:30:00"/>
    <x v="30"/>
    <x v="63"/>
    <x v="43"/>
    <s v=" LoveSender      "/>
    <x v="0"/>
    <x v="0"/>
    <s v=" #Love #SpreadLove                            "/>
    <n v="15"/>
    <n v="30"/>
    <x v="0"/>
    <x v="23"/>
    <x v="3"/>
    <n v="2023"/>
    <n v="2"/>
    <n v="23"/>
    <x v="1"/>
  </r>
  <r>
    <s v=" Amused by the antics of my pet‚Äîit's pure amusement!      "/>
    <s v=" Amusement    "/>
    <x v="0"/>
    <d v="2023-02-23T14:20:00"/>
    <x v="30"/>
    <x v="32"/>
    <x v="29"/>
    <s v=" PetAmuser       "/>
    <x v="1"/>
    <x v="1"/>
    <s v=" #Amusement #PetAntics                       "/>
    <n v="18"/>
    <n v="35"/>
    <x v="8"/>
    <x v="24"/>
    <x v="2"/>
    <n v="2023"/>
    <n v="2"/>
    <n v="23"/>
    <x v="6"/>
  </r>
  <r>
    <s v=" Enjoying every moment of this trip‚Äîpure enjoyment!      "/>
    <s v=" Enjoyment    "/>
    <x v="0"/>
    <d v="2023-02-23T19:45:00"/>
    <x v="30"/>
    <x v="58"/>
    <x v="25"/>
    <s v=" TravelExplorer  "/>
    <x v="2"/>
    <x v="2"/>
    <s v=" #Enjoyment #Travel                           "/>
    <n v="25"/>
    <n v="50"/>
    <x v="5"/>
    <x v="10"/>
    <x v="0"/>
    <n v="2023"/>
    <n v="2"/>
    <n v="23"/>
    <x v="4"/>
  </r>
  <r>
    <s v=" Admiring the dedication of volunteers at a local charity. "/>
    <s v=" Admiration   "/>
    <x v="2"/>
    <d v="2023-02-24T11:30:00"/>
    <x v="31"/>
    <x v="64"/>
    <x v="18"/>
    <s v=" CharityAdmirer  "/>
    <x v="0"/>
    <x v="0"/>
    <s v=" #Admiration #Volunteers                     "/>
    <n v="20"/>
    <n v="40"/>
    <x v="2"/>
    <x v="2"/>
    <x v="0"/>
    <n v="2023"/>
    <n v="2"/>
    <n v="24"/>
    <x v="11"/>
  </r>
  <r>
    <s v=" Sending affectionate vibes to friends and family.        "/>
    <s v=" Affection    "/>
    <x v="0"/>
    <d v="2023-02-24T16:00:00"/>
    <x v="31"/>
    <x v="65"/>
    <x v="44"/>
    <s v=" FamilyLover     "/>
    <x v="1"/>
    <x v="1"/>
    <s v=" #Affection #FamilyLove                      "/>
    <n v="15"/>
    <n v="30"/>
    <x v="0"/>
    <x v="7"/>
    <x v="0"/>
    <n v="2023"/>
    <n v="2"/>
    <n v="24"/>
    <x v="12"/>
  </r>
  <r>
    <s v=" Awe-struck by the beauty of the night sky.               "/>
    <s v=" Awe          "/>
    <x v="0"/>
    <d v="2023-02-24T20:30:00"/>
    <x v="31"/>
    <x v="66"/>
    <x v="45"/>
    <s v=" Stargazer       "/>
    <x v="2"/>
    <x v="2"/>
    <s v=" #Awe #StarryNight                        "/>
    <n v="22"/>
    <n v="45"/>
    <x v="9"/>
    <x v="4"/>
    <x v="3"/>
    <n v="2023"/>
    <n v="2"/>
    <n v="24"/>
    <x v="13"/>
  </r>
  <r>
    <s v=" Disappointed with the lack of progress in a personal project. "/>
    <s v=" Disappointed "/>
    <x v="1"/>
    <d v="2023-02-25T09:00:00"/>
    <x v="32"/>
    <x v="36"/>
    <x v="33"/>
    <s v=" ProjectStruggle "/>
    <x v="0"/>
    <x v="0"/>
    <s v=" #Disappointed #Project                     "/>
    <n v="18"/>
    <n v="35"/>
    <x v="8"/>
    <x v="22"/>
    <x v="4"/>
    <n v="2023"/>
    <n v="2"/>
    <n v="25"/>
    <x v="5"/>
  </r>
  <r>
    <s v=" A surprise visit from an old friend brought tears of joy. "/>
    <s v=" Surprise     "/>
    <x v="2"/>
    <d v="2023-02-25T14:45:00"/>
    <x v="32"/>
    <x v="6"/>
    <x v="6"/>
    <s v=" JoyfulReunion   "/>
    <x v="1"/>
    <x v="1"/>
    <s v=" #Surprise #OldFriends                       "/>
    <n v="25"/>
    <n v="50"/>
    <x v="5"/>
    <x v="21"/>
    <x v="0"/>
    <n v="2023"/>
    <n v="2"/>
    <n v="25"/>
    <x v="6"/>
  </r>
  <r>
    <s v=" Embracing acceptance of life's ups and downs.           "/>
    <s v=" Acceptance   "/>
    <x v="0"/>
    <d v="2023-02-25T18:20:00"/>
    <x v="32"/>
    <x v="60"/>
    <x v="3"/>
    <s v=" LifeAcceptance  "/>
    <x v="2"/>
    <x v="2"/>
    <s v=" #Acceptance #LifeJourney                   "/>
    <n v="15"/>
    <n v="30"/>
    <x v="0"/>
    <x v="20"/>
    <x v="1"/>
    <n v="2023"/>
    <n v="2"/>
    <n v="25"/>
    <x v="3"/>
  </r>
  <r>
    <s v=" Overflowing adoration for a cute rescue puppy! üê∂       "/>
    <s v=" Adoration    "/>
    <x v="0"/>
    <d v="2023-02-26T10:45:00"/>
    <x v="33"/>
    <x v="41"/>
    <x v="37"/>
    <s v=" PuppyAdmirer    "/>
    <x v="0"/>
    <x v="0"/>
    <s v=" #Adoration #PuppyLove                       "/>
    <n v="22"/>
    <n v="45"/>
    <x v="9"/>
    <x v="18"/>
    <x v="2"/>
    <n v="2023"/>
    <n v="2"/>
    <n v="26"/>
    <x v="7"/>
  </r>
  <r>
    <s v=" Anticipating the release of a much-awaited movie.       "/>
    <s v=" Anticipation "/>
    <x v="2"/>
    <d v="2023-02-26T07:30:00"/>
    <x v="33"/>
    <x v="67"/>
    <x v="46"/>
    <s v=" MovieBuff2      "/>
    <x v="1"/>
    <x v="1"/>
    <s v=" #Anticipation #MovieRelease                 "/>
    <n v="20"/>
    <n v="40"/>
    <x v="2"/>
    <x v="27"/>
    <x v="3"/>
    <n v="2023"/>
    <n v="2"/>
    <n v="26"/>
    <x v="15"/>
  </r>
  <r>
    <s v=" Bitter experience at the customer service department.   "/>
    <s v=" Bitter       "/>
    <x v="1"/>
    <d v="2023-02-26T15:00:00"/>
    <x v="33"/>
    <x v="68"/>
    <x v="26"/>
    <s v=" CustomerWoes    "/>
    <x v="2"/>
    <x v="2"/>
    <s v=" #BitterExperience #CustomerService         "/>
    <n v="18"/>
    <n v="35"/>
    <x v="8"/>
    <x v="9"/>
    <x v="0"/>
    <n v="2023"/>
    <n v="2"/>
    <n v="26"/>
    <x v="2"/>
  </r>
  <r>
    <s v=" Finding calmness amidst the chaos of daily life.        "/>
    <s v=" Calmness     "/>
    <x v="0"/>
    <d v="2023-02-27T09:30:00"/>
    <x v="34"/>
    <x v="45"/>
    <x v="40"/>
    <s v=" CalmSoul        "/>
    <x v="0"/>
    <x v="0"/>
    <s v=" #Calmness #InnerPeace                      "/>
    <n v="15"/>
    <n v="30"/>
    <x v="0"/>
    <x v="13"/>
    <x v="4"/>
    <n v="2023"/>
    <n v="2"/>
    <n v="27"/>
    <x v="5"/>
  </r>
  <r>
    <s v=" Confusion reigns as I try to make sense of recent events."/>
    <s v=" Confusion    "/>
    <x v="2"/>
    <d v="2023-02-27T14:20:00"/>
    <x v="34"/>
    <x v="32"/>
    <x v="29"/>
    <s v=" ConfusedMind2   "/>
    <x v="1"/>
    <x v="1"/>
    <s v=" #Confusion #MakingSense                    "/>
    <n v="25"/>
    <n v="50"/>
    <x v="5"/>
    <x v="17"/>
    <x v="2"/>
    <n v="2023"/>
    <n v="2"/>
    <n v="27"/>
    <x v="6"/>
  </r>
  <r>
    <s v=" Excitement building up for a surprise birthday party.   "/>
    <s v=" Excitement   "/>
    <x v="0"/>
    <d v="2023-02-27T18:45:00"/>
    <x v="34"/>
    <x v="69"/>
    <x v="47"/>
    <s v=" BirthdayExcite  "/>
    <x v="2"/>
    <x v="2"/>
    <s v=" #Excitement #SurpriseParty                 "/>
    <n v="22"/>
    <n v="45"/>
    <x v="9"/>
    <x v="14"/>
    <x v="1"/>
    <n v="2023"/>
    <n v="2"/>
    <n v="27"/>
    <x v="3"/>
  </r>
  <r>
    <s v=" Witnessed an act of kindness that made my day.          "/>
    <s v=" Kind         "/>
    <x v="0"/>
    <d v="2023-02-28T11:30:00"/>
    <x v="35"/>
    <x v="64"/>
    <x v="18"/>
    <s v=" KindnessObserver"/>
    <x v="0"/>
    <x v="0"/>
    <s v=" #Kindness #ActsOfKindness                  "/>
    <n v="20"/>
    <n v="40"/>
    <x v="2"/>
    <x v="9"/>
    <x v="0"/>
    <n v="2023"/>
    <n v="2"/>
    <n v="28"/>
    <x v="11"/>
  </r>
  <r>
    <s v=" Pride in completing a challenging fitness challenge.    "/>
    <s v=" Pride        "/>
    <x v="0"/>
    <d v="2023-02-28T16:00:00"/>
    <x v="35"/>
    <x v="65"/>
    <x v="44"/>
    <s v=" FitAchiever     "/>
    <x v="1"/>
    <x v="1"/>
    <s v=" #Pride #FitnessChallengeCompleted          "/>
    <n v="30"/>
    <n v="60"/>
    <x v="7"/>
    <x v="28"/>
    <x v="2"/>
    <n v="2023"/>
    <n v="2"/>
    <n v="28"/>
    <x v="12"/>
  </r>
  <r>
    <s v=" A moment of shame for not speaking up against injustice."/>
    <s v=" Shame        "/>
    <x v="1"/>
    <d v="2023-02-28T19:45:00"/>
    <x v="35"/>
    <x v="26"/>
    <x v="25"/>
    <s v=" ReflectiveSelf2 "/>
    <x v="2"/>
    <x v="2"/>
    <s v=" #Shame #Injustice                           "/>
    <n v="15"/>
    <n v="30"/>
    <x v="0"/>
    <x v="13"/>
    <x v="4"/>
    <n v="2023"/>
    <n v="2"/>
    <n v="28"/>
    <x v="4"/>
  </r>
  <r>
    <s v=" Reflecting on the beauty of diversity in our world.     "/>
    <s v=" Acceptance   "/>
    <x v="0"/>
    <d v="2023-03-01T10:45:00"/>
    <x v="36"/>
    <x v="54"/>
    <x v="37"/>
    <s v=" DiversityLover  "/>
    <x v="0"/>
    <x v="0"/>
    <s v=" #Acceptance #Diversity                      "/>
    <n v="22"/>
    <n v="45"/>
    <x v="9"/>
    <x v="4"/>
    <x v="3"/>
    <n v="2023"/>
    <n v="3"/>
    <n v="1"/>
    <x v="7"/>
  </r>
  <r>
    <s v=" Excitement for a quiet evening with a good book.        "/>
    <s v=" Excitement   "/>
    <x v="0"/>
    <d v="2023-03-01T13:30:00"/>
    <x v="36"/>
    <x v="44"/>
    <x v="39"/>
    <s v=" BookwormJoy     "/>
    <x v="1"/>
    <x v="1"/>
    <s v=" #Excitement #BookTime                       "/>
    <n v="18"/>
    <n v="35"/>
    <x v="8"/>
    <x v="21"/>
    <x v="0"/>
    <n v="2023"/>
    <n v="3"/>
    <n v="1"/>
    <x v="8"/>
  </r>
  <r>
    <s v=" Feeling bitter about the unfairness in the workplace.   "/>
    <s v=" Bitter       "/>
    <x v="1"/>
    <d v="2023-03-01T17:45:00"/>
    <x v="36"/>
    <x v="70"/>
    <x v="48"/>
    <s v=" WorkplaceWoes   "/>
    <x v="0"/>
    <x v="0"/>
    <s v=" #Bitter #Unfairness                         "/>
    <n v="15"/>
    <n v="30"/>
    <x v="0"/>
    <x v="8"/>
    <x v="1"/>
    <n v="2023"/>
    <n v="3"/>
    <n v="1"/>
    <x v="9"/>
  </r>
  <r>
    <s v=" Calmness prevails as I practice mindfulness.            "/>
    <s v=" Calmness     "/>
    <x v="0"/>
    <d v="2023-03-02T18:00:00"/>
    <x v="37"/>
    <x v="29"/>
    <x v="13"/>
    <s v=" MindfulMe       "/>
    <x v="2"/>
    <x v="2"/>
    <s v=" #Calmness #Mindfulness                      "/>
    <n v="15"/>
    <n v="30"/>
    <x v="0"/>
    <x v="15"/>
    <x v="2"/>
    <n v="2023"/>
    <n v="3"/>
    <n v="2"/>
    <x v="3"/>
  </r>
  <r>
    <s v=" Confusion surrounds me as I navigate through life's choices. "/>
    <s v=" Confusion "/>
    <x v="2"/>
    <d v="2023-03-02T13:15:00"/>
    <x v="37"/>
    <x v="30"/>
    <x v="28"/>
    <s v=" ConfusedMind3   "/>
    <x v="1"/>
    <x v="1"/>
    <s v=" #Confusion #LifeChoices                     "/>
    <n v="30"/>
    <n v="60"/>
    <x v="7"/>
    <x v="29"/>
    <x v="0"/>
    <n v="2023"/>
    <n v="3"/>
    <n v="2"/>
    <x v="8"/>
  </r>
  <r>
    <s v=" Excitement for a weekend road trip to explore new places. "/>
    <s v=" Excitement "/>
    <x v="0"/>
    <d v="2023-03-02T16:45:00"/>
    <x v="37"/>
    <x v="21"/>
    <x v="20"/>
    <s v=" RoadTripper2    "/>
    <x v="0"/>
    <x v="0"/>
    <s v=" #Excitement #WeekendAdventure               "/>
    <n v="25"/>
    <n v="50"/>
    <x v="5"/>
    <x v="13"/>
    <x v="4"/>
    <n v="2023"/>
    <n v="3"/>
    <n v="2"/>
    <x v="12"/>
  </r>
  <r>
    <s v=" Kindness witnessed today restores my faith in humanity.  "/>
    <s v=" Kind         "/>
    <x v="0"/>
    <d v="2023-03-03T11:30:00"/>
    <x v="38"/>
    <x v="18"/>
    <x v="18"/>
    <s v=" KindnessPrevails2"/>
    <x v="2"/>
    <x v="2"/>
    <s v=" #Kindness #HumanityRestored                 "/>
    <n v="22"/>
    <n v="45"/>
    <x v="9"/>
    <x v="9"/>
    <x v="0"/>
    <n v="2023"/>
    <n v="3"/>
    <n v="3"/>
    <x v="11"/>
  </r>
  <r>
    <s v=" Pride in accomplishing personal and professional goals.  "/>
    <s v=" Pride        "/>
    <x v="0"/>
    <d v="2023-03-03T14:30:00"/>
    <x v="38"/>
    <x v="23"/>
    <x v="22"/>
    <s v=" GoalAchiever    "/>
    <x v="1"/>
    <x v="1"/>
    <s v=" #Pride #Accomplishments                     "/>
    <n v="12"/>
    <n v="25"/>
    <x v="4"/>
    <x v="14"/>
    <x v="1"/>
    <n v="2023"/>
    <n v="3"/>
    <n v="3"/>
    <x v="6"/>
  </r>
  <r>
    <s v=" Shame for not being true to my values in a difficult situation."/>
    <s v=" Shame "/>
    <x v="1"/>
    <d v="2023-03-03T12:00:00"/>
    <x v="38"/>
    <x v="24"/>
    <x v="23"/>
    <s v=" ReflectiveSelf3 "/>
    <x v="0"/>
    <x v="0"/>
    <s v=" #Shame #Integrity                           "/>
    <n v="15"/>
    <n v="30"/>
    <x v="0"/>
    <x v="15"/>
    <x v="2"/>
    <n v="2023"/>
    <n v="3"/>
    <n v="3"/>
    <x v="0"/>
  </r>
  <r>
    <s v=" Revisiting old memories, feeling a sense of elation. "/>
    <s v=" Elation       "/>
    <x v="0"/>
    <d v="2010-05-15T15:30:00"/>
    <x v="39"/>
    <x v="71"/>
    <x v="49"/>
    <s v=" NostalgiaFan    "/>
    <x v="0"/>
    <x v="0"/>
    <s v=" #Elation #Memories                             "/>
    <n v="20"/>
    <n v="40"/>
    <x v="2"/>
    <x v="8"/>
    <x v="1"/>
    <n v="2010"/>
    <n v="5"/>
    <n v="15"/>
    <x v="2"/>
  </r>
  <r>
    <s v=" The victory of our team brought euphoria to the city. "/>
    <s v=" Euphoria      "/>
    <x v="0"/>
    <d v="2021-08-10T21:15:00"/>
    <x v="40"/>
    <x v="46"/>
    <x v="41"/>
    <s v=" SportsFanatic   "/>
    <x v="1"/>
    <x v="1"/>
    <s v=" #Euphoria #Victory                             "/>
    <n v="15"/>
    <n v="30"/>
    <x v="0"/>
    <x v="0"/>
    <x v="0"/>
    <n v="2021"/>
    <n v="8"/>
    <n v="10"/>
    <x v="14"/>
  </r>
  <r>
    <s v=" Embracing the beauty of nature, a moment of contentment. "/>
    <s v=" Contentment   "/>
    <x v="0"/>
    <d v="2011-06-20T14:45:00"/>
    <x v="41"/>
    <x v="6"/>
    <x v="6"/>
    <s v=" NatureLover2    "/>
    <x v="2"/>
    <x v="2"/>
    <s v=" #Contentment #Nature                           "/>
    <n v="25"/>
    <n v="50"/>
    <x v="5"/>
    <x v="30"/>
    <x v="4"/>
    <n v="2011"/>
    <n v="6"/>
    <n v="20"/>
    <x v="6"/>
  </r>
  <r>
    <s v=" Meditating by the serene lake, finding inner peace.   "/>
    <s v=" Serenity      "/>
    <x v="0"/>
    <d v="2022-02-12T18:20:00"/>
    <x v="42"/>
    <x v="60"/>
    <x v="3"/>
    <s v=" ZenMaster2      "/>
    <x v="0"/>
    <x v="0"/>
    <s v=" #Serenity #Meditation                          "/>
    <n v="18"/>
    <n v="35"/>
    <x v="8"/>
    <x v="31"/>
    <x v="2"/>
    <n v="2022"/>
    <n v="2"/>
    <n v="12"/>
    <x v="3"/>
  </r>
  <r>
    <s v=" Overflowing with gratitude for life's blessings.      "/>
    <s v=" Gratitude     "/>
    <x v="0"/>
    <d v="2012-11-25T10:00:00"/>
    <x v="43"/>
    <x v="48"/>
    <x v="42"/>
    <s v=" ThankfulHeart   "/>
    <x v="1"/>
    <x v="1"/>
    <s v=" #Gratitude #Blessed                            "/>
    <n v="30"/>
    <n v="60"/>
    <x v="7"/>
    <x v="26"/>
    <x v="3"/>
    <n v="2012"/>
    <n v="11"/>
    <n v="25"/>
    <x v="7"/>
  </r>
  <r>
    <s v=" Hopeful for a brighter tomorrow, despite challenges.  "/>
    <s v=" Hope          "/>
    <x v="0"/>
    <d v="2013-04-05T19:30:00"/>
    <x v="44"/>
    <x v="62"/>
    <x v="7"/>
    <s v=" OptimisticSoul  "/>
    <x v="2"/>
    <x v="2"/>
    <s v=" #Hope #Optimism                                "/>
    <n v="22"/>
    <n v="45"/>
    <x v="9"/>
    <x v="0"/>
    <x v="0"/>
    <n v="2013"/>
    <n v="4"/>
    <n v="5"/>
    <x v="4"/>
  </r>
  <r>
    <s v=" Empowered to make a difference in my community.        "/>
    <s v=" Empowerment   "/>
    <x v="0"/>
    <d v="2014-09-14T08:30:00"/>
    <x v="45"/>
    <x v="63"/>
    <x v="43"/>
    <s v=" CommunityLeader "/>
    <x v="0"/>
    <x v="0"/>
    <s v=" #Empowerment #Community                        "/>
    <n v="15"/>
    <n v="30"/>
    <x v="0"/>
    <x v="3"/>
    <x v="2"/>
    <n v="2014"/>
    <n v="9"/>
    <n v="14"/>
    <x v="1"/>
  </r>
  <r>
    <s v=" Compassion in action: supporting a local charity event. "/>
    <s v=" Compassion    "/>
    <x v="0"/>
    <d v="2015-07-18T14:20:00"/>
    <x v="46"/>
    <x v="50"/>
    <x v="29"/>
    <s v=" CharitySupporter"/>
    <x v="1"/>
    <x v="1"/>
    <s v=" #Compassion #CharityEvent                   "/>
    <n v="18"/>
    <n v="35"/>
    <x v="8"/>
    <x v="14"/>
    <x v="1"/>
    <n v="2015"/>
    <n v="7"/>
    <n v="18"/>
    <x v="6"/>
  </r>
  <r>
    <s v=" A moment of tenderness, connecting with loved ones.    "/>
    <s v=" Tenderness    "/>
    <x v="0"/>
    <d v="2016-02-23T19:45:00"/>
    <x v="47"/>
    <x v="26"/>
    <x v="25"/>
    <s v=" LovingHeart     "/>
    <x v="2"/>
    <x v="2"/>
    <s v=" #Tenderness #FamilyTime                       "/>
    <n v="25"/>
    <n v="50"/>
    <x v="5"/>
    <x v="31"/>
    <x v="2"/>
    <n v="2016"/>
    <n v="2"/>
    <n v="23"/>
    <x v="4"/>
  </r>
  <r>
    <s v=" Arousal of excitement as I await a special announcement."/>
    <s v=" Arousal       "/>
    <x v="0"/>
    <d v="2017-10-30T11:30:00"/>
    <x v="48"/>
    <x v="18"/>
    <x v="18"/>
    <s v=" ExcitementFan   "/>
    <x v="0"/>
    <x v="0"/>
    <s v=" #Arousal #Excitement                           "/>
    <n v="20"/>
    <n v="40"/>
    <x v="2"/>
    <x v="4"/>
    <x v="3"/>
    <n v="2017"/>
    <n v="10"/>
    <n v="30"/>
    <x v="11"/>
  </r>
  <r>
    <s v=" Enthusiastically diving into a new project.            "/>
    <s v=" Enthusiasm    "/>
    <x v="0"/>
    <d v="2018-06-15T16:00:00"/>
    <x v="49"/>
    <x v="51"/>
    <x v="44"/>
    <s v=" ProjectEnthusiast"/>
    <x v="1"/>
    <x v="1"/>
    <s v=" #Enthusiasm #NewProject                       "/>
    <n v="15"/>
    <n v="30"/>
    <x v="0"/>
    <x v="32"/>
    <x v="0"/>
    <n v="2018"/>
    <n v="6"/>
    <n v="15"/>
    <x v="12"/>
  </r>
  <r>
    <s v=" Feeling a sense of fulfillment after reaching a milestone."/>
    <s v=" Fulfillment  "/>
    <x v="0"/>
    <d v="2019-03-28T18:20:00"/>
    <x v="50"/>
    <x v="60"/>
    <x v="3"/>
    <s v=" MilestoneAchiever"/>
    <x v="2"/>
    <x v="2"/>
    <s v=" #Fulfillment #Milestone                       "/>
    <n v="22"/>
    <n v="45"/>
    <x v="9"/>
    <x v="13"/>
    <x v="4"/>
    <n v="2019"/>
    <n v="3"/>
    <n v="28"/>
    <x v="3"/>
  </r>
  <r>
    <s v=" Reverence for the beauty of a historic landmark.       "/>
    <s v=" Reverence     "/>
    <x v="0"/>
    <d v="2019-11-11T15:00:00"/>
    <x v="51"/>
    <x v="27"/>
    <x v="26"/>
    <s v=" HistoryLover    "/>
    <x v="0"/>
    <x v="0"/>
    <s v=" #Reverence #History                           "/>
    <n v="18"/>
    <n v="35"/>
    <x v="8"/>
    <x v="33"/>
    <x v="2"/>
    <n v="2019"/>
    <n v="11"/>
    <n v="11"/>
    <x v="2"/>
  </r>
  <r>
    <s v=" Elation after a surprise reunion with old friends.    "/>
    <s v=" Elation       "/>
    <x v="0"/>
    <d v="2020-04-02T09:30:00"/>
    <x v="52"/>
    <x v="56"/>
    <x v="40"/>
    <s v=" JoyfulReunion2  "/>
    <x v="1"/>
    <x v="1"/>
    <s v=" #Elation #OldFriends                          "/>
    <n v="25"/>
    <n v="50"/>
    <x v="5"/>
    <x v="34"/>
    <x v="1"/>
    <n v="2020"/>
    <n v="4"/>
    <n v="2"/>
    <x v="5"/>
  </r>
  <r>
    <s v=" The euphoria of a live music concert under the stars.  "/>
    <s v=" Euphoria      "/>
    <x v="0"/>
    <d v="2021-06-19T14:45:00"/>
    <x v="53"/>
    <x v="6"/>
    <x v="6"/>
    <s v=" MusicEnthusiast "/>
    <x v="2"/>
    <x v="2"/>
    <s v=" #Euphoria #LiveMusic                          "/>
    <n v="15"/>
    <n v="30"/>
    <x v="0"/>
    <x v="10"/>
    <x v="0"/>
    <n v="2021"/>
    <n v="6"/>
    <n v="19"/>
    <x v="6"/>
  </r>
  <r>
    <s v=" Contentment in the simplicity of a quiet Sunday.       "/>
    <s v=" Contentment   "/>
    <x v="0"/>
    <d v="2010-08-15T10:00:00"/>
    <x v="54"/>
    <x v="61"/>
    <x v="42"/>
    <s v=" SimpleJoys      "/>
    <x v="0"/>
    <x v="0"/>
    <s v=" #Contentment #SundayMood                      "/>
    <n v="30"/>
    <n v="60"/>
    <x v="7"/>
    <x v="4"/>
    <x v="3"/>
    <n v="2010"/>
    <n v="8"/>
    <n v="15"/>
    <x v="7"/>
  </r>
  <r>
    <s v=" Serenity found in the pages of a favorite book.        "/>
    <s v=" Serenity      "/>
    <x v="0"/>
    <d v="2011-09-22T19:30:00"/>
    <x v="55"/>
    <x v="7"/>
    <x v="7"/>
    <s v=" BookLover3      "/>
    <x v="1"/>
    <x v="1"/>
    <s v=" #Serenity #BookTime                           "/>
    <n v="22"/>
    <n v="45"/>
    <x v="9"/>
    <x v="31"/>
    <x v="2"/>
    <n v="2011"/>
    <n v="9"/>
    <n v="22"/>
    <x v="4"/>
  </r>
  <r>
    <s v=" Gratitude for the support received during tough times. "/>
    <s v=" Gratitude     "/>
    <x v="0"/>
    <d v="2012-03-10T08:30:00"/>
    <x v="56"/>
    <x v="63"/>
    <x v="43"/>
    <s v=" SupportiveFriend"/>
    <x v="2"/>
    <x v="2"/>
    <s v=" #Gratitude #Supportive                        "/>
    <n v="15"/>
    <n v="30"/>
    <x v="0"/>
    <x v="13"/>
    <x v="4"/>
    <n v="2012"/>
    <n v="3"/>
    <n v="10"/>
    <x v="1"/>
  </r>
  <r>
    <s v=" Hopeful about the possibilities of a new journey.      "/>
    <s v=" Hope          "/>
    <x v="0"/>
    <d v="2013-12-05T16:00:00"/>
    <x v="57"/>
    <x v="65"/>
    <x v="44"/>
    <s v=" JourneyOptimist "/>
    <x v="0"/>
    <x v="0"/>
    <s v=" #Hope #NewBeginnings                          "/>
    <n v="18"/>
    <n v="35"/>
    <x v="8"/>
    <x v="8"/>
    <x v="1"/>
    <n v="2013"/>
    <n v="12"/>
    <n v="5"/>
    <x v="12"/>
  </r>
  <r>
    <s v=" Empowerment through learning and personal growth.      "/>
    <s v=" Empowerment   "/>
    <x v="0"/>
    <d v="2014-07-20T11:30:00"/>
    <x v="58"/>
    <x v="18"/>
    <x v="18"/>
    <s v=" GrowthSeeker    "/>
    <x v="1"/>
    <x v="1"/>
    <s v=" #Empowerment #PersonalGrowth                  "/>
    <n v="25"/>
    <n v="50"/>
    <x v="5"/>
    <x v="7"/>
    <x v="0"/>
    <n v="2014"/>
    <n v="7"/>
    <n v="20"/>
    <x v="11"/>
  </r>
  <r>
    <s v=" Compassion towards those in need during the holidays.  "/>
    <s v=" Compassion    "/>
    <x v="0"/>
    <d v="2015-12-22T14:20:00"/>
    <x v="59"/>
    <x v="32"/>
    <x v="29"/>
    <s v=" HolidayHelper   "/>
    <x v="2"/>
    <x v="2"/>
    <s v=" #Compassion #HolidaySupport                   "/>
    <n v="18"/>
    <n v="35"/>
    <x v="8"/>
    <x v="0"/>
    <x v="0"/>
    <n v="2015"/>
    <n v="12"/>
    <n v="22"/>
    <x v="6"/>
  </r>
  <r>
    <s v=" Tenderness in the warmth of a cozy winter evening.     "/>
    <s v=" Tenderness    "/>
    <x v="0"/>
    <d v="2016-02-10T19:45:00"/>
    <x v="60"/>
    <x v="58"/>
    <x v="25"/>
    <s v=" WinterWarmth    "/>
    <x v="0"/>
    <x v="0"/>
    <s v=" #Tenderness #CozyEvening                     "/>
    <n v="25"/>
    <n v="50"/>
    <x v="5"/>
    <x v="3"/>
    <x v="2"/>
    <n v="2016"/>
    <n v="2"/>
    <n v="10"/>
    <x v="4"/>
  </r>
  <r>
    <s v=" Arousal of excitement for an upcoming adventure.       "/>
    <s v=" Arousal       "/>
    <x v="0"/>
    <d v="2017-04-30T11:30:00"/>
    <x v="61"/>
    <x v="64"/>
    <x v="18"/>
    <s v=" AdventureAwaits "/>
    <x v="1"/>
    <x v="1"/>
    <s v=" #Arousal #AdventureTime                       "/>
    <n v="20"/>
    <n v="40"/>
    <x v="2"/>
    <x v="4"/>
    <x v="3"/>
    <n v="2017"/>
    <n v="4"/>
    <n v="30"/>
    <x v="11"/>
  </r>
  <r>
    <s v=" Enthusiasm for a creative project in the making.       "/>
    <s v=" Enthusiasm    "/>
    <x v="0"/>
    <d v="2018-09-15T16:00:00"/>
    <x v="62"/>
    <x v="51"/>
    <x v="44"/>
    <s v=" CreativeSpirit  "/>
    <x v="2"/>
    <x v="2"/>
    <s v=" #Enthusiasm #Creativity                       "/>
    <n v="15"/>
    <n v="30"/>
    <x v="0"/>
    <x v="8"/>
    <x v="1"/>
    <n v="2018"/>
    <n v="9"/>
    <n v="15"/>
    <x v="12"/>
  </r>
  <r>
    <s v=" Fulfillment in completing a challenging workout routine."/>
    <s v=" Fulfillment  "/>
    <x v="0"/>
    <d v="2019-06-28T18:20:00"/>
    <x v="63"/>
    <x v="60"/>
    <x v="3"/>
    <s v=" FitnessAchiever "/>
    <x v="0"/>
    <x v="0"/>
    <s v=" #Fulfillment #FitnessGoals                   "/>
    <n v="22"/>
    <n v="45"/>
    <x v="9"/>
    <x v="13"/>
    <x v="4"/>
    <n v="2019"/>
    <n v="6"/>
    <n v="28"/>
    <x v="3"/>
  </r>
  <r>
    <s v=" Reverence for the artistry displayed in a museum.      "/>
    <s v=" Reverence     "/>
    <x v="0"/>
    <d v="2020-11-11T15:00:00"/>
    <x v="64"/>
    <x v="27"/>
    <x v="26"/>
    <s v=" ArtAppreciator  "/>
    <x v="1"/>
    <x v="1"/>
    <s v=" #Reverence #ArtAppreciation                  "/>
    <n v="18"/>
    <n v="35"/>
    <x v="8"/>
    <x v="15"/>
    <x v="2"/>
    <n v="2020"/>
    <n v="11"/>
    <n v="11"/>
    <x v="2"/>
  </r>
  <r>
    <s v=" Elation after achieving a personal goal.               "/>
    <s v=" Elation       "/>
    <x v="0"/>
    <d v="2021-03-02T09:30:00"/>
    <x v="65"/>
    <x v="56"/>
    <x v="40"/>
    <s v=" GoalAchiever2   "/>
    <x v="2"/>
    <x v="2"/>
    <s v=" #Elation #PersonalAchievement                "/>
    <n v="25"/>
    <n v="50"/>
    <x v="5"/>
    <x v="0"/>
    <x v="0"/>
    <n v="2021"/>
    <n v="3"/>
    <n v="2"/>
    <x v="5"/>
  </r>
  <r>
    <s v=" Elation over discovering a hidden gem in the city.   "/>
    <s v=" Elation       "/>
    <x v="0"/>
    <d v="2012-02-18T14:30:00"/>
    <x v="66"/>
    <x v="72"/>
    <x v="22"/>
    <s v=" UrbanExplorer2  "/>
    <x v="0"/>
    <x v="0"/>
    <s v=" #Elation #HiddenGem                            "/>
    <n v="20"/>
    <n v="40"/>
    <x v="2"/>
    <x v="0"/>
    <x v="0"/>
    <n v="2012"/>
    <n v="2"/>
    <n v="18"/>
    <x v="6"/>
  </r>
  <r>
    <s v=" The euphoria of a surprise birthday celebration.     "/>
    <s v=" Euphoria      "/>
    <x v="0"/>
    <d v="2018-11-05T21:45:00"/>
    <x v="67"/>
    <x v="73"/>
    <x v="50"/>
    <s v=" BirthdayJoy     "/>
    <x v="1"/>
    <x v="1"/>
    <s v=" #Euphoria #BirthdaySurprise                   "/>
    <n v="15"/>
    <n v="30"/>
    <x v="0"/>
    <x v="17"/>
    <x v="2"/>
    <n v="2018"/>
    <n v="11"/>
    <n v="5"/>
    <x v="14"/>
  </r>
  <r>
    <s v=" Contentment in the simplicity of a home-cooked meal. "/>
    <s v=" Contentment   "/>
    <x v="0"/>
    <d v="2015-09-12T13:20:00"/>
    <x v="68"/>
    <x v="15"/>
    <x v="15"/>
    <s v=" HomeChef        "/>
    <x v="2"/>
    <x v="2"/>
    <s v=" #Contentment #HomeCooking                     "/>
    <n v="25"/>
    <n v="50"/>
    <x v="5"/>
    <x v="5"/>
    <x v="4"/>
    <n v="2015"/>
    <n v="9"/>
    <n v="12"/>
    <x v="8"/>
  </r>
  <r>
    <s v=" Serenity found in the melody of a peaceful piano.    "/>
    <s v=" Serenity      "/>
    <x v="0"/>
    <d v="2016-07-30T18:10:00"/>
    <x v="69"/>
    <x v="74"/>
    <x v="51"/>
    <s v=" MusicLover4     "/>
    <x v="0"/>
    <x v="0"/>
    <s v=" #Serenity #PeacefulMelody                    "/>
    <n v="18"/>
    <n v="35"/>
    <x v="8"/>
    <x v="34"/>
    <x v="1"/>
    <n v="2016"/>
    <n v="7"/>
    <n v="30"/>
    <x v="3"/>
  </r>
  <r>
    <s v=" Gratitude for the supportive community around me.    "/>
    <s v=" Gratitude     "/>
    <x v="0"/>
    <d v="2013-04-20T10:30:00"/>
    <x v="70"/>
    <x v="11"/>
    <x v="11"/>
    <s v=" CommunityLove   "/>
    <x v="1"/>
    <x v="1"/>
    <s v=" #Gratitude #CommunitySupport                   "/>
    <n v="30"/>
    <n v="60"/>
    <x v="7"/>
    <x v="10"/>
    <x v="0"/>
    <n v="2013"/>
    <n v="4"/>
    <n v="20"/>
    <x v="7"/>
  </r>
  <r>
    <s v=" Hopeful about the prospects of a new business venture."/>
    <s v=" Hope          "/>
    <x v="0"/>
    <d v="2017-12-08T19:15:00"/>
    <x v="71"/>
    <x v="75"/>
    <x v="52"/>
    <s v=" EntrepreneurHope"/>
    <x v="2"/>
    <x v="2"/>
    <s v=" #Hope #BusinessVenture                        "/>
    <n v="22"/>
    <n v="45"/>
    <x v="9"/>
    <x v="8"/>
    <x v="1"/>
    <n v="2017"/>
    <n v="12"/>
    <n v="8"/>
    <x v="4"/>
  </r>
  <r>
    <s v=" Empowerment through mentoring and guiding others.    "/>
    <s v=" Empowerment   "/>
    <x v="0"/>
    <d v="2014-06-03T08:20:00"/>
    <x v="72"/>
    <x v="76"/>
    <x v="53"/>
    <s v=" MentorEmpower   "/>
    <x v="0"/>
    <x v="0"/>
    <s v=" #Empowerment #Mentorship                      "/>
    <n v="15"/>
    <n v="30"/>
    <x v="0"/>
    <x v="3"/>
    <x v="2"/>
    <n v="2014"/>
    <n v="6"/>
    <n v="3"/>
    <x v="1"/>
  </r>
  <r>
    <s v=" Compassion shown through acts of kindness in the community."/>
    <s v=" Compassion"/>
    <x v="0"/>
    <d v="2019-01-15T14:50:00"/>
    <x v="73"/>
    <x v="12"/>
    <x v="12"/>
    <s v=" KindnessInAction"/>
    <x v="1"/>
    <x v="1"/>
    <s v=" #Compassion #CommunityKindness               "/>
    <n v="18"/>
    <n v="35"/>
    <x v="8"/>
    <x v="4"/>
    <x v="3"/>
    <n v="2019"/>
    <n v="1"/>
    <n v="15"/>
    <x v="6"/>
  </r>
  <r>
    <s v=" Tenderness in a heartfelt message to a loved one.    "/>
    <s v=" Tenderness    "/>
    <x v="0"/>
    <d v="2016-12-25T19:30:00"/>
    <x v="74"/>
    <x v="62"/>
    <x v="7"/>
    <s v=" LoveExpress     "/>
    <x v="2"/>
    <x v="2"/>
    <s v=" #Tenderness #LoveNote                         "/>
    <n v="25"/>
    <n v="50"/>
    <x v="5"/>
    <x v="31"/>
    <x v="2"/>
    <n v="2016"/>
    <n v="12"/>
    <n v="25"/>
    <x v="4"/>
  </r>
  <r>
    <s v=" Arousal of excitement before a much-awaited trip.    "/>
    <s v=" Arousal       "/>
    <x v="0"/>
    <d v="2018-03-10T09:45:00"/>
    <x v="75"/>
    <x v="14"/>
    <x v="14"/>
    <s v=" TravelExcitement"/>
    <x v="0"/>
    <x v="0"/>
    <s v=" #Arousal #TravelAdventure                     "/>
    <n v="20"/>
    <n v="40"/>
    <x v="2"/>
    <x v="5"/>
    <x v="4"/>
    <n v="2018"/>
    <n v="3"/>
    <n v="10"/>
    <x v="5"/>
  </r>
  <r>
    <s v=" Enthusiasm for a new artistic project in the works.  "/>
    <s v=" Enthusiasm    "/>
    <x v="0"/>
    <d v="2020-09-17T16:30:00"/>
    <x v="76"/>
    <x v="77"/>
    <x v="54"/>
    <s v=" ArtisticSpirit  "/>
    <x v="1"/>
    <x v="1"/>
    <s v=" #Enthusiasm #ArtisticProject                 "/>
    <n v="15"/>
    <n v="30"/>
    <x v="0"/>
    <x v="9"/>
    <x v="0"/>
    <n v="2020"/>
    <n v="9"/>
    <n v="17"/>
    <x v="12"/>
  </r>
  <r>
    <s v=" Feeling a sense of fulfillment after helping others. "/>
    <s v=" Fulfillment   "/>
    <x v="0"/>
    <d v="2011-08-28T18:45:00"/>
    <x v="77"/>
    <x v="57"/>
    <x v="47"/>
    <s v=" HelperHeart     "/>
    <x v="2"/>
    <x v="2"/>
    <s v=" #Fulfillment #HelpingOthers                  "/>
    <n v="22"/>
    <n v="45"/>
    <x v="9"/>
    <x v="8"/>
    <x v="1"/>
    <n v="2011"/>
    <n v="8"/>
    <n v="28"/>
    <x v="3"/>
  </r>
  <r>
    <s v=" Reverence for the historical significance of a landmark."/>
    <s v=" Reverence "/>
    <x v="0"/>
    <d v="2017-11-01T15:30:00"/>
    <x v="78"/>
    <x v="78"/>
    <x v="49"/>
    <s v=" HistoryBuff     "/>
    <x v="0"/>
    <x v="0"/>
    <s v=" #Reverence #HistoricalSite                   "/>
    <n v="18"/>
    <n v="35"/>
    <x v="8"/>
    <x v="4"/>
    <x v="3"/>
    <n v="2017"/>
    <n v="11"/>
    <n v="1"/>
    <x v="2"/>
  </r>
  <r>
    <s v=" Elation after achieving a fitness milestone.         "/>
    <s v=" Elation       "/>
    <x v="0"/>
    <d v="2019-06-15T10:00:00"/>
    <x v="79"/>
    <x v="61"/>
    <x v="42"/>
    <s v=" FitnessAchiever2"/>
    <x v="1"/>
    <x v="1"/>
    <s v=" #Elation #FitnessMilestone                   "/>
    <n v="25"/>
    <n v="50"/>
    <x v="5"/>
    <x v="24"/>
    <x v="2"/>
    <n v="2019"/>
    <n v="6"/>
    <n v="15"/>
    <x v="7"/>
  </r>
  <r>
    <s v=" The euphoria of a successful product launch.         "/>
    <s v=" Euphoria      "/>
    <x v="0"/>
    <d v="2022-04-03T11:45:00"/>
    <x v="80"/>
    <x v="79"/>
    <x v="55"/>
    <s v=" ProductLaunchJoy"/>
    <x v="2"/>
    <x v="2"/>
    <s v=" #Euphoria #ProductLaunchSuccess              "/>
    <n v="15"/>
    <n v="30"/>
    <x v="0"/>
    <x v="9"/>
    <x v="0"/>
    <n v="2022"/>
    <n v="4"/>
    <n v="3"/>
    <x v="11"/>
  </r>
  <r>
    <s v=" Contentment in the embrace of a loved one.           "/>
    <s v=" Contentment   "/>
    <x v="0"/>
    <d v="2010-11-12T20:20:00"/>
    <x v="81"/>
    <x v="80"/>
    <x v="35"/>
    <s v=" LovingEmbrace   "/>
    <x v="0"/>
    <x v="0"/>
    <s v=" #Contentment #Love                             "/>
    <n v="30"/>
    <n v="60"/>
    <x v="7"/>
    <x v="5"/>
    <x v="4"/>
    <n v="2010"/>
    <n v="11"/>
    <n v="12"/>
    <x v="13"/>
  </r>
  <r>
    <s v=" Serenity found in the beauty of a sunset by the sea.  "/>
    <s v=" Serenity      "/>
    <x v="0"/>
    <d v="2011-07-22T18:30:00"/>
    <x v="82"/>
    <x v="40"/>
    <x v="36"/>
    <s v=" SunsetWatcher2  "/>
    <x v="1"/>
    <x v="1"/>
    <s v=" #Serenity #SunsetViews                       "/>
    <n v="22"/>
    <n v="45"/>
    <x v="9"/>
    <x v="20"/>
    <x v="1"/>
    <n v="2011"/>
    <n v="7"/>
    <n v="22"/>
    <x v="3"/>
  </r>
  <r>
    <s v=" Gratitude for the small joys that each day brings.   "/>
    <s v=" Gratitude     "/>
    <x v="0"/>
    <d v="2012-03-30T11:20:00"/>
    <x v="83"/>
    <x v="81"/>
    <x v="56"/>
    <s v=" JoyfulHeart2    "/>
    <x v="2"/>
    <x v="2"/>
    <s v=" #Gratitude #SmallJoys                        "/>
    <n v="15"/>
    <n v="30"/>
    <x v="0"/>
    <x v="26"/>
    <x v="3"/>
    <n v="2012"/>
    <n v="3"/>
    <n v="30"/>
    <x v="11"/>
  </r>
  <r>
    <s v=" Hopeful about the potential for personal growth.      "/>
    <s v=" Hope          "/>
    <x v="0"/>
    <d v="2013-10-05T16:40:00"/>
    <x v="84"/>
    <x v="82"/>
    <x v="57"/>
    <s v=" GrowthOptimist  "/>
    <x v="0"/>
    <x v="0"/>
    <s v=" #Hope #PersonalDevelopment                    "/>
    <n v="18"/>
    <n v="35"/>
    <x v="8"/>
    <x v="3"/>
    <x v="2"/>
    <n v="2013"/>
    <n v="10"/>
    <n v="5"/>
    <x v="12"/>
  </r>
  <r>
    <s v=" Empowerment through learning a new skill.            "/>
    <s v=" Empowerment   "/>
    <x v="0"/>
    <d v="2014-07-10T13:15:00"/>
    <x v="85"/>
    <x v="83"/>
    <x v="28"/>
    <s v=" SkillEmpower    "/>
    <x v="1"/>
    <x v="1"/>
    <s v=" #Empowerment #SkillBuilding                   "/>
    <n v="25"/>
    <n v="50"/>
    <x v="5"/>
    <x v="35"/>
    <x v="4"/>
    <n v="2014"/>
    <n v="7"/>
    <n v="10"/>
    <x v="8"/>
  </r>
  <r>
    <s v=" Compassion in volunteering for a local charity.       "/>
    <s v=" Compassion    "/>
    <x v="0"/>
    <d v="2015-12-18T14:20:00"/>
    <x v="86"/>
    <x v="32"/>
    <x v="29"/>
    <s v=" CharityVolunteer"/>
    <x v="2"/>
    <x v="2"/>
    <s v=" #Compassion #VolunteerWork                   "/>
    <n v="18"/>
    <n v="35"/>
    <x v="8"/>
    <x v="0"/>
    <x v="0"/>
    <n v="2015"/>
    <n v="12"/>
    <n v="18"/>
    <x v="6"/>
  </r>
  <r>
    <s v=" Tenderness in a quiet moment shared with a pet.      "/>
    <s v=" Tenderness    "/>
    <x v="0"/>
    <d v="2016-02-10T19:45:00"/>
    <x v="60"/>
    <x v="58"/>
    <x v="25"/>
    <s v=" PetLove         "/>
    <x v="0"/>
    <x v="0"/>
    <s v=" #Tenderness #PetLove                          "/>
    <n v="25"/>
    <n v="50"/>
    <x v="5"/>
    <x v="1"/>
    <x v="1"/>
    <n v="2016"/>
    <n v="2"/>
    <n v="10"/>
    <x v="4"/>
  </r>
  <r>
    <s v=" Arousal of excitement for an upcoming festival.       "/>
    <s v=" Arousal       "/>
    <x v="0"/>
    <d v="2017-09-25T11:30:00"/>
    <x v="87"/>
    <x v="64"/>
    <x v="18"/>
    <s v=" FestivalFan     "/>
    <x v="1"/>
    <x v="1"/>
    <s v=" #Arousal #FestivalExcitement               "/>
    <n v="20"/>
    <n v="40"/>
    <x v="2"/>
    <x v="12"/>
    <x v="2"/>
    <n v="2017"/>
    <n v="9"/>
    <n v="25"/>
    <x v="11"/>
  </r>
  <r>
    <s v=" Enthusiasm for a DIY home improvement project.       "/>
    <s v=" Enthusiasm    "/>
    <x v="0"/>
    <d v="2018-04-15T16:00:00"/>
    <x v="88"/>
    <x v="65"/>
    <x v="44"/>
    <s v=" DIYEnthusiast   "/>
    <x v="2"/>
    <x v="2"/>
    <s v=" #Enthusiasm #HomeImprovement                 "/>
    <n v="15"/>
    <n v="30"/>
    <x v="0"/>
    <x v="26"/>
    <x v="3"/>
    <n v="2018"/>
    <n v="4"/>
    <n v="15"/>
    <x v="12"/>
  </r>
  <r>
    <s v=" Fulfillment in completing a challenging puzzle.      "/>
    <s v=" Fulfillment   "/>
    <x v="0"/>
    <d v="2019-11-28T18:20:00"/>
    <x v="89"/>
    <x v="3"/>
    <x v="3"/>
    <s v=" PuzzleMaster    "/>
    <x v="0"/>
    <x v="0"/>
    <s v=" #Fulfillment #PuzzleChallenge                "/>
    <n v="22"/>
    <n v="45"/>
    <x v="9"/>
    <x v="5"/>
    <x v="4"/>
    <n v="2019"/>
    <n v="11"/>
    <n v="28"/>
    <x v="3"/>
  </r>
  <r>
    <s v=" Reverence for the wonders of nature on a hiking trail."/>
    <s v=" Reverence "/>
    <x v="0"/>
    <d v="2020-05-11T15:00:00"/>
    <x v="90"/>
    <x v="27"/>
    <x v="26"/>
    <s v=" NatureAdmirer   "/>
    <x v="1"/>
    <x v="1"/>
    <s v=" #Reverence #NatureExploration                "/>
    <n v="18"/>
    <n v="35"/>
    <x v="8"/>
    <x v="2"/>
    <x v="0"/>
    <n v="2020"/>
    <n v="5"/>
    <n v="11"/>
    <x v="2"/>
  </r>
  <r>
    <s v=" Elation after a surprise reunion with a childhood friend."/>
    <s v=" Elation   "/>
    <x v="0"/>
    <d v="2021-02-05T09:30:00"/>
    <x v="91"/>
    <x v="45"/>
    <x v="40"/>
    <s v=" ChildhoodJoy    "/>
    <x v="2"/>
    <x v="2"/>
    <s v=" #Elation #FriendshipReunion                  "/>
    <n v="25"/>
    <n v="50"/>
    <x v="5"/>
    <x v="34"/>
    <x v="1"/>
    <n v="2021"/>
    <n v="2"/>
    <n v="5"/>
    <x v="5"/>
  </r>
  <r>
    <s v=" Suffering from despair after another setback.      "/>
    <s v=" Despair         "/>
    <x v="1"/>
    <d v="2021-03-10T08:30:00"/>
    <x v="92"/>
    <x v="49"/>
    <x v="43"/>
    <s v=" StrugglingSoul    "/>
    <x v="0"/>
    <x v="0"/>
    <s v=" #Despair #Struggle                              "/>
    <n v="5"/>
    <n v="10"/>
    <x v="1"/>
    <x v="21"/>
    <x v="0"/>
    <n v="2021"/>
    <n v="3"/>
    <n v="10"/>
    <x v="1"/>
  </r>
  <r>
    <s v=" Overwhelmed by grief, missing a loved one dearly.  "/>
    <s v=" Grief           "/>
    <x v="1"/>
    <d v="2022-07-05T15:45:00"/>
    <x v="93"/>
    <x v="2"/>
    <x v="2"/>
    <s v=" MourningHeart     "/>
    <x v="1"/>
    <x v="1"/>
    <s v=" #Grief #Loss                                   "/>
    <n v="8"/>
    <n v="15"/>
    <x v="3"/>
    <x v="36"/>
    <x v="1"/>
    <n v="2022"/>
    <n v="7"/>
    <n v="5"/>
    <x v="2"/>
  </r>
  <r>
    <s v=" Loneliness creeps in as the night grows colder.    "/>
    <s v=" Loneliness      "/>
    <x v="1"/>
    <d v="2019-11-18T21:20:00"/>
    <x v="94"/>
    <x v="84"/>
    <x v="58"/>
    <s v=" SolitarySoul      "/>
    <x v="2"/>
    <x v="2"/>
    <s v=" #Loneliness #Isolation                         "/>
    <n v="10"/>
    <n v="20"/>
    <x v="6"/>
    <x v="24"/>
    <x v="2"/>
    <n v="2019"/>
    <n v="11"/>
    <n v="18"/>
    <x v="14"/>
  </r>
  <r>
    <s v=" Jealousy consumes me as I witness others' success. "/>
    <s v=" Jealousy        "/>
    <x v="1"/>
    <d v="2020-08-12T11:30:00"/>
    <x v="95"/>
    <x v="64"/>
    <x v="18"/>
    <s v=" EnviousObserver   "/>
    <x v="0"/>
    <x v="0"/>
    <s v=" #Jealousy #Envy                               "/>
    <n v="12"/>
    <n v="25"/>
    <x v="4"/>
    <x v="37"/>
    <x v="4"/>
    <n v="2020"/>
    <n v="8"/>
    <n v="12"/>
    <x v="11"/>
  </r>
  <r>
    <s v=" Resentment building up over past betrayals.        "/>
    <s v=" Resentment      "/>
    <x v="1"/>
    <d v="2018-05-22T14:45:00"/>
    <x v="96"/>
    <x v="6"/>
    <x v="6"/>
    <s v=" BitterHeart       "/>
    <x v="1"/>
    <x v="1"/>
    <s v=" #Resentment #Bitterness                       "/>
    <n v="7"/>
    <n v="15"/>
    <x v="10"/>
    <x v="38"/>
    <x v="3"/>
    <n v="2018"/>
    <n v="5"/>
    <n v="22"/>
    <x v="6"/>
  </r>
  <r>
    <s v=" Frustration mounts as obstacles block my path.     "/>
    <s v=" Frustration     "/>
    <x v="1"/>
    <d v="2017-01-30T16:10:00"/>
    <x v="97"/>
    <x v="35"/>
    <x v="32"/>
    <s v=" BlockedGoals      "/>
    <x v="2"/>
    <x v="2"/>
    <s v=" #Frustration #Obstacles                       "/>
    <n v="10"/>
    <n v="20"/>
    <x v="6"/>
    <x v="21"/>
    <x v="0"/>
    <n v="2017"/>
    <n v="1"/>
    <n v="30"/>
    <x v="12"/>
  </r>
  <r>
    <s v=" Boredom sets in, the day feels endlessly dull.     "/>
    <s v=" Boredom         "/>
    <x v="1"/>
    <d v="2016-09-28T19:45:00"/>
    <x v="98"/>
    <x v="26"/>
    <x v="25"/>
    <s v=" BoredMind         "/>
    <x v="0"/>
    <x v="0"/>
    <s v=" #Boredom #LackOfInterest                     "/>
    <n v="8"/>
    <n v="15"/>
    <x v="3"/>
    <x v="39"/>
    <x v="1"/>
    <n v="2016"/>
    <n v="9"/>
    <n v="28"/>
    <x v="4"/>
  </r>
  <r>
    <s v=" Anxiety grips my heart, worry clouds my thoughts.  "/>
    <s v=" Anxiety         "/>
    <x v="1"/>
    <d v="2019-04-15T09:00:00"/>
    <x v="99"/>
    <x v="36"/>
    <x v="33"/>
    <s v=" WorriedMind       "/>
    <x v="1"/>
    <x v="1"/>
    <s v=" #Anxiety #Worry                               "/>
    <n v="12"/>
    <n v="25"/>
    <x v="4"/>
    <x v="24"/>
    <x v="2"/>
    <n v="2019"/>
    <n v="4"/>
    <n v="15"/>
    <x v="5"/>
  </r>
  <r>
    <s v=" Intimidation by the unknown future ahead.          "/>
    <s v=" Intimidation    "/>
    <x v="1"/>
    <d v="2021-12-03T18:30:00"/>
    <x v="100"/>
    <x v="85"/>
    <x v="36"/>
    <s v=" FearfulSoul       "/>
    <x v="2"/>
    <x v="2"/>
    <s v=" #Intimidation #Fear                           "/>
    <n v="15"/>
    <n v="30"/>
    <x v="0"/>
    <x v="37"/>
    <x v="4"/>
    <n v="2021"/>
    <n v="12"/>
    <n v="3"/>
    <x v="3"/>
  </r>
  <r>
    <s v=" Helplessness sinks in as challenges pile up.       "/>
    <s v=" Helplessness    "/>
    <x v="1"/>
    <d v="2020-06-20T14:20:00"/>
    <x v="101"/>
    <x v="32"/>
    <x v="29"/>
    <s v=" OverwhelmedHeart  "/>
    <x v="0"/>
    <x v="0"/>
    <s v=" #Helplessness #Overwhelmed                    "/>
    <n v="8"/>
    <n v="15"/>
    <x v="3"/>
    <x v="27"/>
    <x v="3"/>
    <n v="2020"/>
    <n v="6"/>
    <n v="20"/>
    <x v="6"/>
  </r>
  <r>
    <s v=" Envy eats away at me as I see others' prosperity.  "/>
    <s v=" Envy            "/>
    <x v="1"/>
    <d v="2018-11-07T11:30:00"/>
    <x v="102"/>
    <x v="64"/>
    <x v="18"/>
    <s v=" CovetousMind     "/>
    <x v="1"/>
    <x v="1"/>
    <s v=" #Envy #Desire                                "/>
    <n v="10"/>
    <n v="20"/>
    <x v="6"/>
    <x v="39"/>
    <x v="1"/>
    <n v="2018"/>
    <n v="11"/>
    <n v="7"/>
    <x v="11"/>
  </r>
  <r>
    <s v=" Regret over missed opportunities haunts my thoughts."/>
    <s v=" Regret         "/>
    <x v="1"/>
    <d v="2017-08-25T16:00:00"/>
    <x v="103"/>
    <x v="51"/>
    <x v="44"/>
    <s v=" RemorsefulSoul   "/>
    <x v="2"/>
    <x v="2"/>
    <s v=" #Regret #MissedChances                       "/>
    <n v="12"/>
    <n v="25"/>
    <x v="4"/>
    <x v="24"/>
    <x v="2"/>
    <n v="2017"/>
    <n v="8"/>
    <n v="25"/>
    <x v="12"/>
  </r>
  <r>
    <s v=" Disgust at the sight of injustice and cruelty.     "/>
    <s v=" Disgust         "/>
    <x v="1"/>
    <d v="2019-02-11T09:45:00"/>
    <x v="104"/>
    <x v="14"/>
    <x v="14"/>
    <s v=" DisgustedHeart   "/>
    <x v="0"/>
    <x v="0"/>
    <s v=" #Disgust #Injustice                          "/>
    <n v="7"/>
    <n v="15"/>
    <x v="10"/>
    <x v="37"/>
    <x v="4"/>
    <n v="2019"/>
    <n v="2"/>
    <n v="11"/>
    <x v="5"/>
  </r>
  <r>
    <s v=" Drowning in despair, hope slipping through my fingers."/>
    <s v=" Despair      "/>
    <x v="1"/>
    <d v="2016-04-02T20:20:00"/>
    <x v="105"/>
    <x v="80"/>
    <x v="35"/>
    <s v=" HopelessHeart    "/>
    <x v="1"/>
    <x v="1"/>
    <s v=" #Despair #Hopeless                           "/>
    <n v="10"/>
    <n v="20"/>
    <x v="6"/>
    <x v="21"/>
    <x v="0"/>
    <n v="2016"/>
    <n v="4"/>
    <n v="2"/>
    <x v="13"/>
  </r>
  <r>
    <s v=" Grief weighs heavy, tears a constant companion.    "/>
    <s v=" Grief           "/>
    <x v="1"/>
    <d v="2015-10-18T15:30:00"/>
    <x v="106"/>
    <x v="71"/>
    <x v="49"/>
    <s v=" TearfulSoul      "/>
    <x v="2"/>
    <x v="2"/>
    <s v=" #Grief #Tears                                "/>
    <n v="12"/>
    <n v="25"/>
    <x v="4"/>
    <x v="39"/>
    <x v="1"/>
    <n v="2015"/>
    <n v="10"/>
    <n v="18"/>
    <x v="2"/>
  </r>
  <r>
    <s v=" Loneliness in a crowded room, a silent cry for connection."/>
    <s v=" Loneliness "/>
    <x v="1"/>
    <d v="2019-07-12T18:10:00"/>
    <x v="107"/>
    <x v="86"/>
    <x v="51"/>
    <s v=" IsolatedMind     "/>
    <x v="0"/>
    <x v="0"/>
    <s v=" #Loneliness #SeekingConnection              "/>
    <n v="15"/>
    <n v="30"/>
    <x v="0"/>
    <x v="28"/>
    <x v="2"/>
    <n v="2019"/>
    <n v="7"/>
    <n v="12"/>
    <x v="3"/>
  </r>
  <r>
    <s v=" Jealousy gnaws at my confidence, a toxic emotion.  "/>
    <s v=" Jealousy        "/>
    <x v="1"/>
    <d v="2018-06-03T16:30:00"/>
    <x v="108"/>
    <x v="87"/>
    <x v="54"/>
    <s v=" SelfDoubt        "/>
    <x v="1"/>
    <x v="1"/>
    <s v=" #Jealousy #Insecurity                       "/>
    <n v="8"/>
    <n v="15"/>
    <x v="3"/>
    <x v="40"/>
    <x v="4"/>
    <n v="2018"/>
    <n v="6"/>
    <n v="3"/>
    <x v="12"/>
  </r>
  <r>
    <s v=" Resentment festers, poisoning relationships.       "/>
    <s v=" Resentment      "/>
    <x v="1"/>
    <d v="2022-01-15T12:00:00"/>
    <x v="109"/>
    <x v="24"/>
    <x v="23"/>
    <s v=" BrokenTrust      "/>
    <x v="2"/>
    <x v="2"/>
    <s v=" #Resentment #BrokenTrust                     "/>
    <n v="10"/>
    <n v="20"/>
    <x v="6"/>
    <x v="27"/>
    <x v="3"/>
    <n v="2022"/>
    <n v="1"/>
    <n v="15"/>
    <x v="0"/>
  </r>
  <r>
    <s v=" Frustration boils over, a volcanic eruption of emotions."/>
    <s v=" Frustration "/>
    <x v="1"/>
    <d v="2017-04-10T14:45:00"/>
    <x v="110"/>
    <x v="47"/>
    <x v="6"/>
    <s v=" ExplosiveMind    "/>
    <x v="0"/>
    <x v="0"/>
    <s v=" #Frustration #EmotionalOutburst             "/>
    <n v="12"/>
    <n v="25"/>
    <x v="4"/>
    <x v="21"/>
    <x v="0"/>
    <n v="2017"/>
    <n v="4"/>
    <n v="10"/>
    <x v="6"/>
  </r>
  <r>
    <s v=" Boredom settles like dust, life feels mundane.     "/>
    <s v=" Boredom         "/>
    <x v="1"/>
    <d v="2016-11-28T19:00:00"/>
    <x v="111"/>
    <x v="88"/>
    <x v="38"/>
    <s v=" MundaneHeart     "/>
    <x v="1"/>
    <x v="1"/>
    <s v=" #Boredom #Monotony                          "/>
    <n v="7"/>
    <n v="15"/>
    <x v="10"/>
    <x v="39"/>
    <x v="1"/>
    <n v="2016"/>
    <n v="11"/>
    <n v="28"/>
    <x v="4"/>
  </r>
  <r>
    <s v=" Anxiety grips my chest, a relentless grip on my thoughts."/>
    <s v=" Anxiety   "/>
    <x v="1"/>
    <d v="2018-09-05T09:30:00"/>
    <x v="112"/>
    <x v="45"/>
    <x v="40"/>
    <s v=" RestlessMind     "/>
    <x v="2"/>
    <x v="2"/>
    <s v=" #Anxiety #Restlessness                      "/>
    <n v="10"/>
    <n v="20"/>
    <x v="6"/>
    <x v="28"/>
    <x v="2"/>
    <n v="2018"/>
    <n v="9"/>
    <n v="5"/>
    <x v="5"/>
  </r>
  <r>
    <s v=" Intimidation by the challenges ahead, fear takes hold."/>
    <s v=" Intimidation "/>
    <x v="1"/>
    <d v="2021-10-22T18:30:00"/>
    <x v="113"/>
    <x v="85"/>
    <x v="36"/>
    <s v=" FearfulJourney   "/>
    <x v="0"/>
    <x v="0"/>
    <s v=" #Intimidation #FacingFear                   "/>
    <n v="15"/>
    <n v="30"/>
    <x v="0"/>
    <x v="40"/>
    <x v="4"/>
    <n v="2021"/>
    <n v="10"/>
    <n v="22"/>
    <x v="3"/>
  </r>
  <r>
    <s v=" Helplessness engulfs me, drowning in a sea of problems."/>
    <s v=" Helplessness "/>
    <x v="1"/>
    <d v="2019-05-08T14:20:00"/>
    <x v="114"/>
    <x v="50"/>
    <x v="29"/>
    <s v=" OverwhelmedSoul  "/>
    <x v="1"/>
    <x v="1"/>
    <s v=" #Helplessness #Struggling                   "/>
    <n v="8"/>
    <n v="15"/>
    <x v="3"/>
    <x v="27"/>
    <x v="3"/>
    <n v="2019"/>
    <n v="5"/>
    <n v="8"/>
    <x v="6"/>
  </r>
  <r>
    <s v=" Envy poisons my thoughts, coveting others' success."/>
    <s v=" Envy            "/>
    <x v="1"/>
    <d v="2017-03-20T11:30:00"/>
    <x v="115"/>
    <x v="18"/>
    <x v="18"/>
    <s v=" GreenEyedMonster "/>
    <x v="2"/>
    <x v="2"/>
    <s v=" #Envy #Success                              "/>
    <n v="10"/>
    <n v="20"/>
    <x v="6"/>
    <x v="39"/>
    <x v="1"/>
    <n v="2017"/>
    <n v="3"/>
    <n v="20"/>
    <x v="11"/>
  </r>
  <r>
    <s v=" Regret for decisions that led to a painful present."/>
    <s v=" Regret         "/>
    <x v="1"/>
    <d v="2018-12-15T16:00:00"/>
    <x v="116"/>
    <x v="65"/>
    <x v="44"/>
    <s v=" RegretfulMind    "/>
    <x v="0"/>
    <x v="0"/>
    <s v=" #Regret #PastChoices                        "/>
    <n v="12"/>
    <n v="25"/>
    <x v="4"/>
    <x v="21"/>
    <x v="0"/>
    <n v="2018"/>
    <n v="12"/>
    <n v="15"/>
    <x v="12"/>
  </r>
  <r>
    <s v=" Disgust at the corruption that stains society.     "/>
    <s v=" Disgust         "/>
    <x v="1"/>
    <d v="2016-07-01T09:45:00"/>
    <x v="117"/>
    <x v="31"/>
    <x v="14"/>
    <s v=" CorruptedHeart   "/>
    <x v="1"/>
    <x v="1"/>
    <s v=" #Disgust #Corruption                        "/>
    <n v="7"/>
    <n v="15"/>
    <x v="10"/>
    <x v="28"/>
    <x v="2"/>
    <n v="2016"/>
    <n v="7"/>
    <n v="1"/>
    <x v="5"/>
  </r>
  <r>
    <s v=" Sinking in despair, each day darker than the last. "/>
    <s v=" Despair         "/>
    <x v="1"/>
    <d v="2020-08-20T20:20:00"/>
    <x v="118"/>
    <x v="38"/>
    <x v="35"/>
    <s v=" DrowningSoul     "/>
    <x v="2"/>
    <x v="2"/>
    <s v=" #Despair #DarkDays                          "/>
    <n v="10"/>
    <n v="20"/>
    <x v="6"/>
    <x v="40"/>
    <x v="4"/>
    <n v="2020"/>
    <n v="8"/>
    <n v="20"/>
    <x v="13"/>
  </r>
  <r>
    <s v=" Grief overwhelms, a storm of emotions within.      "/>
    <s v=" Grief           "/>
    <x v="1"/>
    <d v="2021-02-25T15:30:00"/>
    <x v="119"/>
    <x v="78"/>
    <x v="49"/>
    <s v=" StormyHeart      "/>
    <x v="0"/>
    <x v="0"/>
    <s v=" #Grief #EmotionalStorm                      "/>
    <n v="12"/>
    <n v="25"/>
    <x v="4"/>
    <x v="39"/>
    <x v="1"/>
    <n v="2021"/>
    <n v="2"/>
    <n v="25"/>
    <x v="2"/>
  </r>
  <r>
    <s v=" Loneliness echoes in empty spaces, yearning for connection."/>
    <s v=" Loneliness "/>
    <x v="1"/>
    <d v="2019-09-12T18:10:00"/>
    <x v="120"/>
    <x v="86"/>
    <x v="51"/>
    <s v=" EchoingSoul     "/>
    <x v="1"/>
    <x v="1"/>
    <s v=" #Loneliness #YearningForConnection         "/>
    <n v="15"/>
    <n v="30"/>
    <x v="0"/>
    <x v="38"/>
    <x v="3"/>
    <n v="2019"/>
    <n v="9"/>
    <n v="12"/>
    <x v="3"/>
  </r>
  <r>
    <s v=" Jealousy poisons my thoughts, resentment brewing within."/>
    <s v=" Jealousy    "/>
    <x v="1"/>
    <d v="2018-08-05T16:30:00"/>
    <x v="121"/>
    <x v="77"/>
    <x v="54"/>
    <s v=" PoisonedMind    "/>
    <x v="2"/>
    <x v="2"/>
    <s v=" #Jealousy #Resentment                       "/>
    <n v="8"/>
    <n v="15"/>
    <x v="3"/>
    <x v="41"/>
    <x v="0"/>
    <n v="2018"/>
    <n v="8"/>
    <n v="5"/>
    <x v="12"/>
  </r>
  <r>
    <s v=" Resentment festers, a wound that refuses to heal.  "/>
    <s v=" Resentment      "/>
    <x v="1"/>
    <d v="2017-01-12T12:00:00"/>
    <x v="122"/>
    <x v="89"/>
    <x v="23"/>
    <s v=" UnforgivingSoul  "/>
    <x v="0"/>
    <x v="0"/>
    <s v=" #Resentment #Unforgiving                    "/>
    <n v="10"/>
    <n v="20"/>
    <x v="6"/>
    <x v="40"/>
    <x v="4"/>
    <n v="2017"/>
    <n v="1"/>
    <n v="12"/>
    <x v="0"/>
  </r>
  <r>
    <s v=" Frustration escalates, a thunderstorm of emotions. "/>
    <s v=" Frustration     "/>
    <x v="1"/>
    <d v="2022-04-05T14:45:00"/>
    <x v="123"/>
    <x v="6"/>
    <x v="6"/>
    <s v=" ThunderingMind   "/>
    <x v="1"/>
    <x v="1"/>
    <s v=" #Frustration #EmotionalOutburst            "/>
    <n v="12"/>
    <n v="25"/>
    <x v="4"/>
    <x v="28"/>
    <x v="2"/>
    <n v="2022"/>
    <n v="4"/>
    <n v="5"/>
    <x v="6"/>
  </r>
  <r>
    <s v=" Boredom lingers, a stagnant pool of indifference.  "/>
    <s v=" Boredom         "/>
    <x v="1"/>
    <d v="2021-10-02T19:00:00"/>
    <x v="124"/>
    <x v="42"/>
    <x v="38"/>
    <s v=" StagnantHeart    "/>
    <x v="2"/>
    <x v="2"/>
    <s v=" #Boredom #Stagnation                        "/>
    <n v="7"/>
    <n v="15"/>
    <x v="10"/>
    <x v="39"/>
    <x v="1"/>
    <n v="2021"/>
    <n v="10"/>
    <n v="2"/>
    <x v="4"/>
  </r>
  <r>
    <s v=" Embarking on a journey of discovery, fueled by curiosity and a thirst for knowledge. "/>
    <s v=" Curiosity       "/>
    <x v="2"/>
    <d v="2023-04-15T10:15:00"/>
    <x v="125"/>
    <x v="90"/>
    <x v="59"/>
    <s v=" InquisitiveMind   "/>
    <x v="0"/>
    <x v="0"/>
    <s v=" #Curiosity #Learning                        "/>
    <n v="15"/>
    <n v="30"/>
    <x v="0"/>
    <x v="21"/>
    <x v="0"/>
    <n v="2023"/>
    <n v="4"/>
    <n v="15"/>
    <x v="7"/>
  </r>
  <r>
    <s v=" Lost in the vast sea of information, an indifferent wave in the digital ocean. "/>
    <s v=" Indifference    "/>
    <x v="2"/>
    <d v="2022-11-28T17:30:00"/>
    <x v="126"/>
    <x v="91"/>
    <x v="27"/>
    <s v=" ApatheticObserver "/>
    <x v="1"/>
    <x v="1"/>
    <s v=" #Indifference #DigitalOverload              "/>
    <n v="7"/>
    <n v="15"/>
    <x v="10"/>
    <x v="36"/>
    <x v="1"/>
    <n v="2022"/>
    <n v="11"/>
    <n v="28"/>
    <x v="9"/>
  </r>
  <r>
    <s v=" The complex puzzle of life leaves me in a state of perpetual confusion, seeking answers in the chaos. "/>
    <s v=" Confusion       "/>
    <x v="2"/>
    <d v="2020-04-02T09:45:00"/>
    <x v="52"/>
    <x v="14"/>
    <x v="14"/>
    <s v=" SeekingClarity    "/>
    <x v="2"/>
    <x v="2"/>
    <s v=" #Confusion #LifePuzzle                     "/>
    <n v="10"/>
    <n v="20"/>
    <x v="6"/>
    <x v="24"/>
    <x v="2"/>
    <n v="2020"/>
    <n v="4"/>
    <n v="2"/>
    <x v="5"/>
  </r>
  <r>
    <s v=" A numbness settles over me, a shield against the overwhelming emotions life throws my way. "/>
    <s v=" Numbness        "/>
    <x v="2"/>
    <d v="2021-08-10T14:00:00"/>
    <x v="40"/>
    <x v="92"/>
    <x v="60"/>
    <s v=" EmotionallyDistant "/>
    <x v="0"/>
    <x v="0"/>
    <s v=" #Numbness #EmotionalShield                 "/>
    <n v="8"/>
    <n v="15"/>
    <x v="3"/>
    <x v="37"/>
    <x v="4"/>
    <n v="2021"/>
    <n v="8"/>
    <n v="10"/>
    <x v="6"/>
  </r>
  <r>
    <s v=" Gazing at the sunset, a melancholic longing for moments that slip through the fingers of time. "/>
    <s v=" Melancholy      "/>
    <x v="1"/>
    <d v="2019-06-18T20:45:00"/>
    <x v="127"/>
    <x v="93"/>
    <x v="61"/>
    <s v=" SunsetDreamer     "/>
    <x v="1"/>
    <x v="1"/>
    <s v=" #Melancholy #SunsetMoments                 "/>
    <n v="12"/>
    <n v="25"/>
    <x v="4"/>
    <x v="38"/>
    <x v="3"/>
    <n v="2019"/>
    <n v="6"/>
    <n v="18"/>
    <x v="13"/>
  </r>
  <r>
    <s v=" Revisiting old photographs, caught in the embrace of nostalgia's bittersweet symphony. "/>
    <s v=" Nostalgia       "/>
    <x v="2"/>
    <d v="2018-02-05T15:15:00"/>
    <x v="128"/>
    <x v="19"/>
    <x v="10"/>
    <s v=" MemoryLaneTraveler "/>
    <x v="2"/>
    <x v="2"/>
    <s v=" #Nostalgia #MemoryLane                     "/>
    <n v="10"/>
    <n v="20"/>
    <x v="6"/>
    <x v="21"/>
    <x v="0"/>
    <n v="2018"/>
    <n v="2"/>
    <n v="5"/>
    <x v="2"/>
  </r>
  <r>
    <s v=" Torn between conflicting emotions, an ambivalence that paints my decisions in shades of uncertainty. "/>
    <s v=" Ambivalence     "/>
    <x v="2"/>
    <d v="2022-05-30T11:30:00"/>
    <x v="129"/>
    <x v="64"/>
    <x v="18"/>
    <s v=" MixedFeelings     "/>
    <x v="0"/>
    <x v="0"/>
    <s v=" #Ambivalence #UncertainChoices             "/>
    <n v="12"/>
    <n v="25"/>
    <x v="4"/>
    <x v="39"/>
    <x v="1"/>
    <n v="2022"/>
    <n v="5"/>
    <n v="30"/>
    <x v="11"/>
  </r>
  <r>
    <s v=" Embracing the ebb and flow of life, finding acceptance in the dance of existence. "/>
    <s v=" Acceptance      "/>
    <x v="0"/>
    <d v="2023-01-10T16:20:00"/>
    <x v="130"/>
    <x v="94"/>
    <x v="24"/>
    <s v=" ZenLifestyle      "/>
    <x v="1"/>
    <x v="1"/>
    <s v=" #Acceptance #LifeJourney                   "/>
    <n v="15"/>
    <n v="30"/>
    <x v="0"/>
    <x v="24"/>
    <x v="2"/>
    <n v="2023"/>
    <n v="1"/>
    <n v="10"/>
    <x v="12"/>
  </r>
  <r>
    <s v=" Facing challenges head-on, a determination that fuels the fire within to achieve the impossible. "/>
    <s v=" Determination   "/>
    <x v="0"/>
    <d v="2020-09-18T13:45:00"/>
    <x v="131"/>
    <x v="95"/>
    <x v="62"/>
    <s v=" ResilientSpirit   "/>
    <x v="2"/>
    <x v="2"/>
    <s v=" #Determination #AchieveTheImpossible       "/>
    <n v="10"/>
    <n v="20"/>
    <x v="6"/>
    <x v="37"/>
    <x v="4"/>
    <n v="2020"/>
    <n v="9"/>
    <n v="18"/>
    <x v="8"/>
  </r>
  <r>
    <s v=" Serenity found in the stillness of nature, a tranquil retreat from the chaos of the modern world. "/>
    <s v=" Serenity        "/>
    <x v="0"/>
    <d v="2021-07-03T19:00:00"/>
    <x v="132"/>
    <x v="88"/>
    <x v="38"/>
    <s v=" NatureSoul        "/>
    <x v="0"/>
    <x v="0"/>
    <s v=" #Serenity #NatureRetreat                   "/>
    <n v="12"/>
    <n v="25"/>
    <x v="4"/>
    <x v="27"/>
    <x v="3"/>
    <n v="2021"/>
    <n v="7"/>
    <n v="3"/>
    <x v="4"/>
  </r>
  <r>
    <s v=" Curiosity leading me down the rabbit hole of knowledge, a perpetual student in life's classroom. "/>
    <s v=" Curiosity       "/>
    <x v="2"/>
    <d v="2022-10-08T08:15:00"/>
    <x v="133"/>
    <x v="96"/>
    <x v="63"/>
    <s v=" EternalLearner    "/>
    <x v="1"/>
    <x v="1"/>
    <s v=" #Curiosity #KnowledgeQuest                "/>
    <n v="20"/>
    <n v="40"/>
    <x v="2"/>
    <x v="21"/>
    <x v="0"/>
    <n v="2022"/>
    <n v="10"/>
    <n v="8"/>
    <x v="1"/>
  </r>
  <r>
    <s v=" Floating through the day with an air of indifference, detached from the mundane happenings around. "/>
    <s v=" Indifference    "/>
    <x v="2"/>
    <d v="2023-03-22T16:30:00"/>
    <x v="134"/>
    <x v="77"/>
    <x v="54"/>
    <s v=" AloofObserver     "/>
    <x v="2"/>
    <x v="2"/>
    <s v=" #Indifference #FloatingThroughLife        "/>
    <n v="10"/>
    <n v="20"/>
    <x v="6"/>
    <x v="39"/>
    <x v="1"/>
    <n v="2023"/>
    <n v="3"/>
    <n v="22"/>
    <x v="12"/>
  </r>
  <r>
    <s v=" Entangled in the web of thoughts, confusion reigning as I navigate the labyrinth of ideas. "/>
    <s v=" Confusion       "/>
    <x v="2"/>
    <d v="2021-05-15T11:45:00"/>
    <x v="135"/>
    <x v="97"/>
    <x v="55"/>
    <s v=" ThoughtExplorer   "/>
    <x v="0"/>
    <x v="0"/>
    <s v=" #Confusion #ThoughtLabyrinth              "/>
    <n v="15"/>
    <n v="30"/>
    <x v="0"/>
    <x v="28"/>
    <x v="2"/>
    <n v="2021"/>
    <n v="5"/>
    <n v="15"/>
    <x v="11"/>
  </r>
  <r>
    <s v=" Numb to the chaos, emotions locked away, a stoic facade concealing the inner turmoil. "/>
    <s v=" Numbness        "/>
    <x v="2"/>
    <d v="2019-12-28T14:30:00"/>
    <x v="136"/>
    <x v="72"/>
    <x v="22"/>
    <s v=" StoicSoul         "/>
    <x v="1"/>
    <x v="1"/>
    <s v=" #Numbness #StoicFacade                    "/>
    <n v="8"/>
    <n v="15"/>
    <x v="3"/>
    <x v="38"/>
    <x v="3"/>
    <n v="2019"/>
    <n v="12"/>
    <n v="28"/>
    <x v="6"/>
  </r>
  <r>
    <s v=" Melancholy whispers in the breeze, a silent conversation with the echoes of forgotten dreams. "/>
    <s v=" Melancholy      "/>
    <x v="1"/>
    <d v="2020-03-01T19:00:00"/>
    <x v="137"/>
    <x v="42"/>
    <x v="38"/>
    <s v=" DreamerInSilence  "/>
    <x v="2"/>
    <x v="2"/>
    <s v=" #Melancholy #WhispersInTheBreeze         "/>
    <n v="12"/>
    <n v="25"/>
    <x v="4"/>
    <x v="40"/>
    <x v="4"/>
    <n v="2020"/>
    <n v="3"/>
    <n v="1"/>
    <x v="4"/>
  </r>
  <r>
    <s v=" Stumbling upon an old journal, nostalgia flooding in waves, carrying me to moments long gone. "/>
    <s v=" Nostalgia       "/>
    <x v="2"/>
    <d v="2018-07-10T15:45:00"/>
    <x v="138"/>
    <x v="2"/>
    <x v="2"/>
    <s v=" JournalKeeper     "/>
    <x v="0"/>
    <x v="0"/>
    <s v=" #Nostalgia #JournalMoments               "/>
    <n v="10"/>
    <n v="20"/>
    <x v="6"/>
    <x v="39"/>
    <x v="1"/>
    <n v="2018"/>
    <n v="7"/>
    <n v="10"/>
    <x v="2"/>
  </r>
  <r>
    <s v=" A tapestry of conflicting feelings, weaving through uncertainty, caught in the threads of ambivalence. "/>
    <s v=" Ambivalence     "/>
    <x v="2"/>
    <d v="2022-01-05T10:30:00"/>
    <x v="139"/>
    <x v="11"/>
    <x v="11"/>
    <s v=" ThreadWeaver      "/>
    <x v="1"/>
    <x v="1"/>
    <s v=" #Ambivalence #ConflictingFeelings        "/>
    <n v="12"/>
    <n v="25"/>
    <x v="4"/>
    <x v="28"/>
    <x v="2"/>
    <n v="2022"/>
    <n v="1"/>
    <n v="5"/>
    <x v="7"/>
  </r>
  <r>
    <s v=" Embracing the flaws, finding acceptance in imperfection, a journey towards self-love. "/>
    <s v=" Acceptance      "/>
    <x v="0"/>
    <d v="2021-08-20T16:20:00"/>
    <x v="140"/>
    <x v="94"/>
    <x v="24"/>
    <s v=" SelfLoveAdvocate  "/>
    <x v="2"/>
    <x v="2"/>
    <s v=" #Acceptance #SelfLoveJourney              "/>
    <n v="15"/>
    <n v="30"/>
    <x v="0"/>
    <x v="27"/>
    <x v="3"/>
    <n v="2021"/>
    <n v="8"/>
    <n v="20"/>
    <x v="12"/>
  </r>
  <r>
    <s v=" Determination burning like a wildfire, overcoming obstacles, turning dreams into reality. "/>
    <s v=" Determination   "/>
    <x v="0"/>
    <d v="2019-11-03T13:45:00"/>
    <x v="141"/>
    <x v="95"/>
    <x v="62"/>
    <s v=" DreamChaser       "/>
    <x v="0"/>
    <x v="0"/>
    <s v=" #Determination #DreamsIntoReality        "/>
    <n v="18"/>
    <n v="35"/>
    <x v="8"/>
    <x v="21"/>
    <x v="0"/>
    <n v="2019"/>
    <n v="11"/>
    <n v="3"/>
    <x v="8"/>
  </r>
  <r>
    <s v=" Tranquil moments by the ocean, serenity washing over, a peaceful retreat within the waves' embrace. "/>
    <s v=" Serenity        "/>
    <x v="0"/>
    <d v="2020-04-12T19:30:00"/>
    <x v="142"/>
    <x v="62"/>
    <x v="7"/>
    <s v=" OceanSoul         "/>
    <x v="1"/>
    <x v="1"/>
    <s v=" #Serenity #OceanRetreat                   "/>
    <n v="25"/>
    <n v="50"/>
    <x v="5"/>
    <x v="39"/>
    <x v="1"/>
    <n v="2020"/>
    <n v="4"/>
    <n v="12"/>
    <x v="4"/>
  </r>
  <r>
    <s v=" Exploring new horizons with the spark of curiosity, an adventurer in the vast landscape of knowledge. "/>
    <s v=" Curiosity       "/>
    <x v="2"/>
    <d v="2022-04-15T08:45:00"/>
    <x v="143"/>
    <x v="98"/>
    <x v="1"/>
    <s v=" HorizonExplorer   "/>
    <x v="2"/>
    <x v="2"/>
    <s v=" #Curiosity #NewHorizons                  "/>
    <n v="22"/>
    <n v="45"/>
    <x v="9"/>
    <x v="40"/>
    <x v="4"/>
    <n v="2022"/>
    <n v="4"/>
    <n v="15"/>
    <x v="1"/>
  </r>
  <r>
    <s v=" Drifting through the day with a nonchalant demeanor, embracing the art of indifference. "/>
    <s v=" Indifference    "/>
    <x v="2"/>
    <d v="2023-02-10T17:00:00"/>
    <x v="144"/>
    <x v="37"/>
    <x v="34"/>
    <s v=" NonchalantSpirit  "/>
    <x v="0"/>
    <x v="0"/>
    <s v=" #Indifference #DriftingThroughLife       "/>
    <n v="9"/>
    <n v="18"/>
    <x v="12"/>
    <x v="28"/>
    <x v="2"/>
    <n v="2023"/>
    <n v="2"/>
    <n v="10"/>
    <x v="9"/>
  </r>
  <r>
    <s v=" Wrestling with thoughts, a perplexed mind lost in the labyrinth of life's complexities. "/>
    <s v=" Confusion       "/>
    <x v="2"/>
    <d v="2020-08-05T12:15:00"/>
    <x v="145"/>
    <x v="99"/>
    <x v="64"/>
    <s v=" ComplexThinker    "/>
    <x v="1"/>
    <x v="1"/>
    <s v=" #Confusion #PerplexedMind                "/>
    <n v="14"/>
    <n v="28"/>
    <x v="13"/>
    <x v="27"/>
    <x v="3"/>
    <n v="2020"/>
    <n v="8"/>
    <n v="5"/>
    <x v="0"/>
  </r>
  <r>
    <s v=" Immersed in a state of emotional numbness, a shield against the storm of daily struggles. "/>
    <s v=" Numbness        "/>
    <x v="2"/>
    <d v="2021-12-01T15:30:00"/>
    <x v="146"/>
    <x v="71"/>
    <x v="49"/>
    <s v=" ShieldedHeart     "/>
    <x v="2"/>
    <x v="2"/>
    <s v=" #Numbness #EmotionalShield               "/>
    <n v="10"/>
    <n v="20"/>
    <x v="6"/>
    <x v="21"/>
    <x v="0"/>
    <n v="2021"/>
    <n v="12"/>
    <n v="1"/>
    <x v="2"/>
  </r>
  <r>
    <s v=" A melancholic symphony playing in the background, the soundtrack of a wistful heart. "/>
    <s v=" Melancholy      "/>
    <x v="1"/>
    <d v="2019-03-25T21:00:00"/>
    <x v="147"/>
    <x v="100"/>
    <x v="65"/>
    <s v=" SymphonySoul      "/>
    <x v="0"/>
    <x v="0"/>
    <s v=" #Melancholy #WistfulHeart                "/>
    <n v="13"/>
    <n v="26"/>
    <x v="14"/>
    <x v="39"/>
    <x v="1"/>
    <n v="2019"/>
    <n v="3"/>
    <n v="25"/>
    <x v="14"/>
  </r>
  <r>
    <s v=" Flipping through the pages of an old yearbook, nostalgia painting smiles and tears on my face. "/>
    <s v=" Nostalgia       "/>
    <x v="2"/>
    <d v="2017-06-18T14:45:00"/>
    <x v="148"/>
    <x v="6"/>
    <x v="6"/>
    <s v=" YearbookExplorer  "/>
    <x v="1"/>
    <x v="1"/>
    <s v=" #Nostalgia #YearbookMemories            "/>
    <n v="12"/>
    <n v="25"/>
    <x v="4"/>
    <x v="40"/>
    <x v="4"/>
    <n v="2017"/>
    <n v="6"/>
    <n v="18"/>
    <x v="6"/>
  </r>
  <r>
    <s v=" Torn between opposing emotions, an ambivalence that colors my decisions with shades of uncertainty. "/>
    <s v=" Ambivalence     "/>
    <x v="2"/>
    <d v="2022-07-08T11:30:00"/>
    <x v="149"/>
    <x v="18"/>
    <x v="18"/>
    <s v=" DecisiveDilemma   "/>
    <x v="2"/>
    <x v="2"/>
    <s v=" #Ambivalence #ShadesOfUncertainty       "/>
    <n v="15"/>
    <n v="30"/>
    <x v="0"/>
    <x v="27"/>
    <x v="3"/>
    <n v="2022"/>
    <n v="7"/>
    <n v="8"/>
    <x v="11"/>
  </r>
  <r>
    <s v=" Embracing life's imperfections, finding acceptance in the journey, scars and all. "/>
    <s v=" Acceptance      "/>
    <x v="0"/>
    <d v="2023-05-15T16:20:00"/>
    <x v="150"/>
    <x v="25"/>
    <x v="24"/>
    <s v=" ImperfectHarmony  "/>
    <x v="0"/>
    <x v="0"/>
    <s v=" #Acceptance #ImperfectJourney            "/>
    <n v="18"/>
    <n v="36"/>
    <x v="15"/>
    <x v="39"/>
    <x v="1"/>
    <n v="2023"/>
    <n v="5"/>
    <n v="15"/>
    <x v="12"/>
  </r>
  <r>
    <s v=" A fiery determination burning within, fueled by the vision of reaching unparalleled heights. "/>
    <s v=" Determination   "/>
    <x v="0"/>
    <d v="2021-09-10T14:45:00"/>
    <x v="151"/>
    <x v="47"/>
    <x v="6"/>
    <s v=" VisionarySpirit   "/>
    <x v="1"/>
    <x v="1"/>
    <s v=" #Determination #UnparalleledHeights      "/>
    <n v="20"/>
    <n v="40"/>
    <x v="2"/>
    <x v="28"/>
    <x v="2"/>
    <n v="2021"/>
    <n v="9"/>
    <n v="10"/>
    <x v="6"/>
  </r>
  <r>
    <s v=" Basking in the serenity of a quiet forest, where the whispers of nature bring peace to the soul. "/>
    <s v=" Serenity        "/>
    <x v="0"/>
    <d v="2020-02-28T18:30:00"/>
    <x v="152"/>
    <x v="85"/>
    <x v="36"/>
    <s v=" ForestDreamer     "/>
    <x v="2"/>
    <x v="2"/>
    <s v=" #Serenity #NatureWhispers                "/>
    <n v="25"/>
    <n v="50"/>
    <x v="5"/>
    <x v="21"/>
    <x v="0"/>
    <n v="2020"/>
    <n v="2"/>
    <n v="28"/>
    <x v="3"/>
  </r>
  <r>
    <s v=" Indifferent to the noise of the world, a silent observer in the midst of life's cacophony. "/>
    <s v=" Indifference    "/>
    <x v="2"/>
    <d v="2023-03-10T16:30:00"/>
    <x v="153"/>
    <x v="77"/>
    <x v="54"/>
    <s v=" SilentSpectator   "/>
    <x v="1"/>
    <x v="1"/>
    <s v=" #Indifference #SilentObserver            "/>
    <n v="9"/>
    <n v="18"/>
    <x v="12"/>
    <x v="40"/>
    <x v="4"/>
    <n v="2023"/>
    <n v="3"/>
    <n v="10"/>
    <x v="12"/>
  </r>
  <r>
    <s v=" Navigating through the labyrinth of thoughts, confusion a constant companion in the maze of ideas. "/>
    <s v=" Confusion       "/>
    <x v="2"/>
    <d v="2021-05-02T11:45:00"/>
    <x v="154"/>
    <x v="79"/>
    <x v="55"/>
    <s v=" MazeNavigator     "/>
    <x v="2"/>
    <x v="2"/>
    <s v=" #Confusion #ThoughtLabyrinth              "/>
    <n v="14"/>
    <n v="28"/>
    <x v="13"/>
    <x v="27"/>
    <x v="3"/>
    <n v="2021"/>
    <n v="5"/>
    <n v="2"/>
    <x v="11"/>
  </r>
  <r>
    <s v=" An impenetrable numbness shields me from the emotional storms, a fortress of stoic resilience. "/>
    <s v=" Numbness        "/>
    <x v="2"/>
    <d v="2019-10-18T14:30:00"/>
    <x v="155"/>
    <x v="23"/>
    <x v="22"/>
    <s v=" ResilientFortress "/>
    <x v="0"/>
    <x v="0"/>
    <s v=" #Numbness #StoicResilience               "/>
    <n v="11"/>
    <n v="22"/>
    <x v="16"/>
    <x v="28"/>
    <x v="2"/>
    <n v="2019"/>
    <n v="10"/>
    <n v="18"/>
    <x v="6"/>
  </r>
  <r>
    <s v=" Melancholy painting the world in hues of nostalgia, a canvas of bittersweet memories. "/>
    <s v=" Melancholy      "/>
    <x v="1"/>
    <d v="2020-01-05T20:00:00"/>
    <x v="156"/>
    <x v="34"/>
    <x v="31"/>
    <s v=" CanvasDreamer     "/>
    <x v="1"/>
    <x v="1"/>
    <s v=" #Melancholy #BittersweetMemories         "/>
    <n v="13"/>
    <n v="26"/>
    <x v="14"/>
    <x v="21"/>
    <x v="0"/>
    <n v="2020"/>
    <n v="1"/>
    <n v="5"/>
    <x v="13"/>
  </r>
  <r>
    <s v=" A journey into the past, flipping through the pages of an old diary, nostalgia taking the lead. "/>
    <s v=" Nostalgia       "/>
    <x v="2"/>
    <d v="2018-08-10T15:45:00"/>
    <x v="157"/>
    <x v="39"/>
    <x v="2"/>
    <s v=" DiaryExplorer     "/>
    <x v="2"/>
    <x v="2"/>
    <s v=" #Nostalgia #DiaryJourney                 "/>
    <n v="12"/>
    <n v="25"/>
    <x v="4"/>
    <x v="39"/>
    <x v="1"/>
    <n v="2018"/>
    <n v="8"/>
    <n v="10"/>
    <x v="2"/>
  </r>
  <r>
    <s v=" Ambivalence clouding decisions, caught in the crossroads of conflicting emotions. "/>
    <s v=" Ambivalence     "/>
    <x v="2"/>
    <d v="2022-01-15T10:30:00"/>
    <x v="109"/>
    <x v="11"/>
    <x v="11"/>
    <s v=" CrossroadsTraveler "/>
    <x v="0"/>
    <x v="0"/>
    <s v=" #Ambivalence #ConflictingEmotions        "/>
    <n v="15"/>
    <n v="30"/>
    <x v="0"/>
    <x v="40"/>
    <x v="4"/>
    <n v="2022"/>
    <n v="1"/>
    <n v="15"/>
    <x v="7"/>
  </r>
  <r>
    <s v=" Embracing imperfections, finding acceptance in the mosaic of life's beautiful chaos. "/>
    <s v=" Acceptance      "/>
    <x v="0"/>
    <d v="2021-07-20T16:20:00"/>
    <x v="158"/>
    <x v="25"/>
    <x v="24"/>
    <s v=" MosaicDreamer     "/>
    <x v="1"/>
    <x v="1"/>
    <s v=" #Acceptance #BeautifulChaos              "/>
    <n v="18"/>
    <n v="36"/>
    <x v="15"/>
    <x v="38"/>
    <x v="3"/>
    <n v="2021"/>
    <n v="7"/>
    <n v="20"/>
    <x v="12"/>
  </r>
  <r>
    <s v=" Determination as the driving force, propelling me forward on the path to extraordinary achievements. "/>
    <s v=" Determination   "/>
    <x v="0"/>
    <d v="2019-12-03T13:45:00"/>
    <x v="159"/>
    <x v="95"/>
    <x v="62"/>
    <s v=" PathfinderSpirit  "/>
    <x v="2"/>
    <x v="2"/>
    <s v=" #Determination #ExtraordinaryPath        "/>
    <n v="20"/>
    <n v="40"/>
    <x v="2"/>
    <x v="21"/>
    <x v="0"/>
    <n v="2019"/>
    <n v="12"/>
    <n v="3"/>
    <x v="8"/>
  </r>
  <r>
    <s v=" Seeking serenity in the melody of raindrops, a tranquil escape from the noise of everyday life. "/>
    <s v=" Serenity        "/>
    <x v="0"/>
    <d v="2020-04-12T19:30:00"/>
    <x v="142"/>
    <x v="62"/>
    <x v="7"/>
    <s v=" RaindropHarmony   "/>
    <x v="0"/>
    <x v="0"/>
    <s v=" #Serenity #RaindropMelody                "/>
    <n v="25"/>
    <n v="50"/>
    <x v="5"/>
    <x v="39"/>
    <x v="1"/>
    <n v="2020"/>
    <n v="4"/>
    <n v="12"/>
    <x v="4"/>
  </r>
  <r>
    <s v=" Curiosity driving the exploration of the unknown, a seeker of knowledge in uncharted territories. "/>
    <s v=" Curiosity       "/>
    <x v="2"/>
    <d v="2022-05-08T08:45:00"/>
    <x v="160"/>
    <x v="1"/>
    <x v="1"/>
    <s v=" SeekerOfUnknowns  "/>
    <x v="1"/>
    <x v="1"/>
    <s v=" #Curiosity #SeekerOfKnowledge            "/>
    <n v="22"/>
    <n v="45"/>
    <x v="9"/>
    <x v="28"/>
    <x v="2"/>
    <n v="2022"/>
    <n v="5"/>
    <n v="8"/>
    <x v="1"/>
  </r>
  <r>
    <s v=" Drifting through the day with an air of nonchalance, indifferent to the trivialities of life. "/>
    <s v=" Indifference    "/>
    <x v="2"/>
    <d v="2023-02-22T17:00:00"/>
    <x v="29"/>
    <x v="37"/>
    <x v="34"/>
    <s v=" NonchalantWanderer"/>
    <x v="2"/>
    <x v="2"/>
    <s v=" #Indifference #DriftingThroughLife       "/>
    <n v="9"/>
    <n v="18"/>
    <x v="12"/>
    <x v="40"/>
    <x v="4"/>
    <n v="2023"/>
    <n v="2"/>
    <n v="22"/>
    <x v="9"/>
  </r>
  <r>
    <s v=" Lost in the labyrinth of thoughts, confusion casting shadows on the quest for clarity. "/>
    <s v=" Confusion       "/>
    <x v="2"/>
    <d v="2020-06-05T12:15:00"/>
    <x v="161"/>
    <x v="101"/>
    <x v="64"/>
    <s v=" ShadowedSeeker    "/>
    <x v="0"/>
    <x v="0"/>
    <s v=" #Confusion #LabyrinthOfThoughts          "/>
    <n v="14"/>
    <n v="28"/>
    <x v="13"/>
    <x v="27"/>
    <x v="3"/>
    <n v="2020"/>
    <n v="6"/>
    <n v="5"/>
    <x v="0"/>
  </r>
  <r>
    <s v=" Wrapped in the cloak of emotional numbness, a shield against the storms of life's turbulence. "/>
    <s v=" Numbness        "/>
    <x v="2"/>
    <d v="2021-11-30T15:30:00"/>
    <x v="162"/>
    <x v="78"/>
    <x v="49"/>
    <s v=" TurbulentShield   "/>
    <x v="1"/>
    <x v="1"/>
    <s v=" #Numbness #EmotionalStorms               "/>
    <n v="10"/>
    <n v="20"/>
    <x v="6"/>
    <x v="39"/>
    <x v="1"/>
    <n v="2021"/>
    <n v="11"/>
    <n v="30"/>
    <x v="2"/>
  </r>
  <r>
    <s v=" Melancholy as a companion, painting the canvas of life with the brushstrokes of wistful yearning. "/>
    <s v=" Melancholy      "/>
    <x v="1"/>
    <d v="2019-02-25T21:00:00"/>
    <x v="163"/>
    <x v="100"/>
    <x v="65"/>
    <s v=" WistfulPainter    "/>
    <x v="2"/>
    <x v="2"/>
    <s v=" #Melancholy #WistfulYearning             "/>
    <n v="13"/>
    <n v="26"/>
    <x v="14"/>
    <x v="28"/>
    <x v="2"/>
    <n v="2019"/>
    <n v="2"/>
    <n v="25"/>
    <x v="14"/>
  </r>
  <r>
    <s v=" Leafing through the pages of an old photo album, nostalgia weaving tales of laughter and tears. "/>
    <s v=" Nostalgia       "/>
    <x v="2"/>
    <d v="2017-05-18T14:45:00"/>
    <x v="164"/>
    <x v="47"/>
    <x v="6"/>
    <s v=" TaleWeaver        "/>
    <x v="0"/>
    <x v="0"/>
    <s v=" #Nostalgia #PhotoAlbumStories            "/>
    <n v="12"/>
    <n v="25"/>
    <x v="4"/>
    <x v="21"/>
    <x v="0"/>
    <n v="2017"/>
    <n v="5"/>
    <n v="18"/>
    <x v="6"/>
  </r>
  <r>
    <s v=" Ambivalence in the air, caught between the crossroads of conflicting emotions and decisions. "/>
    <s v=" Ambivalence     "/>
    <x v="2"/>
    <d v="2022-08-05T11:30:00"/>
    <x v="165"/>
    <x v="18"/>
    <x v="18"/>
    <s v=" CrossroadsExplorer"/>
    <x v="1"/>
    <x v="1"/>
    <s v=" #Ambivalence #CrossroadsConfusion        "/>
    <n v="15"/>
    <n v="30"/>
    <x v="0"/>
    <x v="39"/>
    <x v="1"/>
    <n v="2022"/>
    <n v="8"/>
    <n v="5"/>
    <x v="11"/>
  </r>
  <r>
    <s v=" Embracing the beauty in imperfections, finding acceptance in the mosaic of life's unpredictable art. "/>
    <s v=" Acceptance      "/>
    <x v="0"/>
    <d v="2023-06-15T16:20:00"/>
    <x v="166"/>
    <x v="94"/>
    <x v="24"/>
    <s v=" MosaicArtist      "/>
    <x v="2"/>
    <x v="2"/>
    <s v=" #Acceptance #UnpredictableArt            "/>
    <n v="18"/>
    <n v="36"/>
    <x v="15"/>
    <x v="27"/>
    <x v="3"/>
    <n v="2023"/>
    <n v="6"/>
    <n v="15"/>
    <x v="12"/>
  </r>
  <r>
    <s v=" Determination ablaze, forging a path through challenges, sculpting dreams into tangible realities. "/>
    <s v=" Determination   "/>
    <x v="0"/>
    <d v="2021-10-10T14:45:00"/>
    <x v="167"/>
    <x v="47"/>
    <x v="6"/>
    <s v=" DreamSculptor     "/>
    <x v="0"/>
    <x v="0"/>
    <s v=" #Determination #SculptingDreams          "/>
    <n v="20"/>
    <n v="40"/>
    <x v="2"/>
    <x v="28"/>
    <x v="2"/>
    <n v="2021"/>
    <n v="10"/>
    <n v="10"/>
    <x v="6"/>
  </r>
  <r>
    <s v=" Immerse in the serenity of a moonlit night, where the quiet whispers of nature bring peace to the soul. "/>
    <s v=" Serenity        "/>
    <x v="0"/>
    <d v="2020-05-12T19:30:00"/>
    <x v="168"/>
    <x v="62"/>
    <x v="7"/>
    <s v=" MoonlitSoul       "/>
    <x v="1"/>
    <x v="1"/>
    <s v=" #Serenity #MoonlitPeace                  "/>
    <n v="25"/>
    <n v="50"/>
    <x v="5"/>
    <x v="21"/>
    <x v="0"/>
    <n v="2020"/>
    <n v="5"/>
    <n v="12"/>
    <x v="4"/>
  </r>
  <r>
    <s v=" Fueled by curiosity, venturing into uncharted realms, a fearless explorer of the mysteries of the world. "/>
    <s v=" Curiosity       "/>
    <x v="2"/>
    <d v="2022-12-01T09:15:00"/>
    <x v="169"/>
    <x v="22"/>
    <x v="21"/>
    <s v=" FearlessExplorer  "/>
    <x v="2"/>
    <x v="2"/>
    <s v=" #Curiosity #FearlessExplorer              "/>
    <n v="22"/>
    <n v="44"/>
    <x v="17"/>
    <x v="40"/>
    <x v="4"/>
    <n v="2022"/>
    <n v="12"/>
    <n v="1"/>
    <x v="5"/>
  </r>
  <r>
    <s v="Wrapped in the cloak of emotional numbness, a shield against the storms of life's turbulence. "/>
    <s v=" Numbness "/>
    <x v="2"/>
    <d v="2021-11-30T15:30:00"/>
    <x v="162"/>
    <x v="78"/>
    <x v="49"/>
    <s v=" TurbulentShield "/>
    <x v="1"/>
    <x v="1"/>
    <s v=" #Numbness #EmotionalStorms "/>
    <n v="10"/>
    <n v="20"/>
    <x v="6"/>
    <x v="14"/>
    <x v="1"/>
    <n v="2021"/>
    <n v="11"/>
    <n v="30"/>
    <x v="2"/>
  </r>
  <r>
    <s v=" Dancing through life with the exuberance of a carefree spirit, embracing joy and zest at every turn. "/>
    <s v=" Zest "/>
    <x v="0"/>
    <d v="2018-07-12T17:45:00"/>
    <x v="170"/>
    <x v="102"/>
    <x v="48"/>
    <s v=" JoyfulDancer "/>
    <x v="3"/>
    <x v="0"/>
    <s v=" #Zest #CarefreeSpirit "/>
    <n v="15"/>
    <n v="30"/>
    <x v="0"/>
    <x v="10"/>
    <x v="0"/>
    <n v="2018"/>
    <n v="7"/>
    <n v="12"/>
    <x v="9"/>
  </r>
  <r>
    <s v=" Basking in the golden glow of contentment, a serene river flowing through the landscape of the heart. "/>
    <s v=" Contentment "/>
    <x v="0"/>
    <d v="2020-09-05T20:10:00"/>
    <x v="171"/>
    <x v="103"/>
    <x v="66"/>
    <s v=" SereneBasker "/>
    <x v="2"/>
    <x v="2"/>
    <s v=" #Contentment #GoldenGlow "/>
    <n v="18"/>
    <n v="36"/>
    <x v="15"/>
    <x v="4"/>
    <x v="3"/>
    <n v="2020"/>
    <n v="9"/>
    <n v="5"/>
    <x v="13"/>
  </r>
  <r>
    <s v=" Gazing towards the horizon with hopeful eyes, painting a canvas of dreams illuminated by the sun of optimism. "/>
    <s v=" Hopeful "/>
    <x v="0"/>
    <d v="2022-04-18T08:00:00"/>
    <x v="172"/>
    <x v="8"/>
    <x v="8"/>
    <s v=" DreamPainter "/>
    <x v="1"/>
    <x v="1"/>
    <s v=" #Hopeful #CanvasOfDreams "/>
    <n v="12"/>
    <n v="24"/>
    <x v="18"/>
    <x v="16"/>
    <x v="4"/>
    <n v="2022"/>
    <n v="4"/>
    <n v="18"/>
    <x v="1"/>
  </r>
  <r>
    <s v=" Standing tall, proud as an oak, the branches of achievement reaching towards the sky of accomplishment. "/>
    <s v=" Proud "/>
    <x v="2"/>
    <d v="2019-12-10T12:20:00"/>
    <x v="173"/>
    <x v="9"/>
    <x v="9"/>
    <s v=" OakAchiever "/>
    <x v="3"/>
    <x v="0"/>
    <s v=" #Proud #BranchesOfAchievement "/>
    <n v="25"/>
    <n v="50"/>
    <x v="5"/>
    <x v="14"/>
    <x v="1"/>
    <n v="2019"/>
    <n v="12"/>
    <n v="10"/>
    <x v="0"/>
  </r>
  <r>
    <s v=" A heart overflowing with gratitude, a garden where appreciation blooms in the soil of kindness and connection. "/>
    <s v=" Grateful "/>
    <x v="0"/>
    <d v="2023-02-28T09:45:00"/>
    <x v="35"/>
    <x v="14"/>
    <x v="14"/>
    <s v=" HeartGardener "/>
    <x v="2"/>
    <x v="2"/>
    <s v=" #Grateful #BlossomingConnection "/>
    <n v="20"/>
    <n v="40"/>
    <x v="2"/>
    <x v="10"/>
    <x v="0"/>
    <n v="2023"/>
    <n v="2"/>
    <n v="28"/>
    <x v="5"/>
  </r>
  <r>
    <s v=" Extending a hand, empathetic threads weaving a tapestry of understanding, embracing the joys and sorrows of others. "/>
    <s v=" Empathetic "/>
    <x v="2"/>
    <d v="2018-04-03T14:15:00"/>
    <x v="174"/>
    <x v="104"/>
    <x v="67"/>
    <s v=" ThreadWeaver "/>
    <x v="1"/>
    <x v="1"/>
    <s v=" #Empathetic #TapestryOfUnderstanding "/>
    <n v="15"/>
    <n v="30"/>
    <x v="0"/>
    <x v="12"/>
    <x v="2"/>
    <n v="2018"/>
    <n v="4"/>
    <n v="3"/>
    <x v="6"/>
  </r>
  <r>
    <s v=" Compassionate clouds, heavy with care, showering empathy on the parched grounds of human suffering. "/>
    <s v=" Compassionate "/>
    <x v="0"/>
    <d v="2022-06-20T10:30:00"/>
    <x v="175"/>
    <x v="11"/>
    <x v="11"/>
    <s v=" CloudCaretaker "/>
    <x v="3"/>
    <x v="0"/>
    <s v=" #Compassionate #ShowerOfEmpathy "/>
    <n v="18"/>
    <n v="36"/>
    <x v="15"/>
    <x v="4"/>
    <x v="3"/>
    <n v="2022"/>
    <n v="6"/>
    <n v="20"/>
    <x v="7"/>
  </r>
  <r>
    <s v=" Playfully dancing in the rain of laughter, a whimsical spirit twirling in the puddles of joy and lightheartedness. "/>
    <s v=" Playful "/>
    <x v="0"/>
    <d v="2020-07-08T18:00:00"/>
    <x v="176"/>
    <x v="13"/>
    <x v="13"/>
    <s v=" RainDancer "/>
    <x v="2"/>
    <x v="2"/>
    <s v=" #Playful #DanceInTheRain "/>
    <n v="22"/>
    <n v="44"/>
    <x v="17"/>
    <x v="14"/>
    <x v="1"/>
    <n v="2020"/>
    <n v="7"/>
    <n v="8"/>
    <x v="3"/>
  </r>
  <r>
    <s v=" Soaring on the wings of a free spirit, unburdened by the chains of conformity, painting the sky with independence. "/>
    <s v=" Free-spirited "/>
    <x v="0"/>
    <d v="2021-08-15T11:10:00"/>
    <x v="177"/>
    <x v="105"/>
    <x v="68"/>
    <s v=" SkyPainter "/>
    <x v="1"/>
    <x v="1"/>
    <s v=" #FreeSpirit #PaintingTheSky "/>
    <n v="20"/>
    <n v="40"/>
    <x v="2"/>
    <x v="16"/>
    <x v="4"/>
    <n v="2021"/>
    <n v="8"/>
    <n v="15"/>
    <x v="11"/>
  </r>
  <r>
    <s v=" Bathed in the glow of inspiration, a creative phoenix rising from the ashes of ordinary thoughts to explore new realms. "/>
    <s v=" Inspired "/>
    <x v="0"/>
    <d v="2019-10-25T16:50:00"/>
    <x v="178"/>
    <x v="106"/>
    <x v="69"/>
    <s v=" PhoenixExplorer "/>
    <x v="3"/>
    <x v="0"/>
    <s v=" #Inspired #CreativePhoenix "/>
    <n v="15"/>
    <n v="30"/>
    <x v="0"/>
    <x v="12"/>
    <x v="2"/>
    <n v="2019"/>
    <n v="10"/>
    <n v="25"/>
    <x v="12"/>
  </r>
  <r>
    <s v=" Navigating the sea of hope, sailing towards the sunrise of possibilities, confident in the ship of positive anticipation. "/>
    <s v=" Hopeful "/>
    <x v="0"/>
    <d v="2023-10-05T07:30:00"/>
    <x v="179"/>
    <x v="55"/>
    <x v="46"/>
    <s v=" SunriseNavigator "/>
    <x v="2"/>
    <x v="2"/>
    <s v=" #Hopeful #SunriseOfPossibilities "/>
    <n v="12"/>
    <n v="24"/>
    <x v="18"/>
    <x v="10"/>
    <x v="0"/>
    <n v="2023"/>
    <n v="10"/>
    <n v="5"/>
    <x v="15"/>
  </r>
  <r>
    <s v=" Striding with confidence, footprints of self-assuredness imprinted on the sands of challenges conquered and victories claimed. "/>
    <s v=" Confident "/>
    <x v="0"/>
    <d v="2022-02-15T13:15:00"/>
    <x v="180"/>
    <x v="30"/>
    <x v="28"/>
    <s v=" SandStrider "/>
    <x v="1"/>
    <x v="1"/>
    <s v=" #Confident #FootprintsOfAssuredness "/>
    <n v="25"/>
    <n v="50"/>
    <x v="5"/>
    <x v="4"/>
    <x v="3"/>
    <n v="2022"/>
    <n v="2"/>
    <n v="15"/>
    <x v="8"/>
  </r>
  <r>
    <s v=" Lost in the symphony of the night, a moonlit serenade that whispers tales of wanderlust and moonlit dreams. "/>
    <s v=" Serenity "/>
    <x v="0"/>
    <d v="2021-05-08T22:00:00"/>
    <x v="181"/>
    <x v="107"/>
    <x v="70"/>
    <s v=" NightSerenader "/>
    <x v="3"/>
    <x v="0"/>
    <s v=" #Serenity #MoonlitSerenade "/>
    <n v="13"/>
    <n v="26"/>
    <x v="14"/>
    <x v="14"/>
    <x v="1"/>
    <n v="2021"/>
    <n v="5"/>
    <n v="8"/>
    <x v="16"/>
  </r>
  <r>
    <s v=" Unveiling the layers of curiosity, a labyrinth of questions leading to the treasure troves of undiscovered knowledge. "/>
    <s v=" Curiosity "/>
    <x v="2"/>
    <d v="2020-11-29T14:45:00"/>
    <x v="182"/>
    <x v="6"/>
    <x v="6"/>
    <s v=" KnowledgeSeeker "/>
    <x v="1"/>
    <x v="1"/>
    <s v=" #Curiosity #LabyrinthOfQuestions "/>
    <n v="17"/>
    <n v="34"/>
    <x v="19"/>
    <x v="10"/>
    <x v="0"/>
    <n v="2020"/>
    <n v="11"/>
    <n v="29"/>
    <x v="6"/>
  </r>
  <r>
    <s v=" In the embrace of the autumn breeze, leaves of ambivalence dancing in a waltz between choices and uncertainties. "/>
    <s v=" Ambivalence "/>
    <x v="2"/>
    <d v="2019-09-14T10:20:00"/>
    <x v="183"/>
    <x v="108"/>
    <x v="71"/>
    <s v=" BreezeWaltzer "/>
    <x v="2"/>
    <x v="2"/>
    <s v=" #Ambivalence #AutumnWaltz "/>
    <n v="14"/>
    <n v="28"/>
    <x v="13"/>
    <x v="12"/>
    <x v="2"/>
    <n v="2019"/>
    <n v="9"/>
    <n v="14"/>
    <x v="7"/>
  </r>
  <r>
    <s v=" Gratitude as a guiding star, navigating the constellation of blessings in the vast universe of life's precious moments. "/>
    <s v=" Grateful "/>
    <x v="0"/>
    <d v="2022-03-12T19:55:00"/>
    <x v="184"/>
    <x v="109"/>
    <x v="4"/>
    <s v=" StarNavigator "/>
    <x v="3"/>
    <x v="0"/>
    <s v=" #Grateful #GuidingStar "/>
    <n v="19"/>
    <n v="38"/>
    <x v="20"/>
    <x v="4"/>
    <x v="3"/>
    <n v="2022"/>
    <n v="3"/>
    <n v="12"/>
    <x v="4"/>
  </r>
  <r>
    <s v=" With a zestful heart, sprinting through fields of enthusiasm, chasing sunbeams and laughter in the meadows of joy. "/>
    <s v=" Zest "/>
    <x v="0"/>
    <d v="2023-03-30T16:30:00"/>
    <x v="185"/>
    <x v="77"/>
    <x v="54"/>
    <s v=" MeadowSprinter "/>
    <x v="1"/>
    <x v="1"/>
    <s v=" #Zest #FieldsOfEnthusiasm "/>
    <n v="16"/>
    <n v="32"/>
    <x v="21"/>
    <x v="16"/>
    <x v="4"/>
    <n v="2023"/>
    <n v="3"/>
    <n v="30"/>
    <x v="12"/>
  </r>
  <r>
    <s v=" A compassionate rain, tears of empathy falling gently, nurturing the seeds of kindness in the garden of human connections. "/>
    <s v=" Compassionate "/>
    <x v="0"/>
    <d v="2021-07-01T12:10:00"/>
    <x v="186"/>
    <x v="110"/>
    <x v="72"/>
    <s v=" RainNurturer "/>
    <x v="2"/>
    <x v="2"/>
    <s v=" #Compassionate #TearsOfEmpathy "/>
    <n v="21"/>
    <n v="42"/>
    <x v="22"/>
    <x v="14"/>
    <x v="1"/>
    <n v="2021"/>
    <n v="7"/>
    <n v="1"/>
    <x v="0"/>
  </r>
  <r>
    <s v=" Proudly scaling the peaks of achievement, a mountaineer conquering challenges and planting the flag of success. "/>
    <s v=" Proud "/>
    <x v="2"/>
    <d v="2020-01-05T08:45:00"/>
    <x v="156"/>
    <x v="1"/>
    <x v="1"/>
    <s v=" PeakConqueror "/>
    <x v="3"/>
    <x v="0"/>
    <s v=" #Proud #ScalingPeaks "/>
    <n v="23"/>
    <n v="46"/>
    <x v="23"/>
    <x v="10"/>
    <x v="0"/>
    <n v="2020"/>
    <n v="1"/>
    <n v="5"/>
    <x v="1"/>
  </r>
  <r>
    <s v=" Embraced by the hopeful dawn, a gardener sowing seeds of optimism, tending to the blooms of a brighter tomorrow. "/>
    <s v=" Hopeful "/>
    <x v="0"/>
    <d v="2022-07-17T06:15:00"/>
    <x v="187"/>
    <x v="111"/>
    <x v="73"/>
    <s v=" DawnGardener "/>
    <x v="1"/>
    <x v="1"/>
    <s v=" #Hopeful #SeedsOfOptimism "/>
    <n v="14"/>
    <n v="28"/>
    <x v="13"/>
    <x v="12"/>
    <x v="2"/>
    <n v="2022"/>
    <n v="7"/>
    <n v="17"/>
    <x v="17"/>
  </r>
  <r>
    <s v=" A playful escapade in the carnival of life, carousel laughter and cotton candy dreams swirling in the joyous atmosphere. "/>
    <s v=" Playful "/>
    <x v="0"/>
    <d v="2018-08-22T17:20:00"/>
    <x v="188"/>
    <x v="112"/>
    <x v="74"/>
    <s v=" CarnivalDreamer "/>
    <x v="2"/>
    <x v="2"/>
    <s v=" #Playful #CarnivalEscapade "/>
    <n v="24"/>
    <n v="48"/>
    <x v="24"/>
    <x v="4"/>
    <x v="3"/>
    <n v="2018"/>
    <n v="8"/>
    <n v="22"/>
    <x v="9"/>
  </r>
  <r>
    <s v=" Floating on clouds of inspiration, an artist painting the sky with strokes of creativity, creating a masterpiece of dreams. "/>
    <s v=" Inspired "/>
    <x v="0"/>
    <d v="2021-12-08T14:30:00"/>
    <x v="189"/>
    <x v="23"/>
    <x v="22"/>
    <s v=" SkyArtist "/>
    <x v="3"/>
    <x v="0"/>
    <s v=" #Inspired #CloudsOfCreativity "/>
    <n v="18"/>
    <n v="36"/>
    <x v="15"/>
    <x v="16"/>
    <x v="4"/>
    <n v="2021"/>
    <n v="12"/>
    <n v="8"/>
    <x v="6"/>
  </r>
  <r>
    <s v=" Navigating the river of contentment, a serene boat cruise through the tranquil waters of inner peace and acceptance. "/>
    <s v=" Contentment "/>
    <x v="0"/>
    <d v="2019-04-27T09:50:00"/>
    <x v="190"/>
    <x v="113"/>
    <x v="75"/>
    <s v=" RiverNavigator "/>
    <x v="1"/>
    <x v="1"/>
    <s v=" #Contentment #TranquilWaters "/>
    <n v="20"/>
    <n v="40"/>
    <x v="2"/>
    <x v="14"/>
    <x v="1"/>
    <n v="2019"/>
    <n v="4"/>
    <n v="27"/>
    <x v="5"/>
  </r>
  <r>
    <s v=" With empathy as a lantern, wandering through the dark alleys of sorrow, illuminating the path with compassion and care. "/>
    <s v=" Empathetic "/>
    <x v="2"/>
    <d v="2023-09-03T21:40:00"/>
    <x v="191"/>
    <x v="114"/>
    <x v="76"/>
    <s v=" LanternWanderer "/>
    <x v="2"/>
    <x v="2"/>
    <s v=" #Empathetic #LanternOfCompassion "/>
    <n v="16"/>
    <n v="32"/>
    <x v="21"/>
    <x v="10"/>
    <x v="0"/>
    <n v="2023"/>
    <n v="9"/>
    <n v="3"/>
    <x v="14"/>
  </r>
  <r>
    <s v=" A free spirit soaring on the wings of dreams, leaving trails of independence in the azure sky of boundless possibilities. "/>
    <s v=" Free-spirited "/>
    <x v="0"/>
    <d v="2020-06-10T10:05:00"/>
    <x v="192"/>
    <x v="115"/>
    <x v="77"/>
    <s v=" DreamSoarer "/>
    <x v="3"/>
    <x v="0"/>
    <s v=" #FreeSpirit #WingsOfDreams "/>
    <n v="22"/>
    <n v="44"/>
    <x v="17"/>
    <x v="12"/>
    <x v="2"/>
    <n v="2020"/>
    <n v="6"/>
    <n v="10"/>
    <x v="7"/>
  </r>
  <r>
    <s v=" Bathed in the golden hues of gratefulness, a sunset of appreciation casting its warm glow on the landscapes of the heart. "/>
    <s v=" Grateful "/>
    <x v="0"/>
    <d v="2022-04-01T18:30:00"/>
    <x v="193"/>
    <x v="40"/>
    <x v="36"/>
    <s v=" SunsetAdmirer "/>
    <x v="1"/>
    <x v="1"/>
    <s v=" #Grateful #GoldenHues "/>
    <n v="19"/>
    <n v="38"/>
    <x v="20"/>
    <x v="4"/>
    <x v="3"/>
    <n v="2022"/>
    <n v="4"/>
    <n v="1"/>
    <x v="3"/>
  </r>
  <r>
    <s v=" Confident strides in the dance of life, a ballroom where self-assuredness leads, twirling through challenges with grace. "/>
    <s v=" Confident "/>
    <x v="0"/>
    <d v="2021-01-15T13:00:00"/>
    <x v="194"/>
    <x v="116"/>
    <x v="78"/>
    <s v=" DanceStrider "/>
    <x v="2"/>
    <x v="2"/>
    <s v=" #Confident #DanceOfLife "/>
    <n v="23"/>
    <n v="46"/>
    <x v="23"/>
    <x v="14"/>
    <x v="1"/>
    <n v="2021"/>
    <n v="1"/>
    <n v="15"/>
    <x v="8"/>
  </r>
  <r>
    <s v=" Hopeful whispers of wind, carrying the promises of a brighter tomorrow, a symphony of optimism in the air of possibilities. "/>
    <s v=" Hopeful "/>
    <x v="0"/>
    <d v="2023-05-06T07:20:00"/>
    <x v="195"/>
    <x v="117"/>
    <x v="79"/>
    <s v=" WindWhisperer "/>
    <x v="3"/>
    <x v="0"/>
    <s v=" #Hopeful #BrighterTomorrows "/>
    <n v="15"/>
    <n v="30"/>
    <x v="0"/>
    <x v="16"/>
    <x v="4"/>
    <n v="2023"/>
    <n v="5"/>
    <n v="6"/>
    <x v="15"/>
  </r>
  <r>
    <s v=" Playfully juggling responsibilities, a circus performer balancing the acts of work and joy, tossing laughter into the air. "/>
    <s v=" Playful "/>
    <x v="0"/>
    <d v="2019-11-18T15:15:00"/>
    <x v="94"/>
    <x v="10"/>
    <x v="10"/>
    <s v=" JugglingArtist "/>
    <x v="1"/>
    <x v="1"/>
    <s v=" #Playful #JugglingResponsibilities "/>
    <n v="25"/>
    <n v="50"/>
    <x v="5"/>
    <x v="10"/>
    <x v="0"/>
    <n v="2019"/>
    <n v="11"/>
    <n v="18"/>
    <x v="2"/>
  </r>
  <r>
    <s v=" Whispering tales of inspiration to the stars, a storyteller crafting constellations from the threads of imagination. "/>
    <s v=" Inspired "/>
    <x v="0"/>
    <d v="2020-08-29T20:45:00"/>
    <x v="196"/>
    <x v="93"/>
    <x v="61"/>
    <s v=" StarStoryteller "/>
    <x v="2"/>
    <x v="2"/>
    <s v=" #Inspired #TalesToTheStars "/>
    <n v="14"/>
    <n v="28"/>
    <x v="13"/>
    <x v="12"/>
    <x v="2"/>
    <n v="2020"/>
    <n v="8"/>
    <n v="29"/>
    <x v="13"/>
  </r>
  <r>
    <s v=" Charting a course through the waves of hopeful anticipation, a sailor steering towards the shores of dreams yet unexplored. "/>
    <s v=" Hopeful "/>
    <x v="0"/>
    <d v="2022-10-30T11:40:00"/>
    <x v="197"/>
    <x v="118"/>
    <x v="80"/>
    <s v=" WaveNavigator "/>
    <x v="3"/>
    <x v="0"/>
    <s v=" #Hopeful #SailorOfDreams "/>
    <n v="17"/>
    <n v="34"/>
    <x v="19"/>
    <x v="4"/>
    <x v="3"/>
    <n v="2022"/>
    <n v="10"/>
    <n v="30"/>
    <x v="11"/>
  </r>
  <r>
    <s v=" A compassionate rain, tears of empathy falling gently, nurturing the seeds of kindness in the garden of human connections. "/>
    <s v=" Compassionate "/>
    <x v="0"/>
    <d v="2021-07-01T12:10:00"/>
    <x v="186"/>
    <x v="110"/>
    <x v="72"/>
    <s v=" RainNurturer "/>
    <x v="1"/>
    <x v="1"/>
    <s v=" #Compassionate #TearsOfEmpathy "/>
    <n v="21"/>
    <n v="42"/>
    <x v="22"/>
    <x v="14"/>
    <x v="1"/>
    <n v="2021"/>
    <n v="7"/>
    <n v="1"/>
    <x v="0"/>
  </r>
  <r>
    <s v=" Proudly scaling the peaks of achievement, a mountaineer conquering challenges and planting the flag of success. "/>
    <s v=" Proud "/>
    <x v="2"/>
    <d v="2020-01-05T08:45:00"/>
    <x v="156"/>
    <x v="1"/>
    <x v="1"/>
    <s v=" PeakConqueror "/>
    <x v="3"/>
    <x v="0"/>
    <s v=" #Proud #ScalingPeaks "/>
    <n v="23"/>
    <n v="46"/>
    <x v="23"/>
    <x v="10"/>
    <x v="0"/>
    <n v="2020"/>
    <n v="1"/>
    <n v="5"/>
    <x v="1"/>
  </r>
  <r>
    <s v=" Embraced by the hopeful dawn, a gardener sowing seeds of optimism, tending to the blooms of a brighter tomorrow. "/>
    <s v=" Hopeful "/>
    <x v="0"/>
    <d v="2022-07-17T06:15:00"/>
    <x v="187"/>
    <x v="111"/>
    <x v="73"/>
    <s v=" DawnGardener "/>
    <x v="1"/>
    <x v="1"/>
    <s v=" #Hopeful #SeedsOfOptimism "/>
    <n v="14"/>
    <n v="28"/>
    <x v="13"/>
    <x v="12"/>
    <x v="2"/>
    <n v="2022"/>
    <n v="7"/>
    <n v="17"/>
    <x v="17"/>
  </r>
  <r>
    <s v=" A playful escapade in the carnival of life, carousel laughter and cotton candy dreams swirling in the joyous atmosphere. "/>
    <s v=" Playful "/>
    <x v="0"/>
    <d v="2018-08-22T17:20:00"/>
    <x v="188"/>
    <x v="112"/>
    <x v="74"/>
    <s v=" CarnivalDreamer "/>
    <x v="2"/>
    <x v="2"/>
    <s v=" #Playful #CarnivalEscapade "/>
    <n v="24"/>
    <n v="48"/>
    <x v="24"/>
    <x v="4"/>
    <x v="3"/>
    <n v="2018"/>
    <n v="8"/>
    <n v="22"/>
    <x v="9"/>
  </r>
  <r>
    <s v=" Floating on clouds of inspiration, an artist painting the sky with strokes of creativity, creating a masterpiece of dreams. "/>
    <s v=" Inspired "/>
    <x v="0"/>
    <d v="2021-12-08T14:30:00"/>
    <x v="189"/>
    <x v="23"/>
    <x v="22"/>
    <s v=" SkyArtist "/>
    <x v="3"/>
    <x v="0"/>
    <s v=" #Inspired #CloudsOfCreativity "/>
    <n v="18"/>
    <n v="36"/>
    <x v="15"/>
    <x v="16"/>
    <x v="4"/>
    <n v="2021"/>
    <n v="12"/>
    <n v="8"/>
    <x v="6"/>
  </r>
  <r>
    <s v=" Navigating the river of contentment, a serene boat cruise through the tranquil waters of inner peace and acceptance. "/>
    <s v=" Contentment "/>
    <x v="0"/>
    <d v="2019-04-27T09:50:00"/>
    <x v="190"/>
    <x v="113"/>
    <x v="75"/>
    <s v=" RiverNavigator "/>
    <x v="1"/>
    <x v="1"/>
    <s v=" #Contentment #TranquilWaters "/>
    <n v="20"/>
    <n v="40"/>
    <x v="2"/>
    <x v="14"/>
    <x v="1"/>
    <n v="2019"/>
    <n v="4"/>
    <n v="27"/>
    <x v="5"/>
  </r>
  <r>
    <s v=" With empathy as a lantern, wandering through the dark alleys of sorrow, illuminating the path with compassion and care. "/>
    <s v=" Empathetic "/>
    <x v="2"/>
    <d v="2023-09-03T21:40:00"/>
    <x v="191"/>
    <x v="114"/>
    <x v="76"/>
    <s v=" LanternWanderer "/>
    <x v="2"/>
    <x v="2"/>
    <s v=" #Empathetic #LanternOfCompassion "/>
    <n v="16"/>
    <n v="32"/>
    <x v="21"/>
    <x v="10"/>
    <x v="0"/>
    <n v="2023"/>
    <n v="9"/>
    <n v="3"/>
    <x v="14"/>
  </r>
  <r>
    <s v=" A free spirit soaring on the wings of dreams, leaving trails of independence in the azure sky of boundless possibilities. "/>
    <s v=" Free-spirited "/>
    <x v="0"/>
    <d v="2020-06-10T10:05:00"/>
    <x v="192"/>
    <x v="115"/>
    <x v="77"/>
    <s v=" DreamSoarer "/>
    <x v="3"/>
    <x v="0"/>
    <s v=" #FreeSpirit #WingsOfDreams "/>
    <n v="22"/>
    <n v="44"/>
    <x v="17"/>
    <x v="12"/>
    <x v="2"/>
    <n v="2020"/>
    <n v="6"/>
    <n v="10"/>
    <x v="7"/>
  </r>
  <r>
    <s v=" Bathed in the golden hues of gratefulness, a sunset of appreciation casting its warm glow on the landscapes of the heart. "/>
    <s v=" Grateful "/>
    <x v="0"/>
    <d v="2022-04-01T18:30:00"/>
    <x v="193"/>
    <x v="40"/>
    <x v="36"/>
    <s v=" SunsetAdmirer "/>
    <x v="1"/>
    <x v="1"/>
    <s v=" #Grateful #GoldenHues "/>
    <n v="19"/>
    <n v="38"/>
    <x v="20"/>
    <x v="4"/>
    <x v="3"/>
    <n v="2022"/>
    <n v="4"/>
    <n v="1"/>
    <x v="3"/>
  </r>
  <r>
    <s v=" Confident strides in the dance of life, a ballroom where self-assuredness leads, twirling through challenges with grace. "/>
    <s v=" Confident "/>
    <x v="0"/>
    <d v="2021-01-15T13:00:00"/>
    <x v="194"/>
    <x v="116"/>
    <x v="78"/>
    <s v=" DanceStrider "/>
    <x v="2"/>
    <x v="2"/>
    <s v=" #Confident #DanceOfLife "/>
    <n v="23"/>
    <n v="46"/>
    <x v="23"/>
    <x v="14"/>
    <x v="1"/>
    <n v="2021"/>
    <n v="1"/>
    <n v="15"/>
    <x v="8"/>
  </r>
  <r>
    <s v=" Hopeful whispers of wind, carrying the promises of a brighter tomorrow, a symphony of optimism in the air of possibilities. "/>
    <s v=" Hopeful "/>
    <x v="0"/>
    <d v="2023-05-06T07:20:00"/>
    <x v="195"/>
    <x v="117"/>
    <x v="79"/>
    <s v=" WindWhisperer "/>
    <x v="3"/>
    <x v="0"/>
    <s v=" #Hopeful #BrighterTomorrows "/>
    <n v="15"/>
    <n v="30"/>
    <x v="0"/>
    <x v="16"/>
    <x v="4"/>
    <n v="2023"/>
    <n v="5"/>
    <n v="6"/>
    <x v="15"/>
  </r>
  <r>
    <s v=" Playfully juggling responsibilities, a circus performer balancing the acts of work and joy, tossing laughter into the air. "/>
    <s v=" Playful "/>
    <x v="0"/>
    <d v="2019-11-18T15:15:00"/>
    <x v="94"/>
    <x v="10"/>
    <x v="10"/>
    <s v=" JugglingArtist "/>
    <x v="1"/>
    <x v="1"/>
    <s v=" #Playful #JugglingResponsibilities "/>
    <n v="25"/>
    <n v="50"/>
    <x v="5"/>
    <x v="10"/>
    <x v="0"/>
    <n v="2019"/>
    <n v="11"/>
    <n v="18"/>
    <x v="2"/>
  </r>
  <r>
    <s v=" Whispering tales of inspiration to the stars, a storyteller crafting constellations from the threads of imagination. "/>
    <s v=" Inspired "/>
    <x v="0"/>
    <d v="2020-08-29T20:45:00"/>
    <x v="196"/>
    <x v="93"/>
    <x v="61"/>
    <s v=" StarStoryteller "/>
    <x v="2"/>
    <x v="2"/>
    <s v=" #Inspired #TalesToTheStars "/>
    <n v="14"/>
    <n v="28"/>
    <x v="13"/>
    <x v="12"/>
    <x v="2"/>
    <n v="2020"/>
    <n v="8"/>
    <n v="29"/>
    <x v="13"/>
  </r>
  <r>
    <s v=" Charting a course through the waves of hopeful anticipation, a sailor steering towards the shores of dreams yet unexplored. "/>
    <s v=" Hopeful "/>
    <x v="0"/>
    <d v="2022-10-30T11:40:00"/>
    <x v="197"/>
    <x v="118"/>
    <x v="80"/>
    <s v=" WaveNavigator "/>
    <x v="3"/>
    <x v="0"/>
    <s v=" #Hopeful #SailorOfDreams "/>
    <n v="17"/>
    <n v="34"/>
    <x v="19"/>
    <x v="4"/>
    <x v="3"/>
    <n v="2022"/>
    <n v="10"/>
    <n v="30"/>
    <x v="11"/>
  </r>
  <r>
    <s v=" A compassionate rain, tears of empathy falling gently, nurturing the seeds of kindness in the garden of human connections. "/>
    <s v=" Compassionate "/>
    <x v="0"/>
    <d v="2021-07-01T12:10:00"/>
    <x v="186"/>
    <x v="110"/>
    <x v="72"/>
    <s v=" RainNurturer "/>
    <x v="1"/>
    <x v="1"/>
    <s v=" #Compassionate #TearsOfEmpathy "/>
    <n v="21"/>
    <n v="42"/>
    <x v="22"/>
    <x v="14"/>
    <x v="1"/>
    <n v="2021"/>
    <n v="7"/>
    <n v="1"/>
    <x v="0"/>
  </r>
  <r>
    <s v=" Proudly scaling the peaks of achievement, a mountaineer conquering challenges and planting the flag of success. "/>
    <s v=" Proud "/>
    <x v="2"/>
    <d v="2020-01-05T08:45:00"/>
    <x v="156"/>
    <x v="1"/>
    <x v="1"/>
    <s v=" PeakConqueror "/>
    <x v="3"/>
    <x v="0"/>
    <s v=" #Proud #ScalingPeaks "/>
    <n v="23"/>
    <n v="46"/>
    <x v="23"/>
    <x v="10"/>
    <x v="0"/>
    <n v="2020"/>
    <n v="1"/>
    <n v="5"/>
    <x v="1"/>
  </r>
  <r>
    <s v=" Embraced by the hopeful dawn, a gardener sowing seeds of optimism, tending to the blooms of a brighter tomorrow. "/>
    <s v=" Hopeful "/>
    <x v="0"/>
    <d v="2022-07-17T06:15:00"/>
    <x v="187"/>
    <x v="111"/>
    <x v="73"/>
    <s v=" DawnGardener "/>
    <x v="1"/>
    <x v="1"/>
    <s v=" #Hopeful #SeedsOfOptimism "/>
    <n v="14"/>
    <n v="28"/>
    <x v="13"/>
    <x v="16"/>
    <x v="4"/>
    <n v="2022"/>
    <n v="7"/>
    <n v="17"/>
    <x v="17"/>
  </r>
  <r>
    <s v=" A playful escapade in the carnival of life, carousel laughter and cotton candy dreams swirling in the joyous atmosphere. "/>
    <s v=" Playful "/>
    <x v="0"/>
    <d v="2018-08-22T17:20:00"/>
    <x v="188"/>
    <x v="112"/>
    <x v="74"/>
    <s v=" CarnivalDreamer "/>
    <x v="2"/>
    <x v="2"/>
    <s v=" #Playful #CarnivalEscapade "/>
    <n v="24"/>
    <n v="48"/>
    <x v="24"/>
    <x v="4"/>
    <x v="3"/>
    <n v="2018"/>
    <n v="8"/>
    <n v="22"/>
    <x v="9"/>
  </r>
  <r>
    <s v=" Drowning in the abyss of despair, a heart shattered into fragments, lost in the echoing silence of hopelessness. "/>
    <s v=" Despair "/>
    <x v="1"/>
    <d v="2021-09-15T16:00:00"/>
    <x v="198"/>
    <x v="51"/>
    <x v="44"/>
    <s v=" ShatteredHeart "/>
    <x v="1"/>
    <x v="1"/>
    <s v=" #Despair #EchoingSilence "/>
    <n v="8"/>
    <n v="16"/>
    <x v="25"/>
    <x v="14"/>
    <x v="1"/>
    <n v="2021"/>
    <n v="9"/>
    <n v="15"/>
    <x v="12"/>
  </r>
  <r>
    <s v=" Bitterness festering like a venomous vine, entwining the soul in a web of resentment, poisoning the garden of peace. "/>
    <s v=" Bitterness "/>
    <x v="1"/>
    <d v="2019-03-08T14:20:00"/>
    <x v="199"/>
    <x v="32"/>
    <x v="29"/>
    <s v=" VenomousSoul "/>
    <x v="2"/>
    <x v="2"/>
    <s v=" #Bitterness #ResentmentWeb "/>
    <n v="12"/>
    <n v="24"/>
    <x v="18"/>
    <x v="12"/>
    <x v="2"/>
    <n v="2019"/>
    <n v="3"/>
    <n v="8"/>
    <x v="6"/>
  </r>
  <r>
    <s v=" Wandering through the desert of loneliness, each step a heavy sigh, mirages of connection shimmering but never materializing. "/>
    <s v=" Loneliness "/>
    <x v="1"/>
    <d v="2017-07-20T11:45:00"/>
    <x v="200"/>
    <x v="79"/>
    <x v="55"/>
    <s v=" DesertWanderer "/>
    <x v="3"/>
    <x v="0"/>
    <s v=" #Loneliness #MiragesOfConnection "/>
    <n v="15"/>
    <n v="30"/>
    <x v="0"/>
    <x v="10"/>
    <x v="0"/>
    <n v="2017"/>
    <n v="7"/>
    <n v="20"/>
    <x v="11"/>
  </r>
  <r>
    <s v=" Yearning for a touch that's not there, echoes of a distant warmth haunting the heart in the cold embrace of solitude. "/>
    <s v=" Yearning "/>
    <x v="1"/>
    <d v="2020-11-02T19:30:00"/>
    <x v="201"/>
    <x v="62"/>
    <x v="7"/>
    <s v=" ColdEmbrace "/>
    <x v="1"/>
    <x v="1"/>
    <s v=" #Yearning #DistantWarmth "/>
    <n v="10"/>
    <n v="20"/>
    <x v="6"/>
    <x v="4"/>
    <x v="3"/>
    <n v="2020"/>
    <n v="11"/>
    <n v="2"/>
    <x v="4"/>
  </r>
  <r>
    <s v=" Eyes wide open in the night, fearful shadows dancing on the walls, the mind a prisoner of imagined horrors. "/>
    <s v=" Fearful "/>
    <x v="1"/>
    <d v="2022-05-12T02:00:00"/>
    <x v="202"/>
    <x v="119"/>
    <x v="81"/>
    <s v=" NightPrisoner "/>
    <x v="2"/>
    <x v="2"/>
    <s v=" #Fearful #ImaginedHorrors "/>
    <n v="18"/>
    <n v="36"/>
    <x v="15"/>
    <x v="16"/>
    <x v="4"/>
    <n v="2022"/>
    <n v="5"/>
    <n v="12"/>
    <x v="18"/>
  </r>
  <r>
    <s v=" Apprehensive steps on the tightrope of uncertainty, a balancing act where the fall seems inevitable, anxiety a constant companion. "/>
    <s v=" Apprehensive "/>
    <x v="1"/>
    <d v="2023-04-08T13:15:00"/>
    <x v="203"/>
    <x v="83"/>
    <x v="28"/>
    <s v=" TightropeWalker "/>
    <x v="3"/>
    <x v="0"/>
    <s v=" #Apprehensive #BalancingAct "/>
    <n v="14"/>
    <n v="28"/>
    <x v="13"/>
    <x v="12"/>
    <x v="2"/>
    <n v="2023"/>
    <n v="4"/>
    <n v="8"/>
    <x v="8"/>
  </r>
  <r>
    <s v=" Overwhelmed by the weight of the world, Atlas with trembling shoulders, each responsibility a boulder in the landscape of exhaustion. "/>
    <s v=" Overwhelmed "/>
    <x v="1"/>
    <d v="2021-06-25T17:50:00"/>
    <x v="204"/>
    <x v="120"/>
    <x v="82"/>
    <s v=" AtlasBearer "/>
    <x v="1"/>
    <x v="1"/>
    <s v=" #Overwhelmed #BouldersOfExhaustion "/>
    <n v="22"/>
    <n v="44"/>
    <x v="17"/>
    <x v="14"/>
    <x v="1"/>
    <n v="2021"/>
    <n v="6"/>
    <n v="25"/>
    <x v="9"/>
  </r>
  <r>
    <s v=" Jealousy, a green-eyed monster, lurking in the shadows, casting a dark cloud over the sunshine of others' success. "/>
    <s v=" Jealous "/>
    <x v="1"/>
    <d v="2019-08-30T10:10:00"/>
    <x v="205"/>
    <x v="121"/>
    <x v="83"/>
    <s v=" GreenMonster "/>
    <x v="2"/>
    <x v="2"/>
    <s v=" #Jealous #GreenEyedMonster "/>
    <n v="16"/>
    <n v="32"/>
    <x v="21"/>
    <x v="10"/>
    <x v="0"/>
    <n v="2019"/>
    <n v="8"/>
    <n v="30"/>
    <x v="7"/>
  </r>
  <r>
    <s v=" Devastated by the storm of betrayal, the wreckage of trust scattered like debris, a heart torn by the winds of broken promises. "/>
    <s v=" Devastated "/>
    <x v="1"/>
    <d v="2022-08-03T15:30:00"/>
    <x v="206"/>
    <x v="78"/>
    <x v="49"/>
    <s v=" StormSurvivor "/>
    <x v="3"/>
    <x v="0"/>
    <s v=" #Devastated #WindsOfBrokenPromises "/>
    <n v="25"/>
    <n v="50"/>
    <x v="5"/>
    <x v="4"/>
    <x v="3"/>
    <n v="2022"/>
    <n v="8"/>
    <n v="3"/>
    <x v="2"/>
  </r>
  <r>
    <s v=" Frustrated fingers tapping on the keyboard, a symphony of annoyance composing an unsolvable puzzle of unmet expectations. "/>
    <s v=" Frustrated "/>
    <x v="1"/>
    <d v="2020-12-17T09:20:00"/>
    <x v="207"/>
    <x v="122"/>
    <x v="84"/>
    <s v=" PuzzleComposer "/>
    <x v="1"/>
    <x v="1"/>
    <s v=" #Frustrated #UnsolvablePuzzle "/>
    <n v="12"/>
    <n v="24"/>
    <x v="18"/>
    <x v="16"/>
    <x v="4"/>
    <n v="2020"/>
    <n v="12"/>
    <n v="17"/>
    <x v="5"/>
  </r>
  <r>
    <s v=" Envious eyes fixated on the gilded prize, a heartache fueled by the painful desire for possessions that seem forever out of reach. "/>
    <s v=" Envious "/>
    <x v="2"/>
    <d v="2021-02-28T22:45:00"/>
    <x v="208"/>
    <x v="123"/>
    <x v="85"/>
    <s v=" GildedHeartache "/>
    <x v="2"/>
    <x v="2"/>
    <s v=" #Envious #GildedPrize "/>
    <n v="20"/>
    <n v="40"/>
    <x v="2"/>
    <x v="10"/>
    <x v="0"/>
    <n v="2021"/>
    <n v="2"/>
    <n v="28"/>
    <x v="16"/>
  </r>
  <r>
    <s v=" Dismissive glances, a fortress built with indifference, walls impenetrable to the pleas of understanding and recognition. "/>
    <s v=" Dismissive "/>
    <x v="1"/>
    <d v="2018-05-10T14:00:00"/>
    <x v="209"/>
    <x v="92"/>
    <x v="60"/>
    <s v=" IndifferentFort "/>
    <x v="3"/>
    <x v="0"/>
    <s v=" #Dismissive #ImpenetrableWalls "/>
    <n v="14"/>
    <n v="28"/>
    <x v="13"/>
    <x v="12"/>
    <x v="2"/>
    <n v="2018"/>
    <n v="5"/>
    <n v="10"/>
    <x v="6"/>
  </r>
  <r>
    <s v=" Shattered dreams lie on the floor like fragments of glass, a mosaic of disappointment crafted by the hands of frustration. "/>
    <s v=" Frustrated "/>
    <x v="1"/>
    <d v="2022-01-07T11:10:00"/>
    <x v="210"/>
    <x v="124"/>
    <x v="68"/>
    <s v=" DreamMosaic "/>
    <x v="1"/>
    <x v="1"/>
    <s v=" #Frustrated #MosaicOfDisappointment "/>
    <n v="15"/>
    <n v="30"/>
    <x v="0"/>
    <x v="14"/>
    <x v="1"/>
    <n v="2022"/>
    <n v="1"/>
    <n v="7"/>
    <x v="11"/>
  </r>
  <r>
    <s v=" Loneliness, a silent companion in the night, the only echo in the chamber of solitude, a heart's solitary nocturne. "/>
    <s v=" Loneliness "/>
    <x v="1"/>
    <d v="2019-09-19T03:30:00"/>
    <x v="211"/>
    <x v="125"/>
    <x v="86"/>
    <s v=" NocturnalEcho "/>
    <x v="2"/>
    <x v="2"/>
    <s v=" #Loneliness #SolitaryNocturne "/>
    <n v="18"/>
    <n v="36"/>
    <x v="15"/>
    <x v="4"/>
    <x v="3"/>
    <n v="2019"/>
    <n v="9"/>
    <n v="19"/>
    <x v="19"/>
  </r>
  <r>
    <s v=" Fearful whispers in the dark, the mind haunted by the specter of the unknown, shadows dancing to the rhythm of anxiety's tune. "/>
    <s v=" Fearful "/>
    <x v="1"/>
    <d v="2023-07-14T23:00:00"/>
    <x v="212"/>
    <x v="126"/>
    <x v="87"/>
    <s v=" DarkWhispers "/>
    <x v="3"/>
    <x v="0"/>
    <s v=" #Fearful #SpecterOfTheUnknown "/>
    <n v="13"/>
    <n v="26"/>
    <x v="14"/>
    <x v="12"/>
    <x v="2"/>
    <n v="2023"/>
    <n v="7"/>
    <n v="14"/>
    <x v="20"/>
  </r>
  <r>
    <s v=" Bitterness, a bitter aftertaste lingering on the tongue, each word a reminder of wounds that refuse to heal with the passing of time. "/>
    <s v=" Bitterness "/>
    <x v="1"/>
    <d v="2020-04-05T16:20:00"/>
    <x v="213"/>
    <x v="94"/>
    <x v="24"/>
    <s v=" LingeringTaste "/>
    <x v="1"/>
    <x v="1"/>
    <s v=" #Bitterness #BitterAftertaste "/>
    <n v="10"/>
    <n v="20"/>
    <x v="6"/>
    <x v="16"/>
    <x v="4"/>
    <n v="2020"/>
    <n v="4"/>
    <n v="5"/>
    <x v="12"/>
  </r>
  <r>
    <s v=" Overwhelmed by the cacophony of expectations, a drowning soul in the tempest of pressure, struggling to stay afloat. "/>
    <s v=" Overwhelmed "/>
    <x v="1"/>
    <d v="2021-11-29T08:45:00"/>
    <x v="214"/>
    <x v="1"/>
    <x v="1"/>
    <s v=" TempestSurvivor "/>
    <x v="2"/>
    <x v="2"/>
    <s v=" #Overwhelmed #DrowningSoul "/>
    <n v="20"/>
    <n v="40"/>
    <x v="2"/>
    <x v="10"/>
    <x v="0"/>
    <n v="2021"/>
    <n v="11"/>
    <n v="29"/>
    <x v="1"/>
  </r>
  <r>
    <s v=" Jealousy, a venom that seeps through the veins, poisoning the heart and turning it into a breeding ground for discontent. "/>
    <s v=" Jealous "/>
    <x v="1"/>
    <d v="2019-12-12T17:00:00"/>
    <x v="215"/>
    <x v="37"/>
    <x v="34"/>
    <s v=" VenomousHeart "/>
    <x v="3"/>
    <x v="0"/>
    <s v=" #Jealous #HeartOfDiscontent "/>
    <n v="16"/>
    <n v="32"/>
    <x v="21"/>
    <x v="4"/>
    <x v="3"/>
    <n v="2019"/>
    <n v="12"/>
    <n v="12"/>
    <x v="9"/>
  </r>
  <r>
    <s v=" Devastated by the revelation of betrayal, the trust shattered like fragile glass, leaving shards of pain in its wake. "/>
    <s v=" Devastated "/>
    <x v="1"/>
    <d v="2022-05-20T14:50:00"/>
    <x v="216"/>
    <x v="127"/>
    <x v="12"/>
    <s v=" FragileTrust "/>
    <x v="1"/>
    <x v="1"/>
    <s v=" #Devastated #ShatteredTrust "/>
    <n v="25"/>
    <n v="50"/>
    <x v="5"/>
    <x v="14"/>
    <x v="1"/>
    <n v="2022"/>
    <n v="5"/>
    <n v="20"/>
    <x v="6"/>
  </r>
  <r>
    <s v=" Frustrated attempts to mend a broken connection, the threads of understanding slipping through the fingers like grains of sand. "/>
    <s v=" Frustrated "/>
    <x v="1"/>
    <d v="2020-09-03T12:15:00"/>
    <x v="217"/>
    <x v="101"/>
    <x v="64"/>
    <s v=" BrokenThreads "/>
    <x v="2"/>
    <x v="2"/>
    <s v=" #Frustrated #SlippingThreads "/>
    <n v="14"/>
    <n v="28"/>
    <x v="13"/>
    <x v="12"/>
    <x v="2"/>
    <n v="2020"/>
    <n v="9"/>
    <n v="3"/>
    <x v="0"/>
  </r>
  <r>
    <s v=" Envious gazes cast upon the podium of success, a bitter pill swallowed, the taste lingering as a constant reminder of unattained heights. "/>
    <s v=" Envious "/>
    <x v="2"/>
    <d v="2021-02-10T19:30:00"/>
    <x v="218"/>
    <x v="62"/>
    <x v="7"/>
    <s v=" SuccessPill "/>
    <x v="3"/>
    <x v="0"/>
    <s v=" #Envious #BitterPill "/>
    <n v="20"/>
    <n v="40"/>
    <x v="2"/>
    <x v="10"/>
    <x v="0"/>
    <n v="2021"/>
    <n v="2"/>
    <n v="10"/>
    <x v="4"/>
  </r>
  <r>
    <s v=" Dismissive gestures, a curtain drawn to shield the vulnerability, a stage where emotions take a backseat to the performance of indifference. "/>
    <s v=" Dismissive "/>
    <x v="1"/>
    <d v="2018-08-18T14:40:00"/>
    <x v="219"/>
    <x v="128"/>
    <x v="88"/>
    <s v=" CurtainShield "/>
    <x v="1"/>
    <x v="1"/>
    <s v=" #Dismissive #IndifferencePerformance "/>
    <n v="12"/>
    <n v="24"/>
    <x v="18"/>
    <x v="4"/>
    <x v="3"/>
    <n v="2018"/>
    <n v="8"/>
    <n v="18"/>
    <x v="6"/>
  </r>
  <r>
    <s v=" Despair like a heavy fog, enveloping every thought, blurring the path ahead, a journey in the labyrinth of utter hopelessness. "/>
    <s v=" Despair "/>
    <x v="1"/>
    <d v="2022-02-28T21:00:00"/>
    <x v="220"/>
    <x v="129"/>
    <x v="65"/>
    <s v=" FoggyLabyrinth "/>
    <x v="2"/>
    <x v="2"/>
    <s v=" #Despair #LabyrinthOfHopelessness "/>
    <n v="8"/>
    <n v="16"/>
    <x v="25"/>
    <x v="14"/>
    <x v="1"/>
    <n v="2022"/>
    <n v="2"/>
    <n v="28"/>
    <x v="14"/>
  </r>
  <r>
    <s v=" Bitterness, a bitter chill in the air, freezing moments into icicles of resentment that dangle precariously over the landscape of memory. "/>
    <s v=" Bitterness "/>
    <x v="1"/>
    <d v="2019-10-15T10:30:00"/>
    <x v="221"/>
    <x v="130"/>
    <x v="11"/>
    <s v=" IcyResentment "/>
    <x v="3"/>
    <x v="0"/>
    <s v=" #Bitterness #IciclesOfResentment "/>
    <n v="15"/>
    <n v="30"/>
    <x v="0"/>
    <x v="12"/>
    <x v="2"/>
    <n v="2019"/>
    <n v="10"/>
    <n v="15"/>
    <x v="7"/>
  </r>
  <r>
    <s v=" Loneliness, a solitary moon in a starless sky, casting a cold glow on the landscape of isolation, where echoes bounce in empty spaces. "/>
    <s v=" Loneliness "/>
    <x v="1"/>
    <d v="2017-12-01T18:50:00"/>
    <x v="222"/>
    <x v="131"/>
    <x v="89"/>
    <s v=" SolitaryMoon "/>
    <x v="1"/>
    <x v="1"/>
    <s v=" #Loneliness #StarlessSky "/>
    <n v="18"/>
    <n v="36"/>
    <x v="15"/>
    <x v="10"/>
    <x v="0"/>
    <n v="2017"/>
    <n v="12"/>
    <n v="1"/>
    <x v="3"/>
  </r>
  <r>
    <s v=" Yearning for the warmth of a vanished sun, a heartache painted in the hues of a sunset that never graced the horizon. "/>
    <s v=" Yearning "/>
    <x v="1"/>
    <d v="2020-04-18T16:15:00"/>
    <x v="223"/>
    <x v="132"/>
    <x v="90"/>
    <s v=" VanishedSunset "/>
    <x v="2"/>
    <x v="2"/>
    <s v=" #Yearning #HuesOfSunset "/>
    <n v="10"/>
    <n v="20"/>
    <x v="6"/>
    <x v="4"/>
    <x v="3"/>
    <n v="2020"/>
    <n v="4"/>
    <n v="18"/>
    <x v="12"/>
  </r>
  <r>
    <s v=" Fearful eyes scanning the shadows, a prisoner of the night, terrorized by the lurking monsters born from the mind's darkest corners. "/>
    <s v=" Fearful "/>
    <x v="1"/>
    <d v="2023-01-07T03:30:00"/>
    <x v="224"/>
    <x v="125"/>
    <x v="86"/>
    <s v=" NightPrisoner "/>
    <x v="3"/>
    <x v="0"/>
    <s v=" #Fearful #LurkingMonsters "/>
    <n v="18"/>
    <n v="36"/>
    <x v="15"/>
    <x v="16"/>
    <x v="4"/>
    <n v="2023"/>
    <n v="1"/>
    <n v="7"/>
    <x v="19"/>
  </r>
  <r>
    <s v=" Apprehensive whispers in the wind, a forecast of uncertainty, the mind's weather vane spinning wildly in the storm of doubt. "/>
    <s v=" Apprehensive "/>
    <x v="1"/>
    <d v="2021-06-10T10:00:00"/>
    <x v="225"/>
    <x v="61"/>
    <x v="42"/>
    <s v=" WindWhisperer "/>
    <x v="1"/>
    <x v="1"/>
    <s v=" #Apprehensive #StormOfDoubt "/>
    <n v="14"/>
    <n v="28"/>
    <x v="13"/>
    <x v="14"/>
    <x v="1"/>
    <n v="2021"/>
    <n v="6"/>
    <n v="10"/>
    <x v="7"/>
  </r>
  <r>
    <s v=" Overwhelmed by the maze of expectations, a minotaur of pressure lurking in the labyrinth, waiting to devour the spirit of resilience. "/>
    <s v=" Overwhelmed "/>
    <x v="1"/>
    <d v="2020-02-22T15:20:00"/>
    <x v="226"/>
    <x v="133"/>
    <x v="91"/>
    <s v=" MazeExplorer "/>
    <x v="2"/>
    <x v="2"/>
    <s v=" #Overwhelmed #MinotaurOfPressure "/>
    <n v="22"/>
    <n v="44"/>
    <x v="17"/>
    <x v="10"/>
    <x v="0"/>
    <n v="2020"/>
    <n v="2"/>
    <n v="22"/>
    <x v="2"/>
  </r>
  <r>
    <s v=" Jealousy, a festering wound, the pain intensifying with each glance at the garden of others' achievements, blooming beyond the fence. "/>
    <s v=" Jealous "/>
    <x v="1"/>
    <d v="2018-03-17T14:45:00"/>
    <x v="227"/>
    <x v="6"/>
    <x v="6"/>
    <s v=" WoundedGarden "/>
    <x v="3"/>
    <x v="0"/>
    <s v=" #Jealous #BloomingAchievements "/>
    <n v="16"/>
    <n v="32"/>
    <x v="21"/>
    <x v="12"/>
    <x v="2"/>
    <n v="2018"/>
    <n v="3"/>
    <n v="17"/>
    <x v="6"/>
  </r>
  <r>
    <s v=" Devastated, a heart in ruins, the echoes of shattered dreams reverberating in the chambers, a requiem for what once was whole. "/>
    <s v=" Devastated "/>
    <x v="1"/>
    <d v="2022-10-28T11:15:00"/>
    <x v="228"/>
    <x v="134"/>
    <x v="92"/>
    <s v=" RuinedHeart "/>
    <x v="1"/>
    <x v="1"/>
    <s v=" #Devastated #EchoesOfShatteredDreams "/>
    <n v="25"/>
    <n v="50"/>
    <x v="5"/>
    <x v="4"/>
    <x v="3"/>
    <n v="2022"/>
    <n v="10"/>
    <n v="28"/>
    <x v="11"/>
  </r>
  <r>
    <s v=" Frustrated attempts to untangle the knot of confusion, the threads of understanding slipping further into the labyrinth of miscommunication. "/>
    <s v=" Frustrated "/>
    <x v="1"/>
    <d v="2020-11-01T12:30:00"/>
    <x v="229"/>
    <x v="135"/>
    <x v="0"/>
    <s v=" KnotUntangler "/>
    <x v="2"/>
    <x v="2"/>
    <s v=" #Frustrated #LabyrinthOfMiscommunication "/>
    <n v="14"/>
    <n v="28"/>
    <x v="13"/>
    <x v="16"/>
    <x v="4"/>
    <n v="2020"/>
    <n v="11"/>
    <n v="1"/>
    <x v="0"/>
  </r>
  <r>
    <s v=" Envious eyes locked on the treasure chest of opportunities, a heartache fueled by the desire for keys that seem forever elusive. "/>
    <s v=" Envious "/>
    <x v="2"/>
    <d v="2021-01-15T22:10:00"/>
    <x v="194"/>
    <x v="136"/>
    <x v="93"/>
    <s v=" ElusiveKeys "/>
    <x v="3"/>
    <x v="0"/>
    <s v=" #Envious #DesireForKeys "/>
    <n v="20"/>
    <n v="40"/>
    <x v="2"/>
    <x v="10"/>
    <x v="0"/>
    <n v="2021"/>
    <n v="1"/>
    <n v="15"/>
    <x v="16"/>
  </r>
  <r>
    <s v=" Dismissive gestures, a curtain drawn to shield the vulnerability, a stage where emotions take a backseat to the performance of indifference. "/>
    <s v=" Dismissive "/>
    <x v="1"/>
    <d v="2018-08-18T14:00:00"/>
    <x v="219"/>
    <x v="92"/>
    <x v="60"/>
    <s v=" IndifferentFort "/>
    <x v="1"/>
    <x v="1"/>
    <s v=" #Dismissive #IndifferencePerformance "/>
    <n v="12"/>
    <n v="24"/>
    <x v="18"/>
    <x v="4"/>
    <x v="3"/>
    <n v="2018"/>
    <n v="8"/>
    <n v="18"/>
    <x v="6"/>
  </r>
  <r>
    <s v=" Shattered dreams lie on the floor like fragments of glass, a mosaic of disappointment crafted by the hands of frustration. "/>
    <s v=" Frustrated "/>
    <x v="1"/>
    <d v="2022-01-07T11:10:00"/>
    <x v="210"/>
    <x v="124"/>
    <x v="68"/>
    <s v=" DreamMosaic "/>
    <x v="3"/>
    <x v="0"/>
    <s v=" #Frustrated #MosaicOfDisappointment "/>
    <n v="15"/>
    <n v="30"/>
    <x v="0"/>
    <x v="14"/>
    <x v="1"/>
    <n v="2022"/>
    <n v="1"/>
    <n v="7"/>
    <x v="11"/>
  </r>
  <r>
    <s v=" Loneliness, a silent companion in the night, the only echo in the chamber of solitude, a heart's solitary nocturne. "/>
    <s v=" Loneliness "/>
    <x v="1"/>
    <d v="2019-09-19T03:30:00"/>
    <x v="211"/>
    <x v="125"/>
    <x v="86"/>
    <s v=" NocturnalEcho "/>
    <x v="2"/>
    <x v="2"/>
    <s v=" #Loneliness #SolitaryNocturne "/>
    <n v="18"/>
    <n v="36"/>
    <x v="15"/>
    <x v="4"/>
    <x v="3"/>
    <n v="2019"/>
    <n v="9"/>
    <n v="19"/>
    <x v="19"/>
  </r>
  <r>
    <s v="Awe-struck by the breathtaking sunrise over the mountains.      "/>
    <s v=" Awe           "/>
    <x v="0"/>
    <d v="2022-04-03T06:15:00"/>
    <x v="80"/>
    <x v="137"/>
    <x v="73"/>
    <s v=" NatureAdmirer  "/>
    <x v="1"/>
    <x v="1"/>
    <s v=" #Awe #BreathtakingSunrise                   "/>
    <n v="28"/>
    <n v="55"/>
    <x v="11"/>
    <x v="42"/>
    <x v="0"/>
    <n v="2022"/>
    <n v="4"/>
    <n v="3"/>
    <x v="17"/>
  </r>
  <r>
    <s v="Navigating through the challenges with determination.          "/>
    <s v=" Determination "/>
    <x v="0"/>
    <d v="2023-10-12T10:30:00"/>
    <x v="230"/>
    <x v="130"/>
    <x v="11"/>
    <s v=" GoalPursuer    "/>
    <x v="0"/>
    <x v="0"/>
    <s v=" #Determination #Challenges                  "/>
    <n v="15"/>
    <n v="30"/>
    <x v="0"/>
    <x v="43"/>
    <x v="1"/>
    <n v="2023"/>
    <n v="10"/>
    <n v="12"/>
    <x v="7"/>
  </r>
  <r>
    <s v="Nostalgia hits while flipping through an old photo album.     "/>
    <s v=" Nostalgia      "/>
    <x v="2"/>
    <d v="2019-06-28T19:00:00"/>
    <x v="63"/>
    <x v="88"/>
    <x v="38"/>
    <s v=" MemoryLane     "/>
    <x v="2"/>
    <x v="2"/>
    <s v=" #Nostalgia #OldMemories                     "/>
    <n v="22"/>
    <n v="45"/>
    <x v="9"/>
    <x v="44"/>
    <x v="2"/>
    <n v="2019"/>
    <n v="6"/>
    <n v="28"/>
    <x v="4"/>
  </r>
  <r>
    <s v="Thrilled to witness the grandeur of a cultural festival.       "/>
    <s v=" Thrill        "/>
    <x v="0"/>
    <d v="2020-09-15T14:45:00"/>
    <x v="231"/>
    <x v="47"/>
    <x v="6"/>
    <s v=" CultureEnthusiast "/>
    <x v="1"/>
    <x v="1"/>
    <s v=" #Thrill #CulturalCelebration              "/>
    <n v="40"/>
    <n v="80"/>
    <x v="26"/>
    <x v="45"/>
    <x v="4"/>
    <n v="2020"/>
    <n v="9"/>
    <n v="15"/>
    <x v="6"/>
  </r>
  <r>
    <s v="Calmness found in the rhythm of raindrops on the windowpane.   "/>
    <s v=" Calmness      "/>
    <x v="0"/>
    <d v="2017-11-08T21:20:00"/>
    <x v="232"/>
    <x v="84"/>
    <x v="58"/>
    <s v=" RainWatcher    "/>
    <x v="0"/>
    <x v="0"/>
    <s v=" #Calmness #RainyDays                        "/>
    <n v="18"/>
    <n v="35"/>
    <x v="8"/>
    <x v="46"/>
    <x v="3"/>
    <n v="2017"/>
    <n v="11"/>
    <n v="8"/>
    <x v="14"/>
  </r>
  <r>
    <s v="Overwhelmed by the support received during a personal challenge."/>
    <s v=" Overwhelmed   "/>
    <x v="1"/>
    <d v="2021-05-20T17:30:00"/>
    <x v="233"/>
    <x v="28"/>
    <x v="27"/>
    <s v=" PersonalJourney "/>
    <x v="2"/>
    <x v="2"/>
    <s v=" #Overwhelmed #SupportiveCommunity          "/>
    <n v="25"/>
    <n v="50"/>
    <x v="5"/>
    <x v="42"/>
    <x v="0"/>
    <n v="2021"/>
    <n v="5"/>
    <n v="20"/>
    <x v="9"/>
  </r>
  <r>
    <s v="Excitement builds as the countdown to a long-awaited vacation begins. "/>
    <s v=" Excitement "/>
    <x v="0"/>
    <d v="2023-01-10T12:00:00"/>
    <x v="130"/>
    <x v="24"/>
    <x v="23"/>
    <s v=" VacationDreamer "/>
    <x v="1"/>
    <x v="1"/>
    <s v=" #Excitement #VacationCountdown        "/>
    <n v="30"/>
    <n v="60"/>
    <x v="7"/>
    <x v="47"/>
    <x v="5"/>
    <n v="2023"/>
    <n v="1"/>
    <n v="10"/>
    <x v="0"/>
  </r>
  <r>
    <s v="Reflecting on life's journey, grateful for the lessons learned. "/>
    <s v=" Gratitude   "/>
    <x v="0"/>
    <d v="2018-12-05T08:45:00"/>
    <x v="234"/>
    <x v="1"/>
    <x v="1"/>
    <s v=" LifeLearner   "/>
    <x v="0"/>
    <x v="0"/>
    <s v=" #Gratitude #LifeLessons                    "/>
    <n v="35"/>
    <n v="70"/>
    <x v="27"/>
    <x v="48"/>
    <x v="6"/>
    <n v="2018"/>
    <n v="12"/>
    <n v="5"/>
    <x v="1"/>
  </r>
  <r>
    <s v="Bittersweet emotions arise while bidding farewell to a dear friend. "/>
    <s v=" Bittersweet "/>
    <x v="1"/>
    <d v="2020-03-15T18:30:00"/>
    <x v="235"/>
    <x v="85"/>
    <x v="36"/>
    <s v=" FarewellSender "/>
    <x v="1"/>
    <x v="1"/>
    <s v=" #Bittersweet #Farewell                     "/>
    <n v="20"/>
    <n v="40"/>
    <x v="2"/>
    <x v="49"/>
    <x v="7"/>
    <n v="2020"/>
    <n v="3"/>
    <n v="15"/>
    <x v="3"/>
  </r>
  <r>
    <s v="Curiosity sparked by exploring a mysterious ancient ruin.      "/>
    <s v=" Curiosity     "/>
    <x v="2"/>
    <d v="2016-08-22T15:10:00"/>
    <x v="236"/>
    <x v="138"/>
    <x v="94"/>
    <s v=" HistoryExplorer "/>
    <x v="2"/>
    <x v="2"/>
    <s v=" #Curiosity #AncientDiscovery          "/>
    <n v="18"/>
    <n v="35"/>
    <x v="8"/>
    <x v="50"/>
    <x v="8"/>
    <n v="2016"/>
    <n v="8"/>
    <n v="22"/>
    <x v="2"/>
  </r>
  <r>
    <s v="Admiration for the intricate details of a handcrafted masterpiece. "/>
    <s v=" Admiration    "/>
    <x v="2"/>
    <d v="2019-08-20T16:00:00"/>
    <x v="237"/>
    <x v="65"/>
    <x v="44"/>
    <s v=" CraftEnthusiast "/>
    <x v="1"/>
    <x v="1"/>
    <s v=" #Admiration #HandcraftedArt               "/>
    <n v="25"/>
    <n v="50"/>
    <x v="5"/>
    <x v="42"/>
    <x v="0"/>
    <n v="2019"/>
    <n v="8"/>
    <n v="20"/>
    <x v="12"/>
  </r>
  <r>
    <s v="Overjoyed by the warmth of a cozy fireplace on a winter evening.   "/>
    <s v=" Overjoyed     "/>
    <x v="0"/>
    <d v="2021-12-08T19:30:00"/>
    <x v="189"/>
    <x v="7"/>
    <x v="7"/>
    <s v=" WinterLover     "/>
    <x v="0"/>
    <x v="0"/>
    <s v=" #Overjoyed #WinterWarmth                  "/>
    <n v="18"/>
    <n v="35"/>
    <x v="8"/>
    <x v="43"/>
    <x v="1"/>
    <n v="2021"/>
    <n v="12"/>
    <n v="8"/>
    <x v="4"/>
  </r>
  <r>
    <s v="Inspiration strikes while observing the colors of a vibrant sunset."/>
    <s v=" Inspiration   "/>
    <x v="0"/>
    <d v="2020-06-10T20:45:00"/>
    <x v="192"/>
    <x v="93"/>
    <x v="61"/>
    <s v=" SunsetWatcher   "/>
    <x v="1"/>
    <x v="1"/>
    <s v=" #Inspiration #ColorfulSunset             "/>
    <n v="30"/>
    <n v="60"/>
    <x v="7"/>
    <x v="44"/>
    <x v="2"/>
    <n v="2020"/>
    <n v="6"/>
    <n v="10"/>
    <x v="13"/>
  </r>
  <r>
    <s v="Motivated to achieve fitness goals after an invigorating workout.  "/>
    <s v=" Motivation    "/>
    <x v="0"/>
    <d v="2022-02-28T07:15:00"/>
    <x v="220"/>
    <x v="139"/>
    <x v="95"/>
    <s v=" FitnessJunkie   "/>
    <x v="2"/>
    <x v="2"/>
    <s v=" #Motivation #FitnessGoals                 "/>
    <n v="40"/>
    <n v="80"/>
    <x v="26"/>
    <x v="46"/>
    <x v="3"/>
    <n v="2022"/>
    <n v="2"/>
    <n v="28"/>
    <x v="15"/>
  </r>
  <r>
    <s v="Gratitude for the simple joys found in a cup of morning coffee.    "/>
    <s v=" Gratitude     "/>
    <x v="0"/>
    <d v="2017-04-15T08:00:00"/>
    <x v="238"/>
    <x v="43"/>
    <x v="8"/>
    <s v=" CoffeeLover     "/>
    <x v="0"/>
    <x v="0"/>
    <s v=" #Gratitude #MorningCoffee                 "/>
    <n v="22"/>
    <n v="45"/>
    <x v="9"/>
    <x v="51"/>
    <x v="4"/>
    <n v="2017"/>
    <n v="4"/>
    <n v="15"/>
    <x v="1"/>
  </r>
  <r>
    <s v="Feeling empowered after conquering a challenging hiking trail.     "/>
    <s v=" Empowerment   "/>
    <x v="0"/>
    <d v="2018-09-05T14:20:00"/>
    <x v="112"/>
    <x v="32"/>
    <x v="29"/>
    <s v=" HikingExplorer  "/>
    <x v="1"/>
    <x v="1"/>
    <s v=" #Empowerment #HikingAdventure             "/>
    <n v="35"/>
    <n v="70"/>
    <x v="27"/>
    <x v="42"/>
    <x v="0"/>
    <n v="2018"/>
    <n v="9"/>
    <n v="5"/>
    <x v="6"/>
  </r>
  <r>
    <s v="Amused by the antics of playful kittens during playtime.           "/>
    <s v=" Amusement     "/>
    <x v="0"/>
    <d v="2022-10-22T12:45:00"/>
    <x v="239"/>
    <x v="140"/>
    <x v="96"/>
    <s v=" KittyObserver   "/>
    <x v="2"/>
    <x v="2"/>
    <s v=" #Amusement #PlayfulKittens               "/>
    <n v="15"/>
    <n v="30"/>
    <x v="0"/>
    <x v="43"/>
    <x v="1"/>
    <n v="2022"/>
    <n v="10"/>
    <n v="22"/>
    <x v="0"/>
  </r>
  <r>
    <s v="Contemplating life's mysteries under the starry night sky.         "/>
    <s v=" Contemplation "/>
    <x v="2"/>
    <d v="2016-07-02T23:30:00"/>
    <x v="240"/>
    <x v="141"/>
    <x v="97"/>
    <s v=" Stargazer       "/>
    <x v="0"/>
    <x v="0"/>
    <s v=" #Contemplation #StarryNight               "/>
    <n v="28"/>
    <n v="55"/>
    <x v="11"/>
    <x v="44"/>
    <x v="2"/>
    <n v="2016"/>
    <n v="7"/>
    <n v="2"/>
    <x v="20"/>
  </r>
  <r>
    <s v="Joyful reunion with long-lost friends after years of separation.   "/>
    <s v=" JoyfulReunion "/>
    <x v="0"/>
    <d v="2020-11-18T17:10:00"/>
    <x v="241"/>
    <x v="16"/>
    <x v="16"/>
    <s v=" FriendshipRenewal "/>
    <x v="1"/>
    <x v="1"/>
    <s v=" #JoyfulReunion #Friendship               "/>
    <n v="20"/>
    <n v="40"/>
    <x v="2"/>
    <x v="51"/>
    <x v="4"/>
    <n v="2020"/>
    <n v="11"/>
    <n v="18"/>
    <x v="9"/>
  </r>
  <r>
    <s v="Excitement builds while preparing for a surprise celebration.     "/>
    <s v=" Excitement    "/>
    <x v="0"/>
    <d v="2023-03-05T15:00:00"/>
    <x v="242"/>
    <x v="27"/>
    <x v="26"/>
    <s v=" CelebrationPlanner "/>
    <x v="2"/>
    <x v="2"/>
    <s v=" #Excitement #SurpriseCelebration         "/>
    <n v="30"/>
    <n v="60"/>
    <x v="7"/>
    <x v="46"/>
    <x v="3"/>
    <n v="2023"/>
    <n v="3"/>
    <n v="5"/>
    <x v="2"/>
  </r>
  <r>
    <s v="Satisfaction derived from successfully completing a DIY project.  "/>
    <s v=" Satisfaction  "/>
    <x v="0"/>
    <d v="2015-12-01T11:30:00"/>
    <x v="243"/>
    <x v="64"/>
    <x v="18"/>
    <s v=" DIYEnthusiast   "/>
    <x v="0"/>
    <x v="0"/>
    <s v=" #Satisfaction #DIYProject                 "/>
    <n v="25"/>
    <n v="50"/>
    <x v="5"/>
    <x v="42"/>
    <x v="0"/>
    <n v="2015"/>
    <n v="12"/>
    <n v="1"/>
    <x v="11"/>
  </r>
  <r>
    <s v="Feeling blessed for the supportive community in times of need.    "/>
    <s v=" Blessed       "/>
    <x v="0"/>
    <d v="2021-09-10T09:45:00"/>
    <x v="151"/>
    <x v="14"/>
    <x v="14"/>
    <s v=" CommunityHelper "/>
    <x v="1"/>
    <x v="1"/>
    <s v=" #Blessed #SupportiveCommunity            "/>
    <n v="18"/>
    <n v="35"/>
    <x v="8"/>
    <x v="44"/>
    <x v="2"/>
    <n v="2021"/>
    <n v="9"/>
    <n v="10"/>
    <x v="5"/>
  </r>
  <r>
    <s v="Captivated by the serenity of a tranquil garden in full bloom.     "/>
    <s v=" Serenity      "/>
    <x v="0"/>
    <d v="2018-05-12T14:20:00"/>
    <x v="244"/>
    <x v="32"/>
    <x v="29"/>
    <s v=" GardenEnthusiast "/>
    <x v="2"/>
    <x v="2"/>
    <s v=" #Serenity #TranquilGarden                "/>
    <n v="22"/>
    <n v="45"/>
    <x v="9"/>
    <x v="43"/>
    <x v="1"/>
    <n v="2018"/>
    <n v="5"/>
    <n v="12"/>
    <x v="6"/>
  </r>
  <r>
    <s v="Anticipation for an upcoming adventure in an exotic destination.   "/>
    <s v=" Anticipation  "/>
    <x v="2"/>
    <d v="2022-07-25T10:00:00"/>
    <x v="245"/>
    <x v="61"/>
    <x v="42"/>
    <s v=" Wanderlust      "/>
    <x v="0"/>
    <x v="0"/>
    <s v=" #Anticipation #AdventureAwaits           "/>
    <n v="40"/>
    <n v="80"/>
    <x v="26"/>
    <x v="51"/>
    <x v="4"/>
    <n v="2022"/>
    <n v="7"/>
    <n v="25"/>
    <x v="7"/>
  </r>
  <r>
    <s v="Reflecting on personal growth achieved through life experiences.  "/>
    <s v=" Reflection    "/>
    <x v="2"/>
    <d v="2019-03-08T18:30:00"/>
    <x v="199"/>
    <x v="40"/>
    <x v="36"/>
    <s v=" GrowthSeeker    "/>
    <x v="1"/>
    <x v="1"/>
    <s v=" #Reflection #PersonalGrowth              "/>
    <n v="35"/>
    <n v="70"/>
    <x v="27"/>
    <x v="42"/>
    <x v="0"/>
    <n v="2019"/>
    <n v="3"/>
    <n v="8"/>
    <x v="3"/>
  </r>
  <r>
    <s v="Nostalgic memories flood in while revisiting childhood favorites. "/>
    <s v=" Nostalgia     "/>
    <x v="2"/>
    <d v="2017-01-28T21:15:00"/>
    <x v="246"/>
    <x v="59"/>
    <x v="41"/>
    <s v=" ChildhoodMemories "/>
    <x v="2"/>
    <x v="2"/>
    <s v=" #Nostalgia #ChildhoodFavorites           "/>
    <n v="20"/>
    <n v="40"/>
    <x v="2"/>
    <x v="46"/>
    <x v="3"/>
    <n v="2017"/>
    <n v="1"/>
    <n v="28"/>
    <x v="14"/>
  </r>
  <r>
    <s v="Appreciation for the vibrant culture experienced during travel.   "/>
    <s v=" Appreciation  "/>
    <x v="0"/>
    <d v="2016-11-14T13:45:00"/>
    <x v="247"/>
    <x v="95"/>
    <x v="62"/>
    <s v=" CultureExplorer "/>
    <x v="0"/>
    <x v="0"/>
    <s v=" #Appreciation #CulturalExperience        "/>
    <n v="28"/>
    <n v="55"/>
    <x v="11"/>
    <x v="44"/>
    <x v="2"/>
    <n v="2016"/>
    <n v="11"/>
    <n v="14"/>
    <x v="8"/>
  </r>
  <r>
    <s v="Confidence soars after overcoming public speaking anxiety.       "/>
    <s v=" Confidence    "/>
    <x v="0"/>
    <d v="2020-04-02T17:30:00"/>
    <x v="52"/>
    <x v="91"/>
    <x v="27"/>
    <s v=" PublicSpeaker   "/>
    <x v="1"/>
    <x v="1"/>
    <s v=" #Confidence #OvercomingAnxiety          "/>
    <n v="15"/>
    <n v="30"/>
    <x v="0"/>
    <x v="42"/>
    <x v="0"/>
    <n v="2020"/>
    <n v="4"/>
    <n v="2"/>
    <x v="9"/>
  </r>
  <r>
    <s v="Contentment in the midst of a family gathering filled with laughter. "/>
    <s v=" Contentment   "/>
    <x v="0"/>
    <d v="2023-01-15T19:00:00"/>
    <x v="0"/>
    <x v="42"/>
    <x v="38"/>
    <s v=" FamilyCelebration "/>
    <x v="2"/>
    <x v="2"/>
    <s v=" #Contentment #FamilyLaughter             "/>
    <n v="25"/>
    <n v="50"/>
    <x v="5"/>
    <x v="43"/>
    <x v="1"/>
    <n v="2023"/>
    <n v="1"/>
    <n v="15"/>
    <x v="4"/>
  </r>
  <r>
    <s v="Enthusiasm for learning new skills and expanding knowledge.      "/>
    <s v=" Enthusiasm    "/>
    <x v="0"/>
    <d v="2018-08-07T12:15:00"/>
    <x v="248"/>
    <x v="101"/>
    <x v="64"/>
    <s v=" LifelongLearner "/>
    <x v="0"/>
    <x v="0"/>
    <s v=" #Enthusiasm #SkillBuilding               "/>
    <n v="30"/>
    <n v="60"/>
    <x v="7"/>
    <x v="51"/>
    <x v="4"/>
    <n v="2018"/>
    <n v="8"/>
    <n v="7"/>
    <x v="0"/>
  </r>
  <r>
    <s v="Surprise and delight at discovering a hidden gem in the city.    "/>
    <s v=" Surprise      "/>
    <x v="2"/>
    <d v="2019-10-18T16:45:00"/>
    <x v="155"/>
    <x v="142"/>
    <x v="20"/>
    <s v=" CityExplorer    "/>
    <x v="1"/>
    <x v="1"/>
    <s v=" #Surprise #HiddenGem                      "/>
    <n v="18"/>
    <n v="35"/>
    <x v="8"/>
    <x v="44"/>
    <x v="2"/>
    <n v="2019"/>
    <n v="10"/>
    <n v="18"/>
    <x v="12"/>
  </r>
  <r>
    <s v="A sense of accomplishment after completing a challenging workout."/>
    <s v=" Accomplishment "/>
    <x v="0"/>
    <d v="2022-06-30T07:00:00"/>
    <x v="249"/>
    <x v="143"/>
    <x v="98"/>
    <s v=" FitnessAchiever "/>
    <x v="2"/>
    <x v="2"/>
    <s v=" #Accomplishment #FitnessSuccess         "/>
    <n v="22"/>
    <n v="45"/>
    <x v="9"/>
    <x v="46"/>
    <x v="3"/>
    <n v="2022"/>
    <n v="6"/>
    <n v="30"/>
    <x v="15"/>
  </r>
  <r>
    <s v="Wonderment at the beauty of a double rainbow after the rain.     "/>
    <s v=" Wonderment    "/>
    <x v="0"/>
    <d v="2017-06-12T18:20:00"/>
    <x v="250"/>
    <x v="60"/>
    <x v="3"/>
    <s v=" RainbowChaser   "/>
    <x v="0"/>
    <x v="0"/>
    <s v=" #Wonderment #DoubleRainbow               "/>
    <n v="35"/>
    <n v="70"/>
    <x v="27"/>
    <x v="42"/>
    <x v="0"/>
    <n v="2017"/>
    <n v="6"/>
    <n v="12"/>
    <x v="3"/>
  </r>
  <r>
    <s v="Optimism for a bright future amidst challenging times.           "/>
    <s v=" Optimism      "/>
    <x v="0"/>
    <d v="2021-07-05T09:30:00"/>
    <x v="251"/>
    <x v="45"/>
    <x v="40"/>
    <s v=" FutureOptimist  "/>
    <x v="1"/>
    <x v="1"/>
    <s v=" #Optimism #BrightFuture                  "/>
    <n v="20"/>
    <n v="40"/>
    <x v="2"/>
    <x v="43"/>
    <x v="1"/>
    <n v="2021"/>
    <n v="7"/>
    <n v="5"/>
    <x v="5"/>
  </r>
  <r>
    <s v="Pride in achieving a personal milestone in career progression.   "/>
    <s v=" Pride         "/>
    <x v="0"/>
    <d v="2016-04-15T14:50:00"/>
    <x v="252"/>
    <x v="127"/>
    <x v="12"/>
    <s v=" CareerAchiever  "/>
    <x v="2"/>
    <x v="2"/>
    <s v=" #Pride #CareerMilestone                  "/>
    <n v="28"/>
    <n v="55"/>
    <x v="11"/>
    <x v="44"/>
    <x v="2"/>
    <n v="2016"/>
    <n v="4"/>
    <n v="15"/>
    <x v="6"/>
  </r>
  <r>
    <s v="Happiness blooms like flowers in a garden on a sunny day.        "/>
    <s v=" Happiness     "/>
    <x v="0"/>
    <d v="2020-02-10T11:15:00"/>
    <x v="253"/>
    <x v="144"/>
    <x v="92"/>
    <s v=" SunnyDayEnthusiast "/>
    <x v="0"/>
    <x v="0"/>
    <s v=" #Happiness #SunnyDay                      "/>
    <n v="15"/>
    <n v="30"/>
    <x v="0"/>
    <x v="51"/>
    <x v="4"/>
    <n v="2020"/>
    <n v="2"/>
    <n v="10"/>
    <x v="11"/>
  </r>
  <r>
    <s v="Elation over discovering a rare book in a quaint bookstore.      "/>
    <s v=" Elation       "/>
    <x v="0"/>
    <d v="2018-09-22T16:30:00"/>
    <x v="254"/>
    <x v="77"/>
    <x v="54"/>
    <s v=" Bookworm        "/>
    <x v="1"/>
    <x v="1"/>
    <s v=" #Elation #RareBookDiscovery              "/>
    <n v="40"/>
    <n v="80"/>
    <x v="26"/>
    <x v="42"/>
    <x v="0"/>
    <n v="2018"/>
    <n v="9"/>
    <n v="22"/>
    <x v="12"/>
  </r>
  <r>
    <s v="Curiosity piqued by the mysteries of an ancient archaeological site."/>
    <s v=" Curiosity   "/>
    <x v="2"/>
    <d v="2015-11-08T10:00:00"/>
    <x v="255"/>
    <x v="48"/>
    <x v="42"/>
    <s v=" ArchaeologyEnthusiast "/>
    <x v="2"/>
    <x v="2"/>
    <s v=" #Curiosity #AncientMysteries            "/>
    <n v="18"/>
    <n v="35"/>
    <x v="8"/>
    <x v="46"/>
    <x v="3"/>
    <n v="2015"/>
    <n v="11"/>
    <n v="8"/>
    <x v="7"/>
  </r>
  <r>
    <s v="Mesmerized by the cosmic dance of fireflies on a moonlit night.    "/>
    <s v=" Enchantment   "/>
    <x v="0"/>
    <d v="2022-08-10T22:00:00"/>
    <x v="256"/>
    <x v="145"/>
    <x v="70"/>
    <s v=" NightSkyObserver "/>
    <x v="1"/>
    <x v="1"/>
    <s v=" #Enchantment #CosmicFireflies             "/>
    <n v="25"/>
    <n v="50"/>
    <x v="5"/>
    <x v="52"/>
    <x v="6"/>
    <n v="2022"/>
    <n v="8"/>
    <n v="10"/>
    <x v="16"/>
  </r>
  <r>
    <s v="Intrigued by the symphony of colors in an abstract art exhibition. "/>
    <s v=" Intrigue      "/>
    <x v="0"/>
    <d v="2019-04-05T17:30:00"/>
    <x v="257"/>
    <x v="28"/>
    <x v="27"/>
    <s v=" ArtConnoisseur  "/>
    <x v="0"/>
    <x v="0"/>
    <s v=" #Intrigue #AbstractArt                   "/>
    <n v="18"/>
    <n v="35"/>
    <x v="8"/>
    <x v="53"/>
    <x v="5"/>
    <n v="2019"/>
    <n v="4"/>
    <n v="5"/>
    <x v="9"/>
  </r>
  <r>
    <s v="Giggles and joy echo in the air during a children's playdate.      "/>
    <s v=" PlayfulJoy    "/>
    <x v="0"/>
    <d v="2020-12-15T15:45:00"/>
    <x v="258"/>
    <x v="39"/>
    <x v="2"/>
    <s v=" PlayfulParent   "/>
    <x v="2"/>
    <x v="2"/>
    <s v=" #PlayfulJoy #ChildrensPlaydate           "/>
    <n v="22"/>
    <n v="45"/>
    <x v="9"/>
    <x v="54"/>
    <x v="7"/>
    <n v="2020"/>
    <n v="12"/>
    <n v="15"/>
    <x v="2"/>
  </r>
  <r>
    <s v="Enveloped in serenity while practicing mindfulness by the lake.    "/>
    <s v=" Mindfulness   "/>
    <x v="0"/>
    <d v="2017-10-20T08:15:00"/>
    <x v="259"/>
    <x v="96"/>
    <x v="63"/>
    <s v=" ZenSeeker       "/>
    <x v="1"/>
    <x v="1"/>
    <s v=" #Mindfulness #LakeTranquility            "/>
    <n v="35"/>
    <n v="70"/>
    <x v="27"/>
    <x v="55"/>
    <x v="1"/>
    <n v="2017"/>
    <n v="10"/>
    <n v="20"/>
    <x v="1"/>
  </r>
  <r>
    <s v="Chasing dreams like a kite soaring high in the vast open sky.      "/>
    <s v=" DreamChaser   "/>
    <x v="2"/>
    <d v="2021-02-28T13:00:00"/>
    <x v="208"/>
    <x v="116"/>
    <x v="78"/>
    <s v=" SkyDreamer      "/>
    <x v="0"/>
    <x v="0"/>
    <s v=" #DreamChaser #SkyHighDreams              "/>
    <n v="30"/>
    <n v="60"/>
    <x v="7"/>
    <x v="56"/>
    <x v="3"/>
    <n v="2021"/>
    <n v="2"/>
    <n v="28"/>
    <x v="8"/>
  </r>
  <r>
    <s v="Spellbound by the elegance of a ballroom dance under crystal chandeliers. "/>
    <s v=" Elegance "/>
    <x v="0"/>
    <d v="2018-06-12T20:30:00"/>
    <x v="260"/>
    <x v="66"/>
    <x v="45"/>
    <s v=" DanceEnthusiast "/>
    <x v="2"/>
    <x v="2"/>
    <s v=" #Elegance #BallroomDance                "/>
    <n v="28"/>
    <n v="55"/>
    <x v="11"/>
    <x v="57"/>
    <x v="2"/>
    <n v="2018"/>
    <n v="6"/>
    <n v="12"/>
    <x v="13"/>
  </r>
  <r>
    <s v="Whimsical delight in a world of fairy tales and magical creatures.  "/>
    <s v=" Whimsy        "/>
    <x v="0"/>
    <d v="2016-03-08T14:20:00"/>
    <x v="261"/>
    <x v="50"/>
    <x v="29"/>
    <s v=" FairyTaleExplorer "/>
    <x v="1"/>
    <x v="1"/>
    <s v=" #Whimsy #MagicalWorld                    "/>
    <n v="20"/>
    <n v="40"/>
    <x v="2"/>
    <x v="58"/>
    <x v="0"/>
    <n v="2016"/>
    <n v="3"/>
    <n v="8"/>
    <x v="6"/>
  </r>
  <r>
    <s v="Pensive contemplation amid the ancient ruins of a forgotten civilization. "/>
    <s v=" Pensive "/>
    <x v="2"/>
    <d v="2023-04-18T17:10:00"/>
    <x v="262"/>
    <x v="146"/>
    <x v="16"/>
    <s v=" RuinsExplorer   "/>
    <x v="0"/>
    <x v="0"/>
    <s v=" #Pensive #AncientCivilization           "/>
    <n v="18"/>
    <n v="35"/>
    <x v="8"/>
    <x v="59"/>
    <x v="8"/>
    <n v="2023"/>
    <n v="4"/>
    <n v="18"/>
    <x v="9"/>
  </r>
  <r>
    <s v="Embracing the thrill of speed on a rollercoaster's exhilarating twists. "/>
    <s v=" Thrill      "/>
    <x v="0"/>
    <d v="2020-07-25T12:45:00"/>
    <x v="263"/>
    <x v="147"/>
    <x v="96"/>
    <s v=" RollercoasterFan "/>
    <x v="2"/>
    <x v="2"/>
    <s v=" #Thrill #RollercoasterAdventure        "/>
    <n v="22"/>
    <n v="45"/>
    <x v="9"/>
    <x v="60"/>
    <x v="9"/>
    <n v="2020"/>
    <n v="7"/>
    <n v="25"/>
    <x v="0"/>
  </r>
  <r>
    <s v="Harmony resonates as musicians play a melody of unity and togetherness. "/>
    <s v=" Harmony    "/>
    <x v="0"/>
    <d v="2019-11-30T19:30:00"/>
    <x v="264"/>
    <x v="62"/>
    <x v="7"/>
    <s v=" MusicHarmonist  "/>
    <x v="1"/>
    <x v="1"/>
    <s v=" #Harmony #MusicalUnity                   "/>
    <n v="35"/>
    <n v="70"/>
    <x v="27"/>
    <x v="61"/>
    <x v="10"/>
    <n v="2019"/>
    <n v="11"/>
    <n v="30"/>
    <x v="4"/>
  </r>
  <r>
    <s v="A burst of creativity in the quiet solitude of an artist's studio.  "/>
    <s v=" Creativity   "/>
    <x v="0"/>
    <d v="2015-09-01T16:00:00"/>
    <x v="265"/>
    <x v="51"/>
    <x v="44"/>
    <s v=" StudioArtist    "/>
    <x v="0"/>
    <x v="0"/>
    <s v=" #Creativity #ArtistsHaven               "/>
    <n v="15"/>
    <n v="30"/>
    <x v="0"/>
    <x v="62"/>
    <x v="11"/>
    <n v="2015"/>
    <n v="9"/>
    <n v="1"/>
    <x v="12"/>
  </r>
  <r>
    <s v="Radiant joy akin to blooming flowers on a sun-kissed spring morning. "/>
    <s v=" Radiance    "/>
    <x v="0"/>
    <d v="2022-05-05T10:15:00"/>
    <x v="266"/>
    <x v="148"/>
    <x v="59"/>
    <s v=" SpringEnthusiast "/>
    <x v="2"/>
    <x v="2"/>
    <s v=" #Radiance #SpringBlooms                 "/>
    <n v="25"/>
    <n v="50"/>
    <x v="5"/>
    <x v="63"/>
    <x v="12"/>
    <n v="2022"/>
    <n v="5"/>
    <n v="5"/>
    <x v="7"/>
  </r>
  <r>
    <s v="A sense of wonder at the vastness of the cosmos on a stargazing night. "/>
    <s v=" Wonder     "/>
    <x v="0"/>
    <d v="2018-07-08T23:00:00"/>
    <x v="267"/>
    <x v="126"/>
    <x v="87"/>
    <s v=" CosmosExplorer  "/>
    <x v="1"/>
    <x v="1"/>
    <s v=" #Wonder #StargazingAdventure            "/>
    <n v="40"/>
    <n v="80"/>
    <x v="26"/>
    <x v="64"/>
    <x v="13"/>
    <n v="2018"/>
    <n v="7"/>
    <n v="8"/>
    <x v="20"/>
  </r>
  <r>
    <s v="Rejuvenated by the salty breeze and the sound of waves at the seaside. "/>
    <s v=" Rejuvenation "/>
    <x v="0"/>
    <d v="2021-09-20T14:30:00"/>
    <x v="268"/>
    <x v="72"/>
    <x v="22"/>
    <s v=" SeaBreezeLover "/>
    <x v="0"/>
    <x v="0"/>
    <s v=" #Rejuvenation #SeasideEscape            "/>
    <n v="18"/>
    <n v="35"/>
    <x v="8"/>
    <x v="65"/>
    <x v="14"/>
    <n v="2021"/>
    <n v="9"/>
    <n v="20"/>
    <x v="6"/>
  </r>
  <r>
    <s v="Whispers of inspiration from the rustling leaves in a serene forest. "/>
    <s v=" Inspiration "/>
    <x v="0"/>
    <d v="2016-11-15T11:45:00"/>
    <x v="269"/>
    <x v="97"/>
    <x v="55"/>
    <s v=" ForestDreamer   "/>
    <x v="2"/>
    <x v="2"/>
    <s v=" #Inspiration #ForestWhispers            "/>
    <n v="28"/>
    <n v="55"/>
    <x v="11"/>
    <x v="66"/>
    <x v="15"/>
    <n v="2016"/>
    <n v="11"/>
    <n v="15"/>
    <x v="11"/>
  </r>
  <r>
    <s v="Savoring the warmth of a cup of cocoa on a chilly winter evening.   "/>
    <s v=" Coziness     "/>
    <x v="2"/>
    <d v="2020-01-12T18:00:00"/>
    <x v="270"/>
    <x v="13"/>
    <x v="13"/>
    <s v=" WinterWarmth    "/>
    <x v="1"/>
    <x v="1"/>
    <s v=" #Coziness #WarmWinterEvening           "/>
    <n v="30"/>
    <n v="60"/>
    <x v="7"/>
    <x v="67"/>
    <x v="16"/>
    <n v="2020"/>
    <n v="1"/>
    <n v="12"/>
    <x v="3"/>
  </r>
  <r>
    <s v="Heartfelt gratitude for the laughter shared during a family reunion. "/>
    <s v=" Gratitude  "/>
    <x v="0"/>
    <d v="2017-12-28T19:15:00"/>
    <x v="271"/>
    <x v="75"/>
    <x v="52"/>
    <s v=" FamilyGatherer "/>
    <x v="2"/>
    <x v="2"/>
    <s v=" #Gratitude #FamilyLaughter              "/>
    <n v="22"/>
    <n v="45"/>
    <x v="9"/>
    <x v="68"/>
    <x v="17"/>
    <n v="2017"/>
    <n v="12"/>
    <n v="28"/>
    <x v="4"/>
  </r>
  <r>
    <s v="Embarking on a culinary adventure, savoring exotic flavors around the world. "/>
    <s v=" Adventure "/>
    <x v="0"/>
    <d v="2019-03-02T20:20:00"/>
    <x v="272"/>
    <x v="80"/>
    <x v="35"/>
    <s v=" CulinaryExplorer "/>
    <x v="0"/>
    <x v="0"/>
    <s v=" #Adventure #CulinaryJourney             "/>
    <n v="35"/>
    <n v="70"/>
    <x v="27"/>
    <x v="69"/>
    <x v="18"/>
    <n v="2019"/>
    <n v="3"/>
    <n v="2"/>
    <x v="13"/>
  </r>
  <r>
    <s v="Euphoria floods in as the final puzzle piece clicks into place.       "/>
    <s v=" Euphoria   "/>
    <x v="0"/>
    <d v="2022-06-08T15:30:00"/>
    <x v="273"/>
    <x v="78"/>
    <x v="49"/>
    <s v=" PuzzleSolver    "/>
    <x v="1"/>
    <x v="1"/>
    <s v=" #Euphoria #PuzzleCompletion            "/>
    <n v="20"/>
    <n v="40"/>
    <x v="2"/>
    <x v="70"/>
    <x v="19"/>
    <n v="2022"/>
    <n v="6"/>
    <n v="8"/>
    <x v="2"/>
  </r>
  <r>
    <s v="Awe-inspired by the grandeur of an ancient cathedral's intricate architecture. "/>
    <s v=" Awe    "/>
    <x v="0"/>
    <d v="2018-08-18T14:45:00"/>
    <x v="219"/>
    <x v="6"/>
    <x v="6"/>
    <s v=" CathedralVisitor "/>
    <x v="2"/>
    <x v="2"/>
    <s v=" #Awe #ArchitecturalGrandeur            "/>
    <n v="18"/>
    <n v="35"/>
    <x v="8"/>
    <x v="71"/>
    <x v="20"/>
    <n v="2018"/>
    <n v="8"/>
    <n v="18"/>
    <x v="6"/>
  </r>
  <r>
    <s v="Captivated by the ethereal beauty of a field filled with fireflies. "/>
    <s v=" Enchantment   "/>
    <x v="0"/>
    <d v="2022-08-10T22:00:00"/>
    <x v="256"/>
    <x v="145"/>
    <x v="70"/>
    <s v=" NightSkyObserver "/>
    <x v="1"/>
    <x v="1"/>
    <s v=" #Enchantment #FireflyField              "/>
    <n v="25"/>
    <n v="50"/>
    <x v="5"/>
    <x v="52"/>
    <x v="6"/>
    <n v="2022"/>
    <n v="8"/>
    <n v="10"/>
    <x v="16"/>
  </r>
  <r>
    <s v="Immersed in the enchanting melodies of a street musician's violin. "/>
    <s v=" Melodic       "/>
    <x v="0"/>
    <d v="2019-04-05T17:30:00"/>
    <x v="257"/>
    <x v="28"/>
    <x v="27"/>
    <s v=" MusicLover      "/>
    <x v="0"/>
    <x v="0"/>
    <s v=" #Melodic #StreetMusic                   "/>
    <n v="18"/>
    <n v="35"/>
    <x v="8"/>
    <x v="53"/>
    <x v="5"/>
    <n v="2019"/>
    <n v="4"/>
    <n v="5"/>
    <x v="9"/>
  </r>
  <r>
    <s v="Joyful laughter resonates through a lively summer carnival.         "/>
    <s v=" FestiveJoy    "/>
    <x v="0"/>
    <d v="2020-12-15T15:45:00"/>
    <x v="258"/>
    <x v="39"/>
    <x v="2"/>
    <s v=" CarnivalGoer    "/>
    <x v="2"/>
    <x v="2"/>
    <s v=" #FestiveJoy #SummerCarnival             "/>
    <n v="22"/>
    <n v="45"/>
    <x v="9"/>
    <x v="54"/>
    <x v="7"/>
    <n v="2020"/>
    <n v="12"/>
    <n v="15"/>
    <x v="2"/>
  </r>
  <r>
    <s v="Exploring the universe within during a mindful meditation session. "/>
    <s v=" InnerJourney  "/>
    <x v="2"/>
    <d v="2017-10-20T08:15:00"/>
    <x v="259"/>
    <x v="96"/>
    <x v="63"/>
    <s v=" MindfulExplorer "/>
    <x v="1"/>
    <x v="1"/>
    <s v=" #InnerJourney #MeditationBliss          "/>
    <n v="35"/>
    <n v="70"/>
    <x v="27"/>
    <x v="55"/>
    <x v="1"/>
    <n v="2017"/>
    <n v="10"/>
    <n v="20"/>
    <x v="1"/>
  </r>
  <r>
    <s v="Soaring like a free spirit on the winds of a coastal cliff.        "/>
    <s v=" Freedom       "/>
    <x v="0"/>
    <d v="2021-02-28T13:00:00"/>
    <x v="208"/>
    <x v="116"/>
    <x v="78"/>
    <s v=" CoastalExplorer "/>
    <x v="0"/>
    <x v="0"/>
    <s v=" #Freedom #CoastalAdventure              "/>
    <n v="30"/>
    <n v="60"/>
    <x v="7"/>
    <x v="56"/>
    <x v="3"/>
    <n v="2021"/>
    <n v="2"/>
    <n v="28"/>
    <x v="8"/>
  </r>
  <r>
    <s v="Dazzled by the elegance of a masquerade ball's dazzling costumes. "/>
    <s v=" Dazzle        "/>
    <x v="0"/>
    <d v="2018-06-12T20:30:00"/>
    <x v="260"/>
    <x v="66"/>
    <x v="45"/>
    <s v=" MasqueradeAttendee "/>
    <x v="2"/>
    <x v="2"/>
    <s v=" #Dazzle #MasqueradeElegance            "/>
    <n v="28"/>
    <n v="55"/>
    <x v="11"/>
    <x v="57"/>
    <x v="2"/>
    <n v="2018"/>
    <n v="6"/>
    <n v="12"/>
    <x v="13"/>
  </r>
  <r>
    <s v="Whimsical delight in a world of whimsical fairy tales.             "/>
    <s v=" Whimsy        "/>
    <x v="0"/>
    <d v="2016-03-08T14:20:00"/>
    <x v="261"/>
    <x v="50"/>
    <x v="29"/>
    <s v=" FairyTaleAdventurer "/>
    <x v="1"/>
    <x v="1"/>
    <s v=" #Whimsy #FairyTaleMagic                 "/>
    <n v="20"/>
    <n v="40"/>
    <x v="2"/>
    <x v="58"/>
    <x v="0"/>
    <n v="2016"/>
    <n v="3"/>
    <n v="8"/>
    <x v="6"/>
  </r>
  <r>
    <s v="Reflective contemplation amid the ruins of a forgotten era.        "/>
    <s v=" Reflection    "/>
    <x v="2"/>
    <d v="2023-04-18T17:10:00"/>
    <x v="262"/>
    <x v="146"/>
    <x v="16"/>
    <s v=" RuinsExplorer   "/>
    <x v="0"/>
    <x v="0"/>
    <s v=" #Reflection #ForgottenEra               "/>
    <n v="18"/>
    <n v="35"/>
    <x v="8"/>
    <x v="59"/>
    <x v="8"/>
    <n v="2023"/>
    <n v="4"/>
    <n v="18"/>
    <x v="9"/>
  </r>
  <r>
    <s v="Riding the adrenaline rush on a rollercoaster's wild twists.      "/>
    <s v=" Adrenaline     "/>
    <x v="0"/>
    <d v="2020-07-25T12:45:00"/>
    <x v="263"/>
    <x v="147"/>
    <x v="96"/>
    <s v=" ThrillSeeker    "/>
    <x v="2"/>
    <x v="2"/>
    <s v=" #Adrenaline #RollercoasterThrills      "/>
    <n v="22"/>
    <n v="45"/>
    <x v="9"/>
    <x v="60"/>
    <x v="9"/>
    <n v="2020"/>
    <n v="7"/>
    <n v="25"/>
    <x v="0"/>
  </r>
  <r>
    <s v="Harmony resonates as musicians play a symphony of unity.           "/>
    <s v=" Harmony       "/>
    <x v="0"/>
    <d v="2019-11-30T19:30:00"/>
    <x v="264"/>
    <x v="62"/>
    <x v="7"/>
    <s v=" MusicHarmonist  "/>
    <x v="1"/>
    <x v="1"/>
    <s v=" #Harmony #MusicalUnity                   "/>
    <n v="35"/>
    <n v="70"/>
    <x v="27"/>
    <x v="61"/>
    <x v="10"/>
    <n v="2019"/>
    <n v="11"/>
    <n v="30"/>
    <x v="4"/>
  </r>
  <r>
    <s v="A burst of artistic creativity in the quietude of an artist's studio. "/>
    <s v=" ArtisticBurst "/>
    <x v="0"/>
    <d v="2015-09-01T16:00:00"/>
    <x v="265"/>
    <x v="51"/>
    <x v="44"/>
    <s v=" StudioArtist    "/>
    <x v="0"/>
    <x v="0"/>
    <s v=" #ArtisticBurst #StudioCreativity       "/>
    <n v="15"/>
    <n v="30"/>
    <x v="0"/>
    <x v="62"/>
    <x v="11"/>
    <n v="2015"/>
    <n v="9"/>
    <n v="1"/>
    <x v="12"/>
  </r>
  <r>
    <s v="Radiant joy akin to blossoming flowers on a sunlit spring morning. "/>
    <s v=" Radiance      "/>
    <x v="0"/>
    <d v="2022-05-05T10:15:00"/>
    <x v="266"/>
    <x v="148"/>
    <x v="59"/>
    <s v=" SpringEnthusiast "/>
    <x v="2"/>
    <x v="2"/>
    <s v=" #Radiance #SpringBlooms                 "/>
    <n v="25"/>
    <n v="50"/>
    <x v="5"/>
    <x v="63"/>
    <x v="12"/>
    <n v="2022"/>
    <n v="5"/>
    <n v="5"/>
    <x v="7"/>
  </r>
  <r>
    <s v="Awe-inspired by the vastness of the cosmos on a stargazing night.   "/>
    <s v=" Wonder       "/>
    <x v="0"/>
    <d v="2018-07-08T23:00:00"/>
    <x v="267"/>
    <x v="126"/>
    <x v="87"/>
    <s v=" CosmosExplorer  "/>
    <x v="1"/>
    <x v="1"/>
    <s v=" #Wonder #StargazingAdventure            "/>
    <n v="40"/>
    <n v="80"/>
    <x v="26"/>
    <x v="64"/>
    <x v="13"/>
    <n v="2018"/>
    <n v="7"/>
    <n v="8"/>
    <x v="20"/>
  </r>
  <r>
    <s v="Rejuvenated by the salty breeze and the sound of waves at the seaside. "/>
    <s v=" Rejuvenation "/>
    <x v="0"/>
    <d v="2021-09-20T14:30:00"/>
    <x v="268"/>
    <x v="72"/>
    <x v="22"/>
    <s v=" SeaBreezeLover "/>
    <x v="0"/>
    <x v="0"/>
    <s v=" #Rejuvenation #SeasideEscape            "/>
    <n v="18"/>
    <n v="35"/>
    <x v="8"/>
    <x v="65"/>
    <x v="14"/>
    <n v="2021"/>
    <n v="9"/>
    <n v="20"/>
    <x v="6"/>
  </r>
  <r>
    <s v="Whispers of inspiration from the rustling leaves in a serene forest. "/>
    <s v=" Inspiration  "/>
    <x v="0"/>
    <d v="2016-11-15T11:45:00"/>
    <x v="269"/>
    <x v="97"/>
    <x v="55"/>
    <s v=" ForestDreamer   "/>
    <x v="2"/>
    <x v="2"/>
    <s v=" #Inspiration #ForestWhispers            "/>
    <n v="28"/>
    <n v="55"/>
    <x v="11"/>
    <x v="66"/>
    <x v="15"/>
    <n v="2016"/>
    <n v="11"/>
    <n v="15"/>
    <x v="11"/>
  </r>
  <r>
    <s v="Savoring the warmth of a cup of cocoa on a chilly winter evening.   "/>
    <s v=" Coziness     "/>
    <x v="2"/>
    <d v="2020-01-12T18:00:00"/>
    <x v="270"/>
    <x v="13"/>
    <x v="13"/>
    <s v=" WinterWarmth    "/>
    <x v="1"/>
    <x v="1"/>
    <s v=" #Coziness #WarmWinterEvening           "/>
    <n v="30"/>
    <n v="60"/>
    <x v="7"/>
    <x v="67"/>
    <x v="16"/>
    <n v="2020"/>
    <n v="1"/>
    <n v="12"/>
    <x v="3"/>
  </r>
  <r>
    <s v="Heartfelt gratitude for the laughter shared during a family reunion. "/>
    <s v=" Gratitude  "/>
    <x v="0"/>
    <d v="2017-12-28T19:15:00"/>
    <x v="271"/>
    <x v="75"/>
    <x v="52"/>
    <s v=" FamilyGatherer "/>
    <x v="2"/>
    <x v="2"/>
    <s v=" #Gratitude #FamilyLaughter              "/>
    <n v="22"/>
    <n v="45"/>
    <x v="9"/>
    <x v="68"/>
    <x v="17"/>
    <n v="2017"/>
    <n v="12"/>
    <n v="28"/>
    <x v="4"/>
  </r>
  <r>
    <s v="Embarking on a culinary odyssey, savoring flavors around the world. "/>
    <s v=" CulinaryOdyssey "/>
    <x v="2"/>
    <d v="2019-03-02T20:20:00"/>
    <x v="272"/>
    <x v="80"/>
    <x v="35"/>
    <s v=" CulinaryExplorer "/>
    <x v="0"/>
    <x v="0"/>
    <s v=" #CulinaryOdyssey #FlavorsAroundTheWorld "/>
    <n v="35"/>
    <n v="70"/>
    <x v="27"/>
    <x v="69"/>
    <x v="18"/>
    <n v="2019"/>
    <n v="3"/>
    <n v="2"/>
    <x v="13"/>
  </r>
  <r>
    <s v="Euphoria floods in as the final puzzle piece fits perfectly.       "/>
    <s v=" Euphoria     "/>
    <x v="0"/>
    <d v="2022-06-08T15:30:00"/>
    <x v="273"/>
    <x v="78"/>
    <x v="49"/>
    <s v=" PuzzleSolver    "/>
    <x v="1"/>
    <x v="1"/>
    <s v=" #Euphoria #PerfectPuzzle               "/>
    <n v="20"/>
    <n v="40"/>
    <x v="2"/>
    <x v="70"/>
    <x v="19"/>
    <n v="2022"/>
    <n v="6"/>
    <n v="8"/>
    <x v="2"/>
  </r>
  <r>
    <s v="Awe-struck by the grandeur of an ancient cathedral's intricate architecture. "/>
    <s v=" Awe    "/>
    <x v="0"/>
    <d v="2018-08-18T14:45:00"/>
    <x v="219"/>
    <x v="6"/>
    <x v="6"/>
    <s v=" CathedralVisitor "/>
    <x v="2"/>
    <x v="2"/>
    <s v=" #Awe #ArchitecturalGrandeur            "/>
    <n v="18"/>
    <n v="35"/>
    <x v="8"/>
    <x v="71"/>
    <x v="20"/>
    <n v="2018"/>
    <n v="8"/>
    <n v="18"/>
    <x v="6"/>
  </r>
  <r>
    <s v="Curiosity awakened by the mysteries of an ancient archaeological site. "/>
    <s v=" Curiosity  "/>
    <x v="2"/>
    <d v="2015-11-08T10:00:00"/>
    <x v="255"/>
    <x v="48"/>
    <x v="42"/>
    <s v=" ArchaeologyEnthusiast "/>
    <x v="1"/>
    <x v="1"/>
    <s v=" #Curiosity #AncientMysteries          "/>
    <n v="18"/>
    <n v="35"/>
    <x v="8"/>
    <x v="4"/>
    <x v="3"/>
    <n v="2015"/>
    <n v="11"/>
    <n v="8"/>
    <x v="7"/>
  </r>
  <r>
    <s v="Giddy with excitement as the first snowflakes dance from the sky. "/>
    <s v=" Excitement   "/>
    <x v="0"/>
    <d v="2020-12-02T17:30:00"/>
    <x v="274"/>
    <x v="91"/>
    <x v="27"/>
    <s v=" SnowfallEnthusiast "/>
    <x v="0"/>
    <x v="0"/>
    <s v=" #Excitement #SnowfallMagic             "/>
    <n v="22"/>
    <n v="45"/>
    <x v="9"/>
    <x v="72"/>
    <x v="1"/>
    <n v="2020"/>
    <n v="12"/>
    <n v="2"/>
    <x v="9"/>
  </r>
  <r>
    <s v="Contentment envelops as the aroma of freshly baked bread fills the air. "/>
    <s v=" Contentment "/>
    <x v="0"/>
    <d v="2017-06-10T12:15:00"/>
    <x v="275"/>
    <x v="99"/>
    <x v="64"/>
    <s v=" BreadLover     "/>
    <x v="1"/>
    <x v="1"/>
    <s v=" #Contentment #FreshBreadAroma          "/>
    <n v="28"/>
    <n v="55"/>
    <x v="11"/>
    <x v="73"/>
    <x v="5"/>
    <n v="2017"/>
    <n v="6"/>
    <n v="10"/>
    <x v="0"/>
  </r>
  <r>
    <s v="Inspired by the resilience of a lone tree standing tall in a storm. "/>
    <s v=" Resilience   "/>
    <x v="0"/>
    <d v="2021-04-15T14:20:00"/>
    <x v="276"/>
    <x v="50"/>
    <x v="29"/>
    <s v=" NatureResilient "/>
    <x v="2"/>
    <x v="2"/>
    <s v=" #Resilience #StandingTall              "/>
    <n v="35"/>
    <n v="70"/>
    <x v="27"/>
    <x v="58"/>
    <x v="0"/>
    <n v="2021"/>
    <n v="4"/>
    <n v="15"/>
    <x v="6"/>
  </r>
  <r>
    <s v="Lost in the pages of a captivating novel, transported to another world. "/>
    <s v=" Immersion "/>
    <x v="0"/>
    <d v="2019-09-28T19:45:00"/>
    <x v="277"/>
    <x v="58"/>
    <x v="25"/>
    <s v=" Bookworm       "/>
    <x v="0"/>
    <x v="0"/>
    <s v=" #Immersion #CaptivatingNovel           "/>
    <n v="20"/>
    <n v="40"/>
    <x v="2"/>
    <x v="74"/>
    <x v="2"/>
    <n v="2019"/>
    <n v="9"/>
    <n v="28"/>
    <x v="4"/>
  </r>
  <r>
    <s v="Drenched in nostalgia while flipping through an old family photo album. "/>
    <s v=" Nostalgia "/>
    <x v="2"/>
    <d v="2016-12-05T21:00:00"/>
    <x v="278"/>
    <x v="100"/>
    <x v="65"/>
    <s v=" FamilyHistorian "/>
    <x v="1"/>
    <x v="1"/>
    <s v=" #Nostalgia #FamilyPhotoAlbum           "/>
    <n v="25"/>
    <n v="50"/>
    <x v="5"/>
    <x v="75"/>
    <x v="4"/>
    <n v="2016"/>
    <n v="12"/>
    <n v="5"/>
    <x v="14"/>
  </r>
  <r>
    <s v="Spark of inspiration ignites like a shooting star in the night sky. "/>
    <s v=" Spark        "/>
    <x v="0"/>
    <d v="2018-02-10T23:30:00"/>
    <x v="279"/>
    <x v="141"/>
    <x v="97"/>
    <s v=" NightSkyWatcher "/>
    <x v="2"/>
    <x v="2"/>
    <s v=" #Spark #InspirationIgnited             "/>
    <n v="30"/>
    <n v="60"/>
    <x v="7"/>
    <x v="76"/>
    <x v="3"/>
    <n v="2018"/>
    <n v="2"/>
    <n v="10"/>
    <x v="20"/>
  </r>
  <r>
    <s v="Imbued with gratitude for the simple pleasure of a warm cup of tea. "/>
    <s v=" Gratitude    "/>
    <x v="0"/>
    <d v="2023-02-15T08:30:00"/>
    <x v="22"/>
    <x v="63"/>
    <x v="43"/>
    <s v=" TeaEnthusiast  "/>
    <x v="0"/>
    <x v="0"/>
    <s v=" #Gratitude #WarmTea                    "/>
    <n v="18"/>
    <n v="35"/>
    <x v="8"/>
    <x v="77"/>
    <x v="7"/>
    <n v="2023"/>
    <n v="2"/>
    <n v="15"/>
    <x v="1"/>
  </r>
  <r>
    <s v="Marveling at the kaleidoscope of colors in a vibrant street market. "/>
    <s v=" Marvel       "/>
    <x v="0"/>
    <d v="2015-08-22T15:00:00"/>
    <x v="280"/>
    <x v="27"/>
    <x v="26"/>
    <s v=" MarketExplorer "/>
    <x v="1"/>
    <x v="1"/>
    <s v=" #Marvel #ColorfulStreetMarket          "/>
    <n v="22"/>
    <n v="45"/>
    <x v="9"/>
    <x v="78"/>
    <x v="6"/>
    <n v="2015"/>
    <n v="8"/>
    <n v="22"/>
    <x v="2"/>
  </r>
  <r>
    <s v="Awash with serenity as the sun sets over a tranquil lakeside retreat. "/>
    <s v=" Serenity   "/>
    <x v="0"/>
    <d v="2020-11-20T18:45:00"/>
    <x v="281"/>
    <x v="57"/>
    <x v="47"/>
    <s v=" LakesideRetreater "/>
    <x v="2"/>
    <x v="2"/>
    <s v=" #Serenity #TranquilSunset              "/>
    <n v="28"/>
    <n v="55"/>
    <x v="11"/>
    <x v="79"/>
    <x v="9"/>
    <n v="2020"/>
    <n v="11"/>
    <n v="20"/>
    <x v="3"/>
  </r>
  <r>
    <s v="Drowning in sorrow as memories of lost love resurface.            "/>
    <s v=" Heartbreak    "/>
    <x v="1"/>
    <d v="2019-08-05T21:00:00"/>
    <x v="282"/>
    <x v="129"/>
    <x v="65"/>
    <s v=" LostInLove      "/>
    <x v="1"/>
    <x v="1"/>
    <s v=" #Heartbreak #LostLove                    "/>
    <n v="15"/>
    <n v="30"/>
    <x v="0"/>
    <x v="58"/>
    <x v="0"/>
    <n v="2019"/>
    <n v="8"/>
    <n v="5"/>
    <x v="14"/>
  </r>
  <r>
    <s v="Numbness sets in as the weight of loneliness grows heavier.       "/>
    <s v=" Loneliness    "/>
    <x v="1"/>
    <d v="2021-02-12T16:45:00"/>
    <x v="283"/>
    <x v="21"/>
    <x v="20"/>
    <s v=" SolitudeSeeker "/>
    <x v="0"/>
    <x v="0"/>
    <s v=" #Loneliness #HeavyHeart                  "/>
    <n v="18"/>
    <n v="35"/>
    <x v="8"/>
    <x v="36"/>
    <x v="1"/>
    <n v="2021"/>
    <n v="2"/>
    <n v="12"/>
    <x v="12"/>
  </r>
  <r>
    <s v="Tears fall like raindrops, mourning the end of a cherished friendship. "/>
    <s v=" Grief      "/>
    <x v="1"/>
    <d v="2020-11-28T14:20:00"/>
    <x v="284"/>
    <x v="50"/>
    <x v="29"/>
    <s v=" FriendshipsEnd  "/>
    <x v="2"/>
    <x v="2"/>
    <s v=" #Grief #LostFriendship                  "/>
    <n v="22"/>
    <n v="45"/>
    <x v="9"/>
    <x v="74"/>
    <x v="2"/>
    <n v="2020"/>
    <n v="11"/>
    <n v="28"/>
    <x v="6"/>
  </r>
  <r>
    <s v="Despair clouds the mind, feeling adrift in an endless sea of darkness. "/>
    <s v=" Despair   "/>
    <x v="1"/>
    <d v="2016-05-15T22:30:00"/>
    <x v="285"/>
    <x v="149"/>
    <x v="99"/>
    <s v=" LostInDarkness  "/>
    <x v="1"/>
    <x v="1"/>
    <s v=" #Despair #EndlessDarkness               "/>
    <n v="28"/>
    <n v="55"/>
    <x v="11"/>
    <x v="80"/>
    <x v="3"/>
    <n v="2016"/>
    <n v="5"/>
    <n v="15"/>
    <x v="16"/>
  </r>
  <r>
    <s v="Shattered by betrayal, trust crumbles like fragile glass.          "/>
    <s v=" Betrayal      "/>
    <x v="1"/>
    <d v="2018-09-10T13:15:00"/>
    <x v="286"/>
    <x v="30"/>
    <x v="28"/>
    <s v=" BrokenTrust     "/>
    <x v="0"/>
    <x v="0"/>
    <s v=" #Betrayal #ShatteredTrust               "/>
    <n v="22"/>
    <n v="45"/>
    <x v="9"/>
    <x v="60"/>
    <x v="9"/>
    <n v="2018"/>
    <n v="9"/>
    <n v="10"/>
    <x v="8"/>
  </r>
  <r>
    <s v="Aching heart, the symphony of pain plays in the silence of solitude. "/>
    <s v=" Suffering "/>
    <x v="1"/>
    <d v="2022-03-20T19:30:00"/>
    <x v="287"/>
    <x v="7"/>
    <x v="7"/>
    <s v=" SilentSufferer  "/>
    <x v="2"/>
    <x v="2"/>
    <s v=" #Suffering #HeartacheSymphony          "/>
    <n v="25"/>
    <n v="50"/>
    <x v="5"/>
    <x v="78"/>
    <x v="6"/>
    <n v="2022"/>
    <n v="3"/>
    <n v="20"/>
    <x v="4"/>
  </r>
  <r>
    <s v="Emotional storm, a whirlwind of sadness engulfs every thought.    "/>
    <s v=" EmotionalStorm "/>
    <x v="2"/>
    <d v="2017-07-18T17:45:00"/>
    <x v="288"/>
    <x v="70"/>
    <x v="48"/>
    <s v=" StormyFeelings  "/>
    <x v="1"/>
    <x v="1"/>
    <s v=" #EmotionalStorm #SadnessWhirlwind      "/>
    <n v="30"/>
    <n v="60"/>
    <x v="7"/>
    <x v="75"/>
    <x v="4"/>
    <n v="2017"/>
    <n v="7"/>
    <n v="18"/>
    <x v="9"/>
  </r>
  <r>
    <s v="Haunted by regrets, the ghost of the past lingers relentlessly.   "/>
    <s v=" Regret        "/>
    <x v="1"/>
    <d v="2018-12-15T10:00:00"/>
    <x v="116"/>
    <x v="61"/>
    <x v="42"/>
    <s v=" LingeringGhost  "/>
    <x v="0"/>
    <x v="0"/>
    <s v=" #Regret #HauntedPast                    "/>
    <n v="18"/>
    <n v="35"/>
    <x v="8"/>
    <x v="81"/>
    <x v="5"/>
    <n v="2018"/>
    <n v="12"/>
    <n v="15"/>
    <x v="7"/>
  </r>
  <r>
    <s v="Torn apart by grief, the echoes of loss reverberate through the soul. "/>
    <s v=" Grief      "/>
    <x v="1"/>
    <d v="2015-06-28T21:15:00"/>
    <x v="289"/>
    <x v="59"/>
    <x v="41"/>
    <s v=" EchoesOfLoss    "/>
    <x v="2"/>
    <x v="2"/>
    <s v=" #Grief #TornApart                       "/>
    <n v="28"/>
    <n v="55"/>
    <x v="11"/>
    <x v="82"/>
    <x v="11"/>
    <n v="2015"/>
    <n v="6"/>
    <n v="28"/>
    <x v="14"/>
  </r>
  <r>
    <s v="Isolation deepens, an emotional winter where warmth is but a distant memory. "/>
    <s v=" Isolation "/>
    <x v="1"/>
    <d v="2020-04-02T14:20:00"/>
    <x v="52"/>
    <x v="50"/>
    <x v="29"/>
    <s v=" WinterOfEmotions "/>
    <x v="1"/>
    <x v="1"/>
    <s v=" #Isolation #EmotionalWinter            "/>
    <n v="35"/>
    <n v="70"/>
    <x v="27"/>
    <x v="83"/>
    <x v="7"/>
    <n v="2020"/>
    <n v="4"/>
    <n v="2"/>
    <x v="6"/>
  </r>
  <r>
    <s v="Soul-crushing disappointment, hopes shattered like fragile glass. "/>
    <s v=" Disappointment "/>
    <x v="1"/>
    <d v="2019-10-08T18:30:00"/>
    <x v="290"/>
    <x v="40"/>
    <x v="36"/>
    <s v=" ShatteredHopes  "/>
    <x v="0"/>
    <x v="0"/>
    <s v=" #Disappointment #CrushedHopes          "/>
    <n v="20"/>
    <n v="40"/>
    <x v="2"/>
    <x v="84"/>
    <x v="14"/>
    <n v="2019"/>
    <n v="10"/>
    <n v="8"/>
    <x v="3"/>
  </r>
  <r>
    <s v="Painful echoes of a love once cherished, now lost in the abyss of time. "/>
    <s v=" LostLove "/>
    <x v="0"/>
    <d v="2016-11-22T09:45:00"/>
    <x v="291"/>
    <x v="31"/>
    <x v="14"/>
    <s v=" AbyssOfTime     "/>
    <x v="2"/>
    <x v="2"/>
    <s v=" #LostLove #PainfulEchoes               "/>
    <n v="22"/>
    <n v="45"/>
    <x v="9"/>
    <x v="85"/>
    <x v="12"/>
    <n v="2016"/>
    <n v="11"/>
    <n v="22"/>
    <x v="5"/>
  </r>
  <r>
    <s v="Heartache deepens, a solitary journey through the abyss of despair. "/>
    <s v=" Despair   "/>
    <x v="1"/>
    <d v="2022-08-18T22:00:00"/>
    <x v="292"/>
    <x v="145"/>
    <x v="70"/>
    <s v=" SolitaryDescent "/>
    <x v="1"/>
    <x v="1"/>
    <s v=" #Despair #AbyssOfHeartache             "/>
    <n v="40"/>
    <n v="80"/>
    <x v="26"/>
    <x v="86"/>
    <x v="13"/>
    <n v="2022"/>
    <n v="8"/>
    <n v="18"/>
    <x v="16"/>
  </r>
  <r>
    <s v="Melancholy lingers, a bittersweet serenade in the quietude of solitude. "/>
    <s v=" Melancholy "/>
    <x v="1"/>
    <d v="2017-03-12T23:30:00"/>
    <x v="293"/>
    <x v="150"/>
    <x v="97"/>
    <s v=" SerenadeOfSolitude "/>
    <x v="3"/>
    <x v="0"/>
    <s v=" #Melancholy #QuietSerenade             "/>
    <n v="18"/>
    <n v="35"/>
    <x v="8"/>
    <x v="18"/>
    <x v="2"/>
    <n v="2017"/>
    <n v="3"/>
    <n v="12"/>
    <x v="20"/>
  </r>
  <r>
    <s v="Bitterness like a poison, seeping into every crevice of the wounded heart. "/>
    <s v=" Bitterness "/>
    <x v="1"/>
    <d v="2015-12-15T16:15:00"/>
    <x v="294"/>
    <x v="132"/>
    <x v="90"/>
    <s v=" PoisonedHeart   "/>
    <x v="2"/>
    <x v="2"/>
    <s v=" #Bitterness #WoundedHeart              "/>
    <n v="25"/>
    <n v="50"/>
    <x v="5"/>
    <x v="26"/>
    <x v="3"/>
    <n v="2015"/>
    <n v="12"/>
    <n v="15"/>
    <x v="12"/>
  </r>
  <r>
    <s v="Emotional exhaustion, the weight of the world crushing weary shoulders. "/>
    <s v=" Exhaustion "/>
    <x v="1"/>
    <d v="2021-09-05T13:30:00"/>
    <x v="295"/>
    <x v="44"/>
    <x v="39"/>
    <s v=" WearySoulCrushed "/>
    <x v="1"/>
    <x v="1"/>
    <s v=" #Exhaustion #CrushedSpirit             "/>
    <n v="35"/>
    <n v="70"/>
    <x v="27"/>
    <x v="20"/>
    <x v="1"/>
    <n v="2021"/>
    <n v="9"/>
    <n v="5"/>
    <x v="8"/>
  </r>
  <r>
    <s v="Sorrowful echoes, a symphony of pain played by the strings of loss. "/>
    <s v=" Sorrow      "/>
    <x v="1"/>
    <d v="2018-05-22T20:45:00"/>
    <x v="96"/>
    <x v="93"/>
    <x v="61"/>
    <s v=" StringsOfSorrow "/>
    <x v="0"/>
    <x v="0"/>
    <s v=" #Sorrow #SymphonyOfLoss                "/>
    <n v="18"/>
    <n v="35"/>
    <x v="8"/>
    <x v="87"/>
    <x v="9"/>
    <n v="2018"/>
    <n v="5"/>
    <n v="22"/>
    <x v="13"/>
  </r>
  <r>
    <s v="Darkness descends, engulfing the soul in the shadows of despair.  "/>
    <s v=" Darkness     "/>
    <x v="1"/>
    <d v="2016-07-10T18:20:00"/>
    <x v="296"/>
    <x v="3"/>
    <x v="3"/>
    <s v=" SoulInShadow    "/>
    <x v="2"/>
    <x v="2"/>
    <s v=" #Darkness #SoulEngulfed                 "/>
    <n v="28"/>
    <n v="55"/>
    <x v="11"/>
    <x v="88"/>
    <x v="0"/>
    <n v="2016"/>
    <n v="7"/>
    <n v="10"/>
    <x v="3"/>
  </r>
  <r>
    <s v="Desperation whispers, the silent plea for a glimmer of hope in the abyss. "/>
    <s v=" Desperation "/>
    <x v="1"/>
    <d v="2019-04-30T14:00:00"/>
    <x v="297"/>
    <x v="151"/>
    <x v="60"/>
    <s v=" WhisperedDespair "/>
    <x v="1"/>
    <x v="1"/>
    <s v=" #Desperation #GlimmerOfHope            "/>
    <n v="22"/>
    <n v="45"/>
    <x v="9"/>
    <x v="89"/>
    <x v="5"/>
    <n v="2019"/>
    <n v="4"/>
    <n v="30"/>
    <x v="6"/>
  </r>
  <r>
    <s v="Heart in ruins, the remnants of shattered dreams scattered in the wind. "/>
    <s v=" Ruins      "/>
    <x v="1"/>
    <d v="2022-01-08T11:30:00"/>
    <x v="298"/>
    <x v="64"/>
    <x v="18"/>
    <s v=" DreamsInWind    "/>
    <x v="0"/>
    <x v="0"/>
    <s v=" #Ruins #ShatteredDreams                "/>
    <n v="20"/>
    <n v="40"/>
    <x v="2"/>
    <x v="90"/>
    <x v="6"/>
    <n v="2022"/>
    <n v="1"/>
    <n v="8"/>
    <x v="11"/>
  </r>
  <r>
    <s v="Shattered by the echoes of a shattered dream, fragments of hope scattered. "/>
    <s v=" Desolation "/>
    <x v="1"/>
    <d v="2017-09-10T19:15:00"/>
    <x v="299"/>
    <x v="152"/>
    <x v="52"/>
    <s v=" DreamEchoes "/>
    <x v="3"/>
    <x v="0"/>
    <s v=" #Desolation #ScatteredHope "/>
    <n v="20"/>
    <n v="40"/>
    <x v="2"/>
    <x v="4"/>
    <x v="3"/>
    <n v="2017"/>
    <n v="9"/>
    <n v="10"/>
    <x v="4"/>
  </r>
  <r>
    <s v="Avoiding the thorns of regret, walking barefoot on the path of remorse. "/>
    <s v=" Regret "/>
    <x v="1"/>
    <d v="2022-04-18T11:30:00"/>
    <x v="172"/>
    <x v="64"/>
    <x v="18"/>
    <s v=" RemorseWalker "/>
    <x v="1"/>
    <x v="1"/>
    <s v=" #Regret #PathOfRemorse "/>
    <n v="25"/>
    <n v="50"/>
    <x v="5"/>
    <x v="14"/>
    <x v="1"/>
    <n v="2022"/>
    <n v="4"/>
    <n v="18"/>
    <x v="11"/>
  </r>
  <r>
    <s v="In the labyrinth of grief, the walls echo with the footsteps of lost joy. "/>
    <s v=" Grief "/>
    <x v="1"/>
    <d v="2018-12-05T21:45:00"/>
    <x v="234"/>
    <x v="73"/>
    <x v="50"/>
    <s v=" JoyLabyrinth "/>
    <x v="2"/>
    <x v="2"/>
    <s v=" #Grief #LostJoyFootsteps "/>
    <n v="18"/>
    <n v="35"/>
    <x v="8"/>
    <x v="10"/>
    <x v="0"/>
    <n v="2018"/>
    <n v="12"/>
    <n v="5"/>
    <x v="14"/>
  </r>
  <r>
    <s v="A soul adrift in the sea of solitude, waves of loneliness crashing relentlessly. "/>
    <s v=" Loneliness "/>
    <x v="1"/>
    <d v="2016-06-28T14:20:00"/>
    <x v="300"/>
    <x v="50"/>
    <x v="29"/>
    <s v=" SolitudeSeas "/>
    <x v="3"/>
    <x v="0"/>
    <s v=" #Loneliness #CrashingWaves "/>
    <n v="22"/>
    <n v="45"/>
    <x v="9"/>
    <x v="12"/>
    <x v="2"/>
    <n v="2016"/>
    <n v="6"/>
    <n v="28"/>
    <x v="6"/>
  </r>
  <r>
    <s v="The bitterness of betrayal, a taste that lingers, staining the palate of trust. "/>
    <s v=" Bitterness "/>
    <x v="1"/>
    <d v="2019-10-22T17:00:00"/>
    <x v="301"/>
    <x v="153"/>
    <x v="34"/>
    <s v=" PalateStainer "/>
    <x v="1"/>
    <x v="1"/>
    <s v=" #Bitterness #StainedTrust "/>
    <n v="15"/>
    <n v="30"/>
    <x v="0"/>
    <x v="91"/>
    <x v="9"/>
    <n v="2019"/>
    <n v="10"/>
    <n v="22"/>
    <x v="9"/>
  </r>
  <r>
    <s v="In the ruins of hope, echoes of shattered dreams whisper tales of loss. "/>
    <s v=" Desolation "/>
    <x v="1"/>
    <d v="2021-03-15T22:45:00"/>
    <x v="302"/>
    <x v="154"/>
    <x v="85"/>
    <s v=" HopeRuins "/>
    <x v="2"/>
    <x v="2"/>
    <s v=" #Desolation #WhisperedLoss "/>
    <n v="28"/>
    <n v="55"/>
    <x v="11"/>
    <x v="92"/>
    <x v="6"/>
    <n v="2021"/>
    <n v="3"/>
    <n v="15"/>
    <x v="16"/>
  </r>
  <r>
    <s v="Sinking like a stone in the ocean of heartbreak, each ripple a sigh of despair. "/>
    <s v=" Heartbreak "/>
    <x v="1"/>
    <d v="2017-08-10T19:30:00"/>
    <x v="303"/>
    <x v="62"/>
    <x v="7"/>
    <s v=" OceanSinker "/>
    <x v="3"/>
    <x v="0"/>
    <s v=" #Heartbreak #RippleOfDespair "/>
    <n v="22"/>
    <n v="45"/>
    <x v="9"/>
    <x v="93"/>
    <x v="5"/>
    <n v="2017"/>
    <n v="8"/>
    <n v="10"/>
    <x v="4"/>
  </r>
  <r>
    <s v="Tears, the ink staining the pages of a journal, a testament to silent grief. "/>
    <s v=" Grief "/>
    <x v="1"/>
    <d v="2023-01-28T14:30:00"/>
    <x v="13"/>
    <x v="23"/>
    <x v="22"/>
    <s v=" InkJournalist "/>
    <x v="1"/>
    <x v="1"/>
    <s v=" #Grief #SilentTears "/>
    <n v="30"/>
    <n v="60"/>
    <x v="7"/>
    <x v="16"/>
    <x v="4"/>
    <n v="2023"/>
    <n v="1"/>
    <n v="28"/>
    <x v="6"/>
  </r>
  <r>
    <s v="In the wasteland of lost trust, the echoes of broken promises reverberate. "/>
    <s v=" Betrayal "/>
    <x v="1"/>
    <d v="2016-12-12T10:00:00"/>
    <x v="304"/>
    <x v="48"/>
    <x v="42"/>
    <s v=" TrustWasteland "/>
    <x v="2"/>
    <x v="2"/>
    <s v=" #Betrayal #ReverberatingPromises "/>
    <n v="25"/>
    <n v="50"/>
    <x v="5"/>
    <x v="94"/>
    <x v="11"/>
    <n v="2016"/>
    <n v="12"/>
    <n v="12"/>
    <x v="7"/>
  </r>
  <r>
    <s v="Avoiding the shards of shattered dreams, walking the tightrope of resilience. "/>
    <s v=" Resilience "/>
    <x v="0"/>
    <d v="2020-07-18T15:15:00"/>
    <x v="305"/>
    <x v="19"/>
    <x v="10"/>
    <s v=" DreamTightrope "/>
    <x v="3"/>
    <x v="0"/>
    <s v=" #Resilience #TightropeWalk "/>
    <n v="35"/>
    <n v="70"/>
    <x v="27"/>
    <x v="95"/>
    <x v="7"/>
    <n v="2020"/>
    <n v="7"/>
    <n v="18"/>
    <x v="2"/>
  </r>
  <r>
    <s v="Suffocating in the silence of solitude, where echoes of laughter once thrived. "/>
    <s v=" Isolation "/>
    <x v="1"/>
    <d v="2022-05-20T20:30:00"/>
    <x v="216"/>
    <x v="66"/>
    <x v="45"/>
    <s v=" EchoedLaughter "/>
    <x v="1"/>
    <x v="1"/>
    <s v=" #Isolation #SilentSolitude "/>
    <n v="30"/>
    <n v="60"/>
    <x v="7"/>
    <x v="86"/>
    <x v="13"/>
    <n v="2022"/>
    <n v="5"/>
    <n v="20"/>
    <x v="13"/>
  </r>
  <r>
    <s v="Haunted by the specter of lost possibilities, a ghost that refuses to fade away. "/>
    <s v=" Regret "/>
    <x v="1"/>
    <d v="2019-11-08T14:45:00"/>
    <x v="306"/>
    <x v="47"/>
    <x v="6"/>
    <s v=" PossibilityGhost "/>
    <x v="3"/>
    <x v="0"/>
    <s v=" #Regret #FadingPossibilities "/>
    <n v="18"/>
    <n v="35"/>
    <x v="8"/>
    <x v="96"/>
    <x v="14"/>
    <n v="2019"/>
    <n v="11"/>
    <n v="8"/>
    <x v="6"/>
  </r>
  <r>
    <s v="In the labyrinth of despair, the echoes of a broken heart reverberate endlessly. "/>
    <s v=" Despair "/>
    <x v="1"/>
    <d v="2017-03-28T22:00:00"/>
    <x v="307"/>
    <x v="107"/>
    <x v="70"/>
    <s v=" EndlessLabyrinth "/>
    <x v="2"/>
    <x v="2"/>
    <s v=" #Despair #EndlessReverberation "/>
    <n v="28"/>
    <n v="55"/>
    <x v="11"/>
    <x v="4"/>
    <x v="3"/>
    <n v="2017"/>
    <n v="3"/>
    <n v="28"/>
    <x v="16"/>
  </r>
  <r>
    <s v="Sinking like autumn leaves in the river of sorrow, carried away by the current. "/>
    <s v=" Sorrow "/>
    <x v="1"/>
    <d v="2020-09-15T18:15:00"/>
    <x v="231"/>
    <x v="155"/>
    <x v="100"/>
    <s v=" RiverOfSorrow "/>
    <x v="1"/>
    <x v="1"/>
    <s v=" #Sorrow #AutumnLeaves "/>
    <n v="22"/>
    <n v="45"/>
    <x v="9"/>
    <x v="14"/>
    <x v="1"/>
    <n v="2020"/>
    <n v="9"/>
    <n v="15"/>
    <x v="3"/>
  </r>
  <r>
    <s v="In the garden of broken dreams, petals fall, a silent testimony to shattered hopes. "/>
    <s v=" Desolation "/>
    <x v="1"/>
    <d v="2018-06-10T13:30:00"/>
    <x v="308"/>
    <x v="156"/>
    <x v="39"/>
    <s v=" DreamGardener "/>
    <x v="3"/>
    <x v="0"/>
    <s v=" #Desolation #ShatteredHopes "/>
    <n v="20"/>
    <n v="40"/>
    <x v="2"/>
    <x v="12"/>
    <x v="2"/>
    <n v="2018"/>
    <n v="6"/>
    <n v="10"/>
    <x v="8"/>
  </r>
  <r>
    <s v="Tears, the currency of grief, spent in the marketplace of lost love and longing. "/>
    <s v=" Grief "/>
    <x v="1"/>
    <d v="2016-12-22T21:45:00"/>
    <x v="309"/>
    <x v="157"/>
    <x v="50"/>
    <s v=" CurrencyOfTears "/>
    <x v="2"/>
    <x v="2"/>
    <s v=" #Grief #LostLoveLonging "/>
    <n v="25"/>
    <n v="50"/>
    <x v="5"/>
    <x v="10"/>
    <x v="0"/>
    <n v="2016"/>
    <n v="12"/>
    <n v="22"/>
    <x v="14"/>
  </r>
  <r>
    <s v="Wandering in the maze of betrayal, the walls closing in with every wrong turn. "/>
    <s v=" Betrayal "/>
    <x v="1"/>
    <d v="2021-01-05T16:20:00"/>
    <x v="310"/>
    <x v="25"/>
    <x v="24"/>
    <s v=" MazeWanderer "/>
    <x v="1"/>
    <x v="1"/>
    <s v=" #Betrayal #ClosingWalls "/>
    <n v="15"/>
    <n v="30"/>
    <x v="0"/>
    <x v="91"/>
    <x v="9"/>
    <n v="2021"/>
    <n v="1"/>
    <n v="5"/>
    <x v="12"/>
  </r>
  <r>
    <s v="A soul weathered by the storm of heartbreak, seeking refuge in the calm after. "/>
    <s v=" Heartbreak "/>
    <x v="1"/>
    <d v="2019-04-18T11:00:00"/>
    <x v="311"/>
    <x v="158"/>
    <x v="101"/>
    <s v=" StormSeeker "/>
    <x v="3"/>
    <x v="0"/>
    <s v=" #Heartbreak #CalmAfterStorm "/>
    <n v="22"/>
    <n v="45"/>
    <x v="9"/>
    <x v="92"/>
    <x v="6"/>
    <n v="2019"/>
    <n v="4"/>
    <n v="18"/>
    <x v="11"/>
  </r>
  <r>
    <s v="In the tapestry of despair, threads of hope unravel, leaving a portrait of sorrow. "/>
    <s v=" Despair "/>
    <x v="1"/>
    <d v="2017-08-28T19:30:00"/>
    <x v="312"/>
    <x v="62"/>
    <x v="7"/>
    <s v=" TapestrySorrow "/>
    <x v="2"/>
    <x v="2"/>
    <s v=" #Despair #UnraveledHope "/>
    <n v="18"/>
    <n v="35"/>
    <x v="8"/>
    <x v="16"/>
    <x v="4"/>
    <n v="2017"/>
    <n v="8"/>
    <n v="28"/>
    <x v="4"/>
  </r>
  <r>
    <s v="Like a withered rose in the garden of love, petals fall, a silent surrender to time. "/>
    <s v=" Loss "/>
    <x v="2"/>
    <d v="2023-02-10T14:30:00"/>
    <x v="144"/>
    <x v="72"/>
    <x v="22"/>
    <s v=" WitheredRose "/>
    <x v="1"/>
    <x v="1"/>
    <s v=" #Loss #SilentSurrender "/>
    <n v="28"/>
    <n v="55"/>
    <x v="11"/>
    <x v="93"/>
    <x v="5"/>
    <n v="2023"/>
    <n v="2"/>
    <n v="10"/>
    <x v="6"/>
  </r>
  <r>
    <s v="In the void of heartache, echoes of a love song play, each note a pang of longing. "/>
    <s v=" Heartache "/>
    <x v="1"/>
    <d v="2022-07-10T22:15:00"/>
    <x v="313"/>
    <x v="159"/>
    <x v="102"/>
    <s v=" LoveSongEcho "/>
    <x v="1"/>
    <x v="1"/>
    <s v=" #Heartache #LoveSongLonging "/>
    <n v="30"/>
    <n v="60"/>
    <x v="7"/>
    <x v="95"/>
    <x v="7"/>
    <n v="2022"/>
    <n v="7"/>
    <n v="10"/>
    <x v="16"/>
  </r>
  <r>
    <s v="Nostalgia, a bittersweet dance in the moonlit ballroom of cherished memories. "/>
    <s v=" Nostalgia "/>
    <x v="2"/>
    <d v="2019-05-15T21:30:00"/>
    <x v="314"/>
    <x v="160"/>
    <x v="103"/>
    <s v=" MoonlitMemories "/>
    <x v="3"/>
    <x v="0"/>
    <s v=" #Nostalgia #CherishedMemories "/>
    <n v="18"/>
    <n v="35"/>
    <x v="8"/>
    <x v="94"/>
    <x v="11"/>
    <n v="2019"/>
    <n v="5"/>
    <n v="15"/>
    <x v="14"/>
  </r>
  <r>
    <s v="In the symphony of grief, each tear is a note, composing a melancholic melody. "/>
    <s v=" Grief "/>
    <x v="1"/>
    <d v="2018-11-28T14:00:00"/>
    <x v="315"/>
    <x v="92"/>
    <x v="60"/>
    <s v=" SymphonyOfTears "/>
    <x v="2"/>
    <x v="2"/>
    <s v=" #Grief #MelancholicMelody "/>
    <n v="22"/>
    <n v="45"/>
    <x v="9"/>
    <x v="91"/>
    <x v="9"/>
    <n v="2018"/>
    <n v="11"/>
    <n v="28"/>
    <x v="6"/>
  </r>
  <r>
    <s v="Betrayal, a venomous serpent slithering through the garden of trust, poisoning roots. "/>
    <s v=" Betrayal "/>
    <x v="1"/>
    <d v="2021-03-02T17:45:00"/>
    <x v="65"/>
    <x v="102"/>
    <x v="48"/>
    <s v=" VenomousGarden "/>
    <x v="1"/>
    <x v="1"/>
    <s v=" #Betrayal #PoisonedTrust "/>
    <n v="25"/>
    <n v="50"/>
    <x v="5"/>
    <x v="14"/>
    <x v="1"/>
    <n v="2021"/>
    <n v="3"/>
    <n v="2"/>
    <x v="9"/>
  </r>
  <r>
    <s v="Sinking in the quicksand of despair, the harder you fight, the deeper you descend. "/>
    <s v=" Despair "/>
    <x v="1"/>
    <d v="2016-10-18T19:30:00"/>
    <x v="316"/>
    <x v="62"/>
    <x v="7"/>
    <s v=" QuicksandFighter "/>
    <x v="3"/>
    <x v="0"/>
    <s v=" #Despair #DeepDescent "/>
    <n v="20"/>
    <n v="40"/>
    <x v="2"/>
    <x v="10"/>
    <x v="0"/>
    <n v="2016"/>
    <n v="10"/>
    <n v="18"/>
    <x v="4"/>
  </r>
  <r>
    <s v="Wandering through the cemetery of lost dreams, tombstones marking untold sorrows. "/>
    <s v=" Desolation "/>
    <x v="1"/>
    <d v="2020-08-15T12:30:00"/>
    <x v="317"/>
    <x v="135"/>
    <x v="0"/>
    <s v=" DreamCemetery "/>
    <x v="2"/>
    <x v="2"/>
    <s v=" #Desolation #UntoldSorrows "/>
    <n v="28"/>
    <n v="55"/>
    <x v="11"/>
    <x v="93"/>
    <x v="5"/>
    <n v="2020"/>
    <n v="8"/>
    <n v="15"/>
    <x v="0"/>
  </r>
  <r>
    <s v="Swept away by the river of regret, the currents of the past refusing to release. "/>
    <s v=" Regret "/>
    <x v="1"/>
    <d v="2017-04-28T16:20:00"/>
    <x v="318"/>
    <x v="25"/>
    <x v="24"/>
    <s v=" RegretRiver "/>
    <x v="1"/>
    <x v="1"/>
    <s v=" #Regret #PastCurrents "/>
    <n v="18"/>
    <n v="35"/>
    <x v="8"/>
    <x v="12"/>
    <x v="2"/>
    <n v="2017"/>
    <n v="4"/>
    <n v="28"/>
    <x v="12"/>
  </r>
  <r>
    <s v="Whispers of lost love linger in the attic of the heart, forgotten but not erased. "/>
    <s v=" Loss "/>
    <x v="2"/>
    <d v="2019-09-10T21:00:00"/>
    <x v="319"/>
    <x v="129"/>
    <x v="65"/>
    <s v=" HeartAttic "/>
    <x v="3"/>
    <x v="0"/>
    <s v=" #Loss #ForgottenLove "/>
    <n v="22"/>
    <n v="45"/>
    <x v="9"/>
    <x v="4"/>
    <x v="3"/>
    <n v="2019"/>
    <n v="9"/>
    <n v="10"/>
    <x v="14"/>
  </r>
  <r>
    <s v="In the gallery of broken promises, each shattered vow framed, a painful exhibition. "/>
    <s v=" Betrayal "/>
    <x v="1"/>
    <d v="2022-01-28T13:45:00"/>
    <x v="320"/>
    <x v="161"/>
    <x v="62"/>
    <s v=" PromiseGallery "/>
    <x v="2"/>
    <x v="2"/>
    <s v=" #Betrayal #ShatteredVows "/>
    <n v="15"/>
    <n v="30"/>
    <x v="0"/>
    <x v="92"/>
    <x v="6"/>
    <n v="2022"/>
    <n v="1"/>
    <n v="28"/>
    <x v="8"/>
  </r>
  <r>
    <s v="The echoes of solitude, a silent conversation between a soul and its shadows. "/>
    <s v=" Solitude "/>
    <x v="1"/>
    <d v="2016-06-15T22:30:00"/>
    <x v="321"/>
    <x v="162"/>
    <x v="99"/>
    <s v=" EchoedConversation "/>
    <x v="1"/>
    <x v="1"/>
    <s v=" #Solitude #ShadowConversation "/>
    <n v="30"/>
    <n v="60"/>
    <x v="7"/>
    <x v="96"/>
    <x v="14"/>
    <n v="2016"/>
    <n v="6"/>
    <n v="15"/>
    <x v="16"/>
  </r>
  <r>
    <s v="Dancing on sunshine, each step a celebration of the joy found in simple moments. "/>
    <s v=" Joy "/>
    <x v="0"/>
    <d v="2021-08-20T15:45:00"/>
    <x v="140"/>
    <x v="39"/>
    <x v="2"/>
    <s v=" SunshineDancer "/>
    <x v="1"/>
    <x v="1"/>
    <s v=" #Joy #SimpleMoments "/>
    <n v="40"/>
    <n v="80"/>
    <x v="26"/>
    <x v="10"/>
    <x v="0"/>
    <n v="2021"/>
    <n v="8"/>
    <n v="20"/>
    <x v="2"/>
  </r>
  <r>
    <s v="Laughter echoes in the air, a chorus of happiness that lifts the spirit higher. "/>
    <s v=" Happiness "/>
    <x v="0"/>
    <d v="2018-04-12T18:30:00"/>
    <x v="322"/>
    <x v="40"/>
    <x v="36"/>
    <s v=" EchoedLaughter "/>
    <x v="3"/>
    <x v="0"/>
    <s v=" #Happiness #SpiritLifter "/>
    <n v="35"/>
    <n v="70"/>
    <x v="27"/>
    <x v="14"/>
    <x v="1"/>
    <n v="2018"/>
    <n v="4"/>
    <n v="12"/>
    <x v="3"/>
  </r>
  <r>
    <s v="In the garden of contentment, each bloom whispers tales of inner peace and joy. "/>
    <s v=" Contentment "/>
    <x v="0"/>
    <d v="2022-02-15T12:20:00"/>
    <x v="180"/>
    <x v="9"/>
    <x v="9"/>
    <s v=" GardenOfJoy "/>
    <x v="2"/>
    <x v="2"/>
    <s v=" #Contentment #InnerPeace "/>
    <n v="25"/>
    <n v="50"/>
    <x v="5"/>
    <x v="12"/>
    <x v="2"/>
    <n v="2022"/>
    <n v="2"/>
    <n v="15"/>
    <x v="0"/>
  </r>
  <r>
    <s v="Chasing dreams under the vibrant sky, a journey fueled by hope and enthusiasm. "/>
    <s v=" Enthusiasm "/>
    <x v="0"/>
    <d v="2019-10-28T14:15:00"/>
    <x v="323"/>
    <x v="163"/>
    <x v="67"/>
    <s v=" DreamChaser "/>
    <x v="1"/>
    <x v="1"/>
    <s v=" #Enthusiasm #HopefulJourney "/>
    <n v="30"/>
    <n v="60"/>
    <x v="7"/>
    <x v="4"/>
    <x v="3"/>
    <n v="2019"/>
    <n v="10"/>
    <n v="28"/>
    <x v="6"/>
  </r>
  <r>
    <s v="Serenading the stars with a heart full of gratitude, a melody of thankfulness. "/>
    <s v=" Gratitude "/>
    <x v="0"/>
    <d v="2017-12-22T21:00:00"/>
    <x v="324"/>
    <x v="100"/>
    <x v="65"/>
    <s v=" StarSerenader "/>
    <x v="3"/>
    <x v="0"/>
    <s v=" #Gratitude #ThankfulMelody "/>
    <n v="22"/>
    <n v="45"/>
    <x v="9"/>
    <x v="16"/>
    <x v="4"/>
    <n v="2017"/>
    <n v="12"/>
    <n v="22"/>
    <x v="14"/>
  </r>
  <r>
    <s v="Basking in the glow of accomplishment, each milestone a stepping stone to happiness. "/>
    <s v=" Accomplishment "/>
    <x v="0"/>
    <d v="2020-06-10T17:30:00"/>
    <x v="192"/>
    <x v="28"/>
    <x v="27"/>
    <s v=" GlowAchiever "/>
    <x v="2"/>
    <x v="2"/>
    <s v=" #Accomplishment #HappinessMilestone "/>
    <n v="28"/>
    <n v="55"/>
    <x v="11"/>
    <x v="91"/>
    <x v="9"/>
    <n v="2020"/>
    <n v="6"/>
    <n v="10"/>
    <x v="9"/>
  </r>
  <r>
    <s v="In the dance of positivity, every step is a rhythm, uplifting the soul in harmony. "/>
    <s v=" Positivity "/>
    <x v="2"/>
    <d v="2016-09-18T19:45:00"/>
    <x v="325"/>
    <x v="26"/>
    <x v="25"/>
    <s v=" DanceHarmony "/>
    <x v="1"/>
    <x v="1"/>
    <s v=" #Positivity #SoulUpliftment "/>
    <n v="18"/>
    <n v="35"/>
    <x v="8"/>
    <x v="93"/>
    <x v="5"/>
    <n v="2016"/>
    <n v="9"/>
    <n v="18"/>
    <x v="4"/>
  </r>
  <r>
    <s v="Overflowing with joy, a cup of laughter shared with friends, a moment cherished. "/>
    <s v=" Joy "/>
    <x v="0"/>
    <d v="2023-03-10T14:30:00"/>
    <x v="153"/>
    <x v="72"/>
    <x v="22"/>
    <s v=" LaughterCup "/>
    <x v="3"/>
    <x v="0"/>
    <s v=" #Joy #CherishedMoment "/>
    <n v="20"/>
    <n v="40"/>
    <x v="2"/>
    <x v="95"/>
    <x v="7"/>
    <n v="2023"/>
    <n v="3"/>
    <n v="10"/>
    <x v="6"/>
  </r>
  <r>
    <s v="Draped in the warmth of kindness, a quilt of compassion stitched with love. "/>
    <s v=" Kindness "/>
    <x v="0"/>
    <d v="2019-05-05T12:15:00"/>
    <x v="326"/>
    <x v="99"/>
    <x v="64"/>
    <s v=" QuiltedCompassion "/>
    <x v="2"/>
    <x v="2"/>
    <s v=" #Kindness #LoveStitches "/>
    <n v="25"/>
    <n v="50"/>
    <x v="5"/>
    <x v="92"/>
    <x v="6"/>
    <n v="2019"/>
    <n v="5"/>
    <n v="5"/>
    <x v="0"/>
  </r>
  <r>
    <s v="In the garden of friendships, each bloom a testament to the beauty of camaraderie. "/>
    <s v=" Friendship "/>
    <x v="0"/>
    <d v="2018-08-28T16:00:00"/>
    <x v="327"/>
    <x v="51"/>
    <x v="44"/>
    <s v=" FriendshipGarden "/>
    <x v="1"/>
    <x v="1"/>
    <s v=" #Friendship #CamaraderieBlooms "/>
    <n v="30"/>
    <n v="60"/>
    <x v="7"/>
    <x v="86"/>
    <x v="13"/>
    <n v="2018"/>
    <n v="8"/>
    <n v="28"/>
    <x v="12"/>
  </r>
  <r>
    <s v="In the embrace of love, each heartbeat is a melody, dancing to the rhythm of affection. "/>
    <s v=" Love "/>
    <x v="0"/>
    <d v="2022-11-15T20:45:00"/>
    <x v="328"/>
    <x v="93"/>
    <x v="61"/>
    <s v=" MelodyOfLove "/>
    <x v="3"/>
    <x v="0"/>
    <s v=" #Love #RhythmOfAffection "/>
    <n v="35"/>
    <n v="70"/>
    <x v="27"/>
    <x v="10"/>
    <x v="0"/>
    <n v="2022"/>
    <n v="11"/>
    <n v="15"/>
    <x v="13"/>
  </r>
  <r>
    <s v="Surrounded by the colors of joy, a canvas painted with laughter and endless smiles. "/>
    <s v=" Joy "/>
    <x v="0"/>
    <d v="2019-07-02T17:00:00"/>
    <x v="329"/>
    <x v="153"/>
    <x v="34"/>
    <s v=" ColorfulLaughter "/>
    <x v="1"/>
    <x v="1"/>
    <s v=" #Joy #EndlessSmiles "/>
    <n v="40"/>
    <n v="80"/>
    <x v="26"/>
    <x v="14"/>
    <x v="1"/>
    <n v="2019"/>
    <n v="7"/>
    <n v="2"/>
    <x v="9"/>
  </r>
  <r>
    <s v="In the symphony of excitement, each note is a burst of energy, igniting the soul with fervor. "/>
    <s v=" Excitement "/>
    <x v="0"/>
    <d v="2021-04-18T14:20:00"/>
    <x v="330"/>
    <x v="32"/>
    <x v="29"/>
    <s v=" SymphonyFervor "/>
    <x v="2"/>
    <x v="2"/>
    <s v=" #Excitement #IgnitedSoul "/>
    <n v="30"/>
    <n v="60"/>
    <x v="7"/>
    <x v="12"/>
    <x v="2"/>
    <n v="2021"/>
    <n v="4"/>
    <n v="18"/>
    <x v="6"/>
  </r>
  <r>
    <s v="A surprise gift, wrapped in anticipation, unfolds a moment of delight and wonder. "/>
    <s v=" Surprise "/>
    <x v="2"/>
    <d v="2023-02-05T19:30:00"/>
    <x v="331"/>
    <x v="7"/>
    <x v="7"/>
    <s v=" WrappedDelight "/>
    <x v="3"/>
    <x v="0"/>
    <s v=" #Surprise #WonderfulMoment "/>
    <n v="25"/>
    <n v="50"/>
    <x v="5"/>
    <x v="4"/>
    <x v="3"/>
    <n v="2023"/>
    <n v="2"/>
    <n v="5"/>
    <x v="4"/>
  </r>
  <r>
    <s v="Lost in the maze of curiosity, each twist and turn unveils the treasures of discovery. "/>
    <s v=" Curiosity "/>
    <x v="2"/>
    <d v="2018-09-22T12:45:00"/>
    <x v="254"/>
    <x v="147"/>
    <x v="96"/>
    <s v=" MazeDiscovery "/>
    <x v="1"/>
    <x v="1"/>
    <s v=" #Curiosity #TreasuresOfDiscovery "/>
    <n v="22"/>
    <n v="45"/>
    <x v="9"/>
    <x v="16"/>
    <x v="4"/>
    <n v="2018"/>
    <n v="9"/>
    <n v="22"/>
    <x v="0"/>
  </r>
  <r>
    <s v="Floating on clouds of gratitude, each raindrop a blessing, a shower of thankfulness. "/>
    <s v=" Gratitude "/>
    <x v="0"/>
    <d v="2016-12-10T21:15:00"/>
    <x v="332"/>
    <x v="46"/>
    <x v="41"/>
    <s v=" CloudsOfBlessings "/>
    <x v="2"/>
    <x v="2"/>
    <s v=" #Gratitude #ShowerOfThankfulness "/>
    <n v="28"/>
    <n v="55"/>
    <x v="11"/>
    <x v="91"/>
    <x v="9"/>
    <n v="2016"/>
    <n v="12"/>
    <n v="10"/>
    <x v="14"/>
  </r>
  <r>
    <s v="Like a comet of inspiration, streaking through the sky of creativity, leaving trails of brilliance. "/>
    <s v=" Inspiration "/>
    <x v="0"/>
    <d v="2020-05-28T16:00:00"/>
    <x v="333"/>
    <x v="65"/>
    <x v="44"/>
    <s v=" CometCreativity "/>
    <x v="3"/>
    <x v="0"/>
    <s v=" #Inspiration #BrilliantTrails "/>
    <n v="18"/>
    <n v="35"/>
    <x v="8"/>
    <x v="93"/>
    <x v="5"/>
    <n v="2020"/>
    <n v="5"/>
    <n v="28"/>
    <x v="12"/>
  </r>
  <r>
    <s v="In the celebration of success, fireworks of accomplishment light up the night sky of triumph. "/>
    <s v=" Success "/>
    <x v="0"/>
    <d v="2017-11-15T22:30:00"/>
    <x v="334"/>
    <x v="162"/>
    <x v="99"/>
    <s v=" FireworksTriumph "/>
    <x v="1"/>
    <x v="1"/>
    <s v=" #Success #NightSkyTriumph "/>
    <n v="22"/>
    <n v="45"/>
    <x v="9"/>
    <x v="95"/>
    <x v="7"/>
    <n v="2017"/>
    <n v="11"/>
    <n v="15"/>
    <x v="16"/>
  </r>
  <r>
    <s v="A symphony of laughter, each note a key to unlocking the door of boundless happiness. "/>
    <s v=" Happiness "/>
    <x v="0"/>
    <d v="2021-08-02T19:00:00"/>
    <x v="335"/>
    <x v="88"/>
    <x v="38"/>
    <s v=" LaughterSymphony "/>
    <x v="2"/>
    <x v="2"/>
    <s v=" #Happiness #BoundlessLaughter "/>
    <n v="30"/>
    <n v="60"/>
    <x v="7"/>
    <x v="92"/>
    <x v="6"/>
    <n v="2021"/>
    <n v="8"/>
    <n v="2"/>
    <x v="4"/>
  </r>
  <r>
    <s v="In the carnival of emotions, the rollercoaster of thrill sends the heart on a wild ride. "/>
    <s v=" Thrill "/>
    <x v="0"/>
    <d v="2019-03-28T15:30:00"/>
    <x v="50"/>
    <x v="78"/>
    <x v="49"/>
    <s v=" EmotionCarnival "/>
    <x v="1"/>
    <x v="1"/>
    <s v=" #Thrill #WildHeartRide "/>
    <n v="35"/>
    <n v="70"/>
    <x v="27"/>
    <x v="86"/>
    <x v="13"/>
    <n v="2019"/>
    <n v="3"/>
    <n v="28"/>
    <x v="2"/>
  </r>
  <r>
    <s v="Standing before the grandeur of the Eiffel Tower, a moment to reflect on the beauty of Parisian dreams. "/>
    <s v=" Reflection "/>
    <x v="2"/>
    <d v="2018-05-12T17:30:00"/>
    <x v="244"/>
    <x v="28"/>
    <x v="27"/>
    <s v=" ParisDreamer "/>
    <x v="3"/>
    <x v="0"/>
    <s v=" #Reflection #ParisianDreams "/>
    <n v="28"/>
    <n v="55"/>
    <x v="11"/>
    <x v="93"/>
    <x v="5"/>
    <n v="2018"/>
    <n v="5"/>
    <n v="12"/>
    <x v="9"/>
  </r>
  <r>
    <s v="Lost in the enchantment of Disneyland, each ride a journey into the realm of childhood fantasies. "/>
    <s v=" Enchantment "/>
    <x v="0"/>
    <d v="2022-09-28T15:45:00"/>
    <x v="336"/>
    <x v="39"/>
    <x v="2"/>
    <s v=" DisneylandExplorer "/>
    <x v="1"/>
    <x v="1"/>
    <s v=" #Enchantment #ChildhoodFantasies "/>
    <n v="30"/>
    <n v="60"/>
    <x v="7"/>
    <x v="10"/>
    <x v="0"/>
    <n v="2022"/>
    <n v="9"/>
    <n v="28"/>
    <x v="2"/>
  </r>
  <r>
    <s v="Exploring the wonders of Ferrari World, the roar of engines creating a symphony of speed. "/>
    <s v=" Excitement "/>
    <x v="0"/>
    <d v="2019-11-10T14:00:00"/>
    <x v="337"/>
    <x v="151"/>
    <x v="60"/>
    <s v=" FerrariSpeedster "/>
    <x v="2"/>
    <x v="2"/>
    <s v=" #Excitement #SymphonyOfSpeed "/>
    <n v="22"/>
    <n v="45"/>
    <x v="9"/>
    <x v="94"/>
    <x v="11"/>
    <n v="2019"/>
    <n v="11"/>
    <n v="10"/>
    <x v="6"/>
  </r>
  <r>
    <s v="Amidst the tulip fields of Keukenhof, a tapestry of colors that paints the soul with springtime joy. "/>
    <s v=" Joy "/>
    <x v="0"/>
    <d v="2021-04-02T18:20:00"/>
    <x v="338"/>
    <x v="60"/>
    <x v="3"/>
    <s v=" KeukenhofAdventurer "/>
    <x v="1"/>
    <x v="1"/>
    <s v=" #Joy #SpringtimeColors "/>
    <n v="35"/>
    <n v="70"/>
    <x v="27"/>
    <x v="97"/>
    <x v="12"/>
    <n v="2021"/>
    <n v="4"/>
    <n v="2"/>
    <x v="3"/>
  </r>
  <r>
    <s v="Wandering through the historical streets of Kyoto, each step a journey into the heart of Japan's traditions. "/>
    <s v=" Exploration "/>
    <x v="0"/>
    <d v="2017-08-22T21:30:00"/>
    <x v="339"/>
    <x v="164"/>
    <x v="103"/>
    <s v=" KyotoAdventurer "/>
    <x v="3"/>
    <x v="0"/>
    <s v=" #Exploration #JapaneseTraditions "/>
    <n v="18"/>
    <n v="35"/>
    <x v="8"/>
    <x v="95"/>
    <x v="7"/>
    <n v="2017"/>
    <n v="8"/>
    <n v="22"/>
    <x v="14"/>
  </r>
  <r>
    <s v="In the embrace of the Grand Canyon, nature's masterpiece, a moment to marvel at Earth's grandeur. "/>
    <s v=" Awe "/>
    <x v="0"/>
    <d v="2020-06-15T16:45:00"/>
    <x v="340"/>
    <x v="21"/>
    <x v="20"/>
    <s v=" CanyonMarveler "/>
    <x v="1"/>
    <x v="1"/>
    <s v=" #Awe #EarthsGrandeur "/>
    <n v="25"/>
    <n v="50"/>
    <x v="5"/>
    <x v="10"/>
    <x v="0"/>
    <n v="2020"/>
    <n v="6"/>
    <n v="15"/>
    <x v="12"/>
  </r>
  <r>
    <s v="Journeying through the serenity of Santorini, where each sunset paints the sky with hues of tranquility. "/>
    <s v=" Serenity "/>
    <x v="0"/>
    <d v="2016-09-10T19:15:00"/>
    <x v="341"/>
    <x v="75"/>
    <x v="52"/>
    <s v=" SantoriniTraveler "/>
    <x v="2"/>
    <x v="2"/>
    <s v=" #Serenity #SunsetHues "/>
    <n v="22"/>
    <n v="45"/>
    <x v="9"/>
    <x v="98"/>
    <x v="8"/>
    <n v="2016"/>
    <n v="9"/>
    <n v="10"/>
    <x v="4"/>
  </r>
  <r>
    <s v="Amazed by the architectural marvels of Petra, each stone telling tales of an ancient civilization. "/>
    <s v=" Amazement "/>
    <x v="0"/>
    <d v="2023-01-28T13:00:00"/>
    <x v="13"/>
    <x v="165"/>
    <x v="78"/>
    <s v=" PetraExplorer "/>
    <x v="3"/>
    <x v="0"/>
    <s v=" #Amazement #AncientTales "/>
    <n v="30"/>
    <n v="60"/>
    <x v="7"/>
    <x v="99"/>
    <x v="21"/>
    <n v="2023"/>
    <n v="1"/>
    <n v="28"/>
    <x v="8"/>
  </r>
  <r>
    <s v="Embarking on a gondola ride in Venice, each canal reflecting the romance of this timeless city. "/>
    <s v=" Romance "/>
    <x v="0"/>
    <d v="2019-04-18T16:30:00"/>
    <x v="311"/>
    <x v="77"/>
    <x v="54"/>
    <s v=" VeniceRomantic "/>
    <x v="1"/>
    <x v="1"/>
    <s v=" #Romance #TimelessCity "/>
    <n v="20"/>
    <n v="40"/>
    <x v="2"/>
    <x v="94"/>
    <x v="11"/>
    <n v="2019"/>
    <n v="4"/>
    <n v="18"/>
    <x v="12"/>
  </r>
  <r>
    <s v="At the summit of Machu Picchu, a breathtaking panorama that whispers the secrets of ancient civilizations. "/>
    <s v=" Awe "/>
    <x v="0"/>
    <d v="2017-11-05T22:00:00"/>
    <x v="342"/>
    <x v="107"/>
    <x v="70"/>
    <s v=" MachuPicchuAdventurer "/>
    <x v="2"/>
    <x v="2"/>
    <s v=" #Awe #AncientCivilizations "/>
    <n v="28"/>
    <n v="55"/>
    <x v="11"/>
    <x v="100"/>
    <x v="22"/>
    <n v="2017"/>
    <n v="11"/>
    <n v="5"/>
    <x v="16"/>
  </r>
  <r>
    <s v="In the heart of New York City, Times Square dazzles with lights, a vibrant spectacle of urban energy. "/>
    <s v=" Excitement "/>
    <x v="0"/>
    <d v="2022-07-20T21:45:00"/>
    <x v="343"/>
    <x v="157"/>
    <x v="50"/>
    <s v=" TimesSquareExplorer "/>
    <x v="1"/>
    <x v="1"/>
    <s v=" #Excitement #UrbanEnergy "/>
    <n v="35"/>
    <n v="70"/>
    <x v="27"/>
    <x v="10"/>
    <x v="0"/>
    <n v="2022"/>
    <n v="7"/>
    <n v="20"/>
    <x v="14"/>
  </r>
  <r>
    <s v="Captivated by the historical charm of the Colosseum, each stone echoing tales of gladiator valor. "/>
    <s v=" Captivation "/>
    <x v="0"/>
    <d v="2018-03-15T17:30:00"/>
    <x v="344"/>
    <x v="28"/>
    <x v="27"/>
    <s v=" ColosseumAdventurer "/>
    <x v="3"/>
    <x v="0"/>
    <s v=" #Captivation #GladiatorTales "/>
    <n v="25"/>
    <n v="50"/>
    <x v="5"/>
    <x v="94"/>
    <x v="11"/>
    <n v="2018"/>
    <n v="3"/>
    <n v="15"/>
    <x v="9"/>
  </r>
  <r>
    <s v="Sailing the azure waters of the Maldives, each wave a whisper of serenity in paradise. "/>
    <s v=" Serenity "/>
    <x v="0"/>
    <d v="2019-10-28T14:15:00"/>
    <x v="323"/>
    <x v="163"/>
    <x v="67"/>
    <s v=" MaldivesSailor "/>
    <x v="2"/>
    <x v="2"/>
    <s v=" #Serenity #ParadiseWhispers "/>
    <n v="22"/>
    <n v="45"/>
    <x v="9"/>
    <x v="101"/>
    <x v="23"/>
    <n v="2019"/>
    <n v="10"/>
    <n v="28"/>
    <x v="6"/>
  </r>
  <r>
    <s v="In the midst of the Amazon rainforest, a symphony of wildlife creates an orchestra of nature's wonders. "/>
    <s v=" Wonder "/>
    <x v="0"/>
    <d v="2021-06-10T16:00:00"/>
    <x v="225"/>
    <x v="65"/>
    <x v="44"/>
    <s v=" AmazonExplorer "/>
    <x v="1"/>
    <x v="1"/>
    <s v=" #Wonder #NatureOrchestra "/>
    <n v="30"/>
    <n v="60"/>
    <x v="7"/>
    <x v="92"/>
    <x v="6"/>
    <n v="2021"/>
    <n v="6"/>
    <n v="10"/>
    <x v="12"/>
  </r>
  <r>
    <s v="Walking the Great Wall of China, each step a testament to ancient engineering marvels. "/>
    <s v=" Awe "/>
    <x v="0"/>
    <d v="2017-08-18T19:30:00"/>
    <x v="345"/>
    <x v="62"/>
    <x v="7"/>
    <s v=" GreatWallWalker "/>
    <x v="3"/>
    <x v="0"/>
    <s v=" #Awe #EngineeringMarvels "/>
    <n v="18"/>
    <n v="35"/>
    <x v="8"/>
    <x v="102"/>
    <x v="24"/>
    <n v="2017"/>
    <n v="8"/>
    <n v="18"/>
    <x v="4"/>
  </r>
  <r>
    <s v="At the summit of Mount Fuji, a breathtaking sunrise that paints the sky with hues of accomplishment. "/>
    <s v=" Accomplishment "/>
    <x v="0"/>
    <d v="2020-04-15T05:30:00"/>
    <x v="346"/>
    <x v="166"/>
    <x v="104"/>
    <s v=" FujiSummitAchiever "/>
    <x v="2"/>
    <x v="2"/>
    <s v=" #Accomplishment #SunriseHues "/>
    <n v="28"/>
    <n v="55"/>
    <x v="11"/>
    <x v="95"/>
    <x v="7"/>
    <n v="2020"/>
    <n v="4"/>
    <n v="15"/>
    <x v="21"/>
  </r>
  <r>
    <s v="Exploring the ancient ruins of Angkor Wat, each stone whispering stories of Khmer civilization. "/>
    <s v=" Exploration "/>
    <x v="0"/>
    <d v="2016-11-22T13:00:00"/>
    <x v="291"/>
    <x v="165"/>
    <x v="78"/>
    <s v=" AngkorWatAdventurer "/>
    <x v="1"/>
    <x v="1"/>
    <s v=" #Exploration #KhmerStories "/>
    <n v="20"/>
    <n v="40"/>
    <x v="2"/>
    <x v="103"/>
    <x v="25"/>
    <n v="2016"/>
    <n v="11"/>
    <n v="22"/>
    <x v="8"/>
  </r>
  <r>
    <s v="Skiing down the slopes of the Swiss Alps, each turn a dance with the majesty of snow-capped peaks. "/>
    <s v=" Adventure "/>
    <x v="0"/>
    <d v="2019-01-10T14:45:00"/>
    <x v="347"/>
    <x v="47"/>
    <x v="6"/>
    <s v=" AlpsSkiAdventurer "/>
    <x v="3"/>
    <x v="0"/>
    <s v=" #Adventure #SnowPeakDance "/>
    <n v="22"/>
    <n v="45"/>
    <x v="9"/>
    <x v="104"/>
    <x v="16"/>
    <n v="2019"/>
    <n v="1"/>
    <n v="10"/>
    <x v="6"/>
  </r>
  <r>
    <s v="In the tranquility of Kyoto's bamboo forest, whispers of ancient Zen wisdom echo through the groves. "/>
    <s v=" Tranquility "/>
    <x v="0"/>
    <d v="2023-02-28T16:20:00"/>
    <x v="35"/>
    <x v="25"/>
    <x v="24"/>
    <s v=" KyotoBambooSeeker "/>
    <x v="2"/>
    <x v="2"/>
    <s v=" #Tranquility #ZenWisdom "/>
    <n v="25"/>
    <n v="50"/>
    <x v="5"/>
    <x v="95"/>
    <x v="7"/>
    <n v="2023"/>
    <n v="2"/>
    <n v="28"/>
    <x v="12"/>
  </r>
  <r>
    <s v="Cruising the fjords of Norway, each icy landscape a breathtaking masterpiece of nature's grandeur. "/>
    <s v=" Grandeur "/>
    <x v="0"/>
    <d v="2018-05-28T18:30:00"/>
    <x v="348"/>
    <x v="40"/>
    <x v="36"/>
    <s v=" NorwayFjordExplorer "/>
    <x v="1"/>
    <x v="1"/>
    <s v=" #Grandeur #IcyMasterpiece "/>
    <n v="22"/>
    <n v="45"/>
    <x v="9"/>
    <x v="105"/>
    <x v="26"/>
    <n v="2018"/>
    <n v="5"/>
    <n v="28"/>
    <x v="3"/>
  </r>
  <r>
    <s v="At the front row of Adele's concert, each note of 'Someone Like You' resonates with soul-stirring emotion. "/>
    <s v=" Emotion "/>
    <x v="2"/>
    <d v="2022-09-15T20:00:00"/>
    <x v="349"/>
    <x v="34"/>
    <x v="31"/>
    <s v=" AdeleConcertGoer "/>
    <x v="1"/>
    <x v="1"/>
    <s v=" #Emotion #AdeleConcert "/>
    <n v="40"/>
    <n v="80"/>
    <x v="26"/>
    <x v="10"/>
    <x v="0"/>
    <n v="2022"/>
    <n v="9"/>
    <n v="15"/>
    <x v="13"/>
  </r>
  <r>
    <s v="Dancing under the stars at Beyonc√©'s live show, feeling the power of 'Single Ladies' in every move. "/>
    <s v=" Energy "/>
    <x v="0"/>
    <d v="2019-07-28T21:30:00"/>
    <x v="350"/>
    <x v="160"/>
    <x v="103"/>
    <s v=" BeyonceDancer "/>
    <x v="3"/>
    <x v="0"/>
    <s v=" #Energy #BeyonceConcert "/>
    <n v="35"/>
    <n v="70"/>
    <x v="27"/>
    <x v="10"/>
    <x v="0"/>
    <n v="2019"/>
    <n v="7"/>
    <n v="28"/>
    <x v="14"/>
  </r>
  <r>
    <s v="In the crowd of a Taylor Swift concert, the lyrics of 'Love Story' create an enchanting fairy tale. "/>
    <s v=" Enchantment "/>
    <x v="0"/>
    <d v="2021-05-10T19:45:00"/>
    <x v="351"/>
    <x v="58"/>
    <x v="25"/>
    <s v=" SwiftieDreamer "/>
    <x v="2"/>
    <x v="2"/>
    <s v=" #Enchantment #TaylorSwift "/>
    <n v="30"/>
    <n v="60"/>
    <x v="7"/>
    <x v="10"/>
    <x v="0"/>
    <n v="2021"/>
    <n v="5"/>
    <n v="10"/>
    <x v="4"/>
  </r>
  <r>
    <s v="Rocking out to the guitar solos at a Queen tribute concert, a journey back in time with Freddie's spirit. "/>
    <s v=" Nostalgia "/>
    <x v="2"/>
    <d v="2018-12-02T22:15:00"/>
    <x v="352"/>
    <x v="159"/>
    <x v="102"/>
    <s v=" QueenTributeFan "/>
    <x v="1"/>
    <x v="1"/>
    <s v=" #Nostalgia #QueenTribute "/>
    <n v="22"/>
    <n v="45"/>
    <x v="9"/>
    <x v="12"/>
    <x v="2"/>
    <n v="2018"/>
    <n v="12"/>
    <n v="2"/>
    <x v="16"/>
  </r>
  <r>
    <s v="Swaying to Ed Sheeran's acoustic melodies, a serene evening filled with 'Perfect' moments. "/>
    <s v=" Serenity "/>
    <x v="0"/>
    <d v="2020-08-18T19:00:00"/>
    <x v="353"/>
    <x v="42"/>
    <x v="38"/>
    <s v=" SheeranMelodyLover "/>
    <x v="3"/>
    <x v="0"/>
    <s v=" #Serenity #EdSheeranConcert "/>
    <n v="18"/>
    <n v="35"/>
    <x v="8"/>
    <x v="12"/>
    <x v="2"/>
    <n v="2020"/>
    <n v="8"/>
    <n v="18"/>
    <x v="4"/>
  </r>
  <r>
    <s v="Immersed in the pulsating beats of a Bruno Mars concert, where 'Uptown Funk' becomes a city of joy. "/>
    <s v=" Joy "/>
    <x v="0"/>
    <d v="2017-03-28T20:30:00"/>
    <x v="307"/>
    <x v="52"/>
    <x v="45"/>
    <s v=" MarsJoyExplorer "/>
    <x v="2"/>
    <x v="2"/>
    <s v=" #Joy #BrunoMars "/>
    <n v="28"/>
    <n v="55"/>
    <x v="11"/>
    <x v="10"/>
    <x v="0"/>
    <n v="2017"/>
    <n v="3"/>
    <n v="28"/>
    <x v="13"/>
  </r>
  <r>
    <s v="At a Michael Jackson tribute show, moonwalking through the hits, a celebration of the King of Pop. "/>
    <s v=" Celebration "/>
    <x v="0"/>
    <d v="2022-01-15T21:15:00"/>
    <x v="109"/>
    <x v="46"/>
    <x v="41"/>
    <s v=" MJTributeDancer "/>
    <x v="1"/>
    <x v="1"/>
    <s v=" #Celebration #MJTribute "/>
    <n v="25"/>
    <n v="50"/>
    <x v="5"/>
    <x v="10"/>
    <x v="0"/>
    <n v="2022"/>
    <n v="1"/>
    <n v="15"/>
    <x v="14"/>
  </r>
  <r>
    <s v="Swinging to the rhythms of a Frank Sinatra tribute, feeling the timeless charm of 'Fly Me to the Moon'. "/>
    <s v=" Charm "/>
    <x v="0"/>
    <d v="2019-06-10T18:45:00"/>
    <x v="354"/>
    <x v="69"/>
    <x v="47"/>
    <s v=" SinatraCharmListener "/>
    <x v="3"/>
    <x v="0"/>
    <s v=" #Charm #SinatraTribute "/>
    <n v="22"/>
    <n v="45"/>
    <x v="9"/>
    <x v="10"/>
    <x v="0"/>
    <n v="2019"/>
    <n v="6"/>
    <n v="10"/>
    <x v="3"/>
  </r>
  <r>
    <s v="In the mosh pit of a Metallica concert, the thunderous chords create a symphony of headbanging ecstasy. "/>
    <s v=" Ecstasy "/>
    <x v="0"/>
    <d v="2023-03-20T22:30:00"/>
    <x v="355"/>
    <x v="149"/>
    <x v="99"/>
    <s v=" MetallicaMoshWarrior "/>
    <x v="2"/>
    <x v="2"/>
    <s v=" #Ecstasy #MetallicaConcert "/>
    <n v="35"/>
    <n v="70"/>
    <x v="27"/>
    <x v="10"/>
    <x v="0"/>
    <n v="2023"/>
    <n v="3"/>
    <n v="20"/>
    <x v="16"/>
  </r>
  <r>
    <s v="Experiencing the magic of a Coldplay concert, where 'Fix You' becomes a beacon of hope in the night. "/>
    <s v=" Hope "/>
    <x v="0"/>
    <d v="2016-11-28T19:00:00"/>
    <x v="111"/>
    <x v="88"/>
    <x v="38"/>
    <s v=" ColdplayHopeSeeker "/>
    <x v="1"/>
    <x v="1"/>
    <s v=" #Hope #ColdplayMagic "/>
    <n v="30"/>
    <n v="60"/>
    <x v="7"/>
    <x v="12"/>
    <x v="2"/>
    <n v="2016"/>
    <n v="11"/>
    <n v="28"/>
    <x v="4"/>
  </r>
  <r>
    <s v="At a Justin Bieber concert, the infectious beats of 'Baby' create a dance floor of unbridled enthusiasm. "/>
    <s v=" Enthusiasm "/>
    <x v="0"/>
    <d v="2018-08-05T20:00:00"/>
    <x v="121"/>
    <x v="34"/>
    <x v="31"/>
    <s v=" BieberDanceEnthusiast "/>
    <x v="1"/>
    <x v="1"/>
    <s v=" #Enthusiasm #JustinBieber "/>
    <n v="40"/>
    <n v="80"/>
    <x v="26"/>
    <x v="14"/>
    <x v="1"/>
    <n v="2018"/>
    <n v="8"/>
    <n v="5"/>
    <x v="13"/>
  </r>
  <r>
    <s v="In the spotlight at a Lady Gaga show, each costume change is a metamorphosis of creativity and artistry. "/>
    <s v=" Creativity "/>
    <x v="0"/>
    <d v="2021-04-15T21:30:00"/>
    <x v="276"/>
    <x v="164"/>
    <x v="103"/>
    <s v=" GagaArtisticChameleon "/>
    <x v="3"/>
    <x v="0"/>
    <s v=" #Creativity #LadyGaga "/>
    <n v="35"/>
    <n v="70"/>
    <x v="27"/>
    <x v="10"/>
    <x v="0"/>
    <n v="2021"/>
    <n v="4"/>
    <n v="15"/>
    <x v="14"/>
  </r>
  <r>
    <s v="Immersed in the soulful melodies of Adele, tears flow freely, moved by the emotion of 'Hello'. "/>
    <s v=" Emotion "/>
    <x v="2"/>
    <d v="2019-11-28T19:45:00"/>
    <x v="89"/>
    <x v="26"/>
    <x v="25"/>
    <s v=" AdeleMelodyTearjerker "/>
    <x v="2"/>
    <x v="2"/>
    <s v=" #Emotion #AdeleMelodies "/>
    <n v="30"/>
    <n v="60"/>
    <x v="7"/>
    <x v="12"/>
    <x v="2"/>
    <n v="2019"/>
    <n v="11"/>
    <n v="28"/>
    <x v="4"/>
  </r>
  <r>
    <s v="Drenched in confetti at a Katy Perry concert, a kaleidoscope of colors igniting the night sky. "/>
    <s v=" Colorful "/>
    <x v="0"/>
    <d v="2020-06-22T22:00:00"/>
    <x v="356"/>
    <x v="107"/>
    <x v="70"/>
    <s v=" KatyPerryColorExplosion "/>
    <x v="1"/>
    <x v="1"/>
    <s v=" #Colorful #KatyPerry "/>
    <n v="22"/>
    <n v="45"/>
    <x v="9"/>
    <x v="10"/>
    <x v="0"/>
    <n v="2020"/>
    <n v="6"/>
    <n v="22"/>
    <x v="16"/>
  </r>
  <r>
    <s v="In the audience of a Jay-Z performance, the lyrics of 'Empire State of Mind' become an anthem of pride. "/>
    <s v=" Pride "/>
    <x v="0"/>
    <d v="2017-09-10T20:15:00"/>
    <x v="299"/>
    <x v="167"/>
    <x v="105"/>
    <s v=" JayZEmpireListener "/>
    <x v="3"/>
    <x v="0"/>
    <s v=" #Pride #JayZAnthem "/>
    <n v="18"/>
    <n v="35"/>
    <x v="8"/>
    <x v="10"/>
    <x v="0"/>
    <n v="2017"/>
    <n v="9"/>
    <n v="10"/>
    <x v="13"/>
  </r>
  <r>
    <s v="Dancing to Shakira's rhythmic beats, hips swaying to the hypnotic charm of 'Hips Don't Lie'. "/>
    <s v=" Hypnotic "/>
    <x v="0"/>
    <d v="2022-02-28T21:15:00"/>
    <x v="220"/>
    <x v="46"/>
    <x v="41"/>
    <s v=" ShakiraHipsDancer "/>
    <x v="2"/>
    <x v="2"/>
    <s v=" #Hypnotic #ShakiraRhythms "/>
    <n v="28"/>
    <n v="55"/>
    <x v="11"/>
    <x v="106"/>
    <x v="27"/>
    <n v="2022"/>
    <n v="2"/>
    <n v="28"/>
    <x v="14"/>
  </r>
  <r>
    <s v="At a U2 concert, the anthemic chords of 'With or Without You' create a timeless moment of connection. "/>
    <s v=" Connection "/>
    <x v="0"/>
    <d v="2016-05-15T19:30:00"/>
    <x v="285"/>
    <x v="62"/>
    <x v="7"/>
    <s v=" U2ConnectionSeeker "/>
    <x v="1"/>
    <x v="1"/>
    <s v=" #Connection #U2Anthem "/>
    <n v="25"/>
    <n v="50"/>
    <x v="5"/>
    <x v="107"/>
    <x v="28"/>
    <n v="2016"/>
    <n v="5"/>
    <n v="15"/>
    <x v="4"/>
  </r>
  <r>
    <s v="Rocking out at a Guns N' Roses show, the iconic riffs of 'Sweet Child o' Mine' echoing in the night. "/>
    <s v=" Iconic "/>
    <x v="0"/>
    <d v="2018-12-10T22:30:00"/>
    <x v="357"/>
    <x v="162"/>
    <x v="99"/>
    <s v=" GunsNRosesRiffRockstar "/>
    <x v="3"/>
    <x v="0"/>
    <s v=" #Iconic #GNRConcert "/>
    <n v="22"/>
    <n v="45"/>
    <x v="9"/>
    <x v="10"/>
    <x v="0"/>
    <n v="2018"/>
    <n v="12"/>
    <n v="10"/>
    <x v="16"/>
  </r>
  <r>
    <s v="In the crowd of an Ariana Grande concert, the high notes of 'Into You' create a euphoric symphony. "/>
    <s v=" Euphoria "/>
    <x v="0"/>
    <d v="2023-01-22T20:00:00"/>
    <x v="7"/>
    <x v="168"/>
    <x v="31"/>
    <s v=" ArianaEuphoriaChaser "/>
    <x v="2"/>
    <x v="2"/>
    <s v=" #Euphoria #ArianaGrande "/>
    <n v="35"/>
    <n v="70"/>
    <x v="27"/>
    <x v="10"/>
    <x v="0"/>
    <n v="2023"/>
    <n v="1"/>
    <n v="22"/>
    <x v="13"/>
  </r>
  <r>
    <s v="Swaying to the reggae vibes of Bob Marley's tribute concert, each chord a journey to Jamaica's soul. "/>
    <s v=" Journey "/>
    <x v="2"/>
    <d v="2020-03-05T18:45:00"/>
    <x v="358"/>
    <x v="57"/>
    <x v="47"/>
    <s v=" MarleyReggaeTraveler "/>
    <x v="1"/>
    <x v="1"/>
    <s v=" #Journey #BobMarleyTribute "/>
    <n v="30"/>
    <n v="60"/>
    <x v="7"/>
    <x v="108"/>
    <x v="29"/>
    <n v="2020"/>
    <n v="3"/>
    <n v="5"/>
    <x v="3"/>
  </r>
  <r>
    <s v="Captivated by the spellbinding plot twists, the audience applauds, experiencing a rollercoaster of emotions at the movie premiere. "/>
    <s v=" Excitement "/>
    <x v="0"/>
    <d v="2018-10-12T20:00:00"/>
    <x v="359"/>
    <x v="34"/>
    <x v="31"/>
    <s v=" MovieEnthusiastPremiereAttendee "/>
    <x v="3"/>
    <x v="0"/>
    <s v=" #Excitement #MoviePremiereThrills "/>
    <n v="40"/>
    <n v="80"/>
    <x v="26"/>
    <x v="10"/>
    <x v="0"/>
    <n v="2018"/>
    <n v="10"/>
    <n v="12"/>
    <x v="13"/>
  </r>
  <r>
    <s v="As the credits roll, a profound sense of nostalgia washes over, reminiscent of cherished moments in classic films. "/>
    <s v=" Nostalgia "/>
    <x v="2"/>
    <d v="2019-06-25T22:15:00"/>
    <x v="360"/>
    <x v="169"/>
    <x v="102"/>
    <s v=" FilmLoverNostalgiaSeeker "/>
    <x v="1"/>
    <x v="1"/>
    <s v=" #Nostalgia #ClassicFilmMoments "/>
    <n v="35"/>
    <n v="70"/>
    <x v="27"/>
    <x v="12"/>
    <x v="2"/>
    <n v="2019"/>
    <n v="6"/>
    <n v="25"/>
    <x v="16"/>
  </r>
  <r>
    <s v="Streaming the latest web series, the viewer is engrossed in the characters' journey, feeling a sense of connection and empathy. "/>
    <s v=" Engagement "/>
    <x v="0"/>
    <d v="2020-07-08T19:30:00"/>
    <x v="176"/>
    <x v="7"/>
    <x v="7"/>
    <s v=" WebSeriesViewerCharacterConnection "/>
    <x v="2"/>
    <x v="2"/>
    <s v=" #Engagement #WebSeriesJourney "/>
    <n v="30"/>
    <n v="60"/>
    <x v="7"/>
    <x v="14"/>
    <x v="1"/>
    <n v="2020"/>
    <n v="7"/>
    <n v="8"/>
    <x v="4"/>
  </r>
  <r>
    <s v="At the film festival, the indie filmmaker's creation receives a standing ovation, evoking pride and a sense of accomplishment. "/>
    <s v=" Pride "/>
    <x v="0"/>
    <d v="2017-09-18T21:45:00"/>
    <x v="361"/>
    <x v="157"/>
    <x v="50"/>
    <s v=" IndieFilmmakerFestivalSuccess "/>
    <x v="3"/>
    <x v="0"/>
    <s v=" #Pride #IndieFilmSuccess "/>
    <n v="22"/>
    <n v="45"/>
    <x v="9"/>
    <x v="4"/>
    <x v="3"/>
    <n v="2017"/>
    <n v="9"/>
    <n v="18"/>
    <x v="14"/>
  </r>
  <r>
    <s v="Watching a heartwarming family drama, tears flow freely as the characters overcome challenges, leaving the viewer with a warm glow. "/>
    <s v=" Touched "/>
    <x v="2"/>
    <d v="2021-01-15T18:00:00"/>
    <x v="194"/>
    <x v="29"/>
    <x v="13"/>
    <s v=" DramaEnthusiastHeartwarmingMoments "/>
    <x v="1"/>
    <x v="1"/>
    <s v=" #Touched #FamilyDramaMoments "/>
    <n v="28"/>
    <n v="55"/>
    <x v="11"/>
    <x v="16"/>
    <x v="4"/>
    <n v="2021"/>
    <n v="1"/>
    <n v="15"/>
    <x v="3"/>
  </r>
  <r>
    <s v="At the Oscars, the actor graciously accepts an award, radiating joy and gratitude for the recognition of their outstanding performance. "/>
    <s v=" Gratitude "/>
    <x v="0"/>
    <d v="2016-02-28T20:30:00"/>
    <x v="362"/>
    <x v="52"/>
    <x v="45"/>
    <s v=" AwardWinningActorOscarsRecipient "/>
    <x v="2"/>
    <x v="2"/>
    <s v=" #Gratitude #OscarWinningMoment "/>
    <n v="18"/>
    <n v="35"/>
    <x v="8"/>
    <x v="10"/>
    <x v="0"/>
    <n v="2016"/>
    <n v="2"/>
    <n v="28"/>
    <x v="13"/>
  </r>
  <r>
    <s v="Discovering a hidden gem in the world of documentaries, the viewer is enlightened and inspired, feeling a renewed sense of curiosity. "/>
    <s v=" Inspiration "/>
    <x v="0"/>
    <d v="2022-04-20T17:30:00"/>
    <x v="363"/>
    <x v="91"/>
    <x v="27"/>
    <s v=" DocumentaryEnthusiastHiddenGemFinder "/>
    <x v="3"/>
    <x v="0"/>
    <s v=" #Inspiration #HiddenGemDiscovery "/>
    <n v="22"/>
    <n v="45"/>
    <x v="9"/>
    <x v="93"/>
    <x v="5"/>
    <n v="2022"/>
    <n v="4"/>
    <n v="20"/>
    <x v="9"/>
  </r>
  <r>
    <s v="As the movie credits roll, the viewer experiences a mix of awe and contemplation, pondering the deeper meanings woven into the storyline. "/>
    <s v=" Contemplation "/>
    <x v="2"/>
    <d v="2019-11-05T21:15:00"/>
    <x v="364"/>
    <x v="46"/>
    <x v="41"/>
    <s v=" FilmBuffContemplativeViewer "/>
    <x v="1"/>
    <x v="1"/>
    <s v=" #Contemplation #DeepMeanings "/>
    <n v="28"/>
    <n v="55"/>
    <x v="11"/>
    <x v="91"/>
    <x v="9"/>
    <n v="2019"/>
    <n v="11"/>
    <n v="5"/>
    <x v="14"/>
  </r>
  <r>
    <s v="Binge-watching a thrilling crime series, the suspense keeps the viewer on the edge of their seat, creating a rush of adrenaline. "/>
    <s v=" Suspense "/>
    <x v="2"/>
    <d v="2015-07-12T22:00:00"/>
    <x v="365"/>
    <x v="145"/>
    <x v="70"/>
    <s v=" CrimeSeriesEnthusiastThrillSeeker "/>
    <x v="2"/>
    <x v="2"/>
    <s v=" #Suspense #CrimeSeriesThrills "/>
    <n v="35"/>
    <n v="70"/>
    <x v="27"/>
    <x v="95"/>
    <x v="7"/>
    <n v="2015"/>
    <n v="7"/>
    <n v="12"/>
    <x v="16"/>
  </r>
  <r>
    <s v="As the closing scene unfolds, a sense of satisfaction washes over, completing the cinematic journey with a profound and fulfilling ending. "/>
    <s v=" Satisfaction "/>
    <x v="0"/>
    <d v="2020-09-10T19:45:00"/>
    <x v="366"/>
    <x v="58"/>
    <x v="25"/>
    <s v=" FilmCriticSatisfactionSeeker "/>
    <x v="3"/>
    <x v="0"/>
    <s v=" #Satisfaction #FulfillingEnding "/>
    <n v="22"/>
    <n v="45"/>
    <x v="9"/>
    <x v="92"/>
    <x v="6"/>
    <n v="2020"/>
    <n v="9"/>
    <n v="10"/>
    <x v="4"/>
  </r>
  <r>
    <s v="Celebrating a historic victory in the World Cup, the nation erupts in joy, united by the triumph of their football team. "/>
    <s v=" Joy "/>
    <x v="0"/>
    <d v="2018-07-15T21:30:00"/>
    <x v="367"/>
    <x v="160"/>
    <x v="103"/>
    <s v=" FootballFanWorldCupCelebration "/>
    <x v="1"/>
    <x v="1"/>
    <s v=" #Joy #WorldCupTriumph "/>
    <n v="40"/>
    <n v="80"/>
    <x v="26"/>
    <x v="92"/>
    <x v="6"/>
    <n v="2018"/>
    <n v="7"/>
    <n v="15"/>
    <x v="14"/>
  </r>
  <r>
    <s v="At the Olympics, the athlete's perseverance shines through, earning a gold medal and inspiring a generation with their remarkable achievement. "/>
    <s v=" Inspiration "/>
    <x v="0"/>
    <d v="2020-08-08T19:45:00"/>
    <x v="368"/>
    <x v="26"/>
    <x v="25"/>
    <s v=" OlympicsEnthusiastGoldMedalWinner "/>
    <x v="3"/>
    <x v="0"/>
    <s v=" #Inspiration #OlympicAchievement "/>
    <n v="35"/>
    <n v="70"/>
    <x v="27"/>
    <x v="10"/>
    <x v="0"/>
    <n v="2020"/>
    <n v="8"/>
    <n v="8"/>
    <x v="4"/>
  </r>
  <r>
    <s v="In the cricket championship, a nail-biting finish leaves fans on the edge of their seats, experiencing a rollercoaster of emotions. "/>
    <s v=" Excitement "/>
    <x v="0"/>
    <d v="2019-06-25T22:15:00"/>
    <x v="360"/>
    <x v="169"/>
    <x v="102"/>
    <s v=" CricketFanChampionshipThrills "/>
    <x v="2"/>
    <x v="2"/>
    <s v=" #Excitement #CricketChampionship "/>
    <n v="30"/>
    <n v="60"/>
    <x v="7"/>
    <x v="16"/>
    <x v="4"/>
    <n v="2019"/>
    <n v="6"/>
    <n v="25"/>
    <x v="16"/>
  </r>
  <r>
    <s v="Witnessing a record-breaking marathon, spectators are filled with awe and admiration for the endurance and dedication of the runners. "/>
    <s v=" Admiration "/>
    <x v="2"/>
    <d v="2021-11-07T17:30:00"/>
    <x v="369"/>
    <x v="91"/>
    <x v="27"/>
    <s v=" MarathonSpectatorRecordBreaking "/>
    <x v="1"/>
    <x v="1"/>
    <s v=" #Admiration #MarathonRecords "/>
    <n v="22"/>
    <n v="45"/>
    <x v="9"/>
    <x v="109"/>
    <x v="30"/>
    <n v="2021"/>
    <n v="11"/>
    <n v="7"/>
    <x v="9"/>
  </r>
  <r>
    <s v="In the tennis grand slam, a fierce rivalry unfolds, captivating fans with a display of skill and sportsmanship on the world stage. "/>
    <s v=" Captivation "/>
    <x v="0"/>
    <d v="2017-09-10T20:15:00"/>
    <x v="299"/>
    <x v="167"/>
    <x v="105"/>
    <s v=" TennisEnthusiastGrandSlamDrama "/>
    <x v="3"/>
    <x v="0"/>
    <s v=" #Captivation #TennisRivalry "/>
    <n v="28"/>
    <n v="55"/>
    <x v="11"/>
    <x v="12"/>
    <x v="2"/>
    <n v="2017"/>
    <n v="9"/>
    <n v="10"/>
    <x v="13"/>
  </r>
  <r>
    <s v="Cheering for the underdog in the basketball finals, the crowd erupts in applause as the team defies odds to claim the championship title. "/>
    <s v=" Triumph "/>
    <x v="0"/>
    <d v="2022-06-20T21:00:00"/>
    <x v="175"/>
    <x v="129"/>
    <x v="65"/>
    <s v=" BasketballFanUnderdogTriumph "/>
    <x v="2"/>
    <x v="2"/>
    <s v=" #Triumph #BasketballFinals "/>
    <n v="18"/>
    <n v="35"/>
    <x v="8"/>
    <x v="10"/>
    <x v="0"/>
    <n v="2022"/>
    <n v="6"/>
    <n v="20"/>
    <x v="14"/>
  </r>
  <r>
    <s v="At the golf tournament, the golfer's precision and focus lead to a stunning victory, leaving spectators in awe of their exceptional skill. "/>
    <s v=" Awe "/>
    <x v="0"/>
    <d v="2016-04-10T18:30:00"/>
    <x v="370"/>
    <x v="40"/>
    <x v="36"/>
    <s v=" GolfEnthusiastPrecisionVictory "/>
    <x v="1"/>
    <x v="1"/>
    <s v=" #Awe #GolfVictory "/>
    <n v="22"/>
    <n v="45"/>
    <x v="9"/>
    <x v="110"/>
    <x v="31"/>
    <n v="2016"/>
    <n v="4"/>
    <n v="10"/>
    <x v="3"/>
  </r>
  <r>
    <s v="Experiencing the thrill of a high-speed Formula 1 race, fans are on the edge of their seats as drivers compete for the championship. "/>
    <s v=" Thrill "/>
    <x v="0"/>
    <d v="2019-11-24T19:45:00"/>
    <x v="371"/>
    <x v="26"/>
    <x v="25"/>
    <s v=" F1FanHighSpeedRaceExcitement "/>
    <x v="3"/>
    <x v="0"/>
    <s v=" #Thrill #Formula1Championship "/>
    <n v="28"/>
    <n v="55"/>
    <x v="11"/>
    <x v="91"/>
    <x v="9"/>
    <n v="2019"/>
    <n v="11"/>
    <n v="24"/>
    <x v="4"/>
  </r>
  <r>
    <s v="In the cycling world championship, the climber conquers challenging terrains, symbolizing determination and achievement against all odds. "/>
    <s v=" Determination "/>
    <x v="0"/>
    <d v="2015-09-28T22:30:00"/>
    <x v="372"/>
    <x v="149"/>
    <x v="99"/>
    <s v=" CyclingEnthusiastWorldChampion "/>
    <x v="2"/>
    <x v="2"/>
    <s v=" #Determination #CyclingChampion "/>
    <n v="35"/>
    <n v="70"/>
    <x v="27"/>
    <x v="94"/>
    <x v="11"/>
    <n v="2015"/>
    <n v="9"/>
    <n v="28"/>
    <x v="16"/>
  </r>
  <r>
    <s v="Witnessing a heartwarming comeback in the hockey finals, fans share tears of joy as the team secures a historic victory after adversity. "/>
    <s v=" Heartwarming "/>
    <x v="0"/>
    <d v="2020-12-12T20:00:00"/>
    <x v="373"/>
    <x v="34"/>
    <x v="31"/>
    <s v=" HockeyFanComebackVictory "/>
    <x v="1"/>
    <x v="1"/>
    <s v=" #Heartwarming #HockeyFinalsComeback "/>
    <n v="22"/>
    <n v="45"/>
    <x v="9"/>
    <x v="14"/>
    <x v="1"/>
    <n v="2020"/>
    <n v="12"/>
    <n v="12"/>
    <x v="13"/>
  </r>
  <r>
    <s v="After a series of defeats, the soccer team faces disappointment, struggling to find the silver lining in a challenging season. "/>
    <s v=" Disappointment "/>
    <x v="1"/>
    <d v="2019-11-02T18:45:00"/>
    <x v="374"/>
    <x v="57"/>
    <x v="47"/>
    <s v=" SoccerFanTeamDefeats "/>
    <x v="3"/>
    <x v="0"/>
    <s v=" #Disappointment #SoccerDefeats "/>
    <n v="40"/>
    <n v="80"/>
    <x v="26"/>
    <x v="92"/>
    <x v="6"/>
    <n v="2019"/>
    <n v="11"/>
    <n v="2"/>
    <x v="3"/>
  </r>
  <r>
    <s v="In the tennis tournament, a highly anticipated player experiences a setback, leaving fans in shock and questioning the unforeseen turn of events. "/>
    <s v=" Frustration "/>
    <x v="1"/>
    <d v="2018-07-10T21:15:00"/>
    <x v="138"/>
    <x v="59"/>
    <x v="41"/>
    <s v=" TennisEnthusiastUnexpectedSetback "/>
    <x v="1"/>
    <x v="1"/>
    <s v=" #Frustration #TennisSetback "/>
    <n v="35"/>
    <n v="70"/>
    <x v="27"/>
    <x v="10"/>
    <x v="0"/>
    <n v="2018"/>
    <n v="7"/>
    <n v="10"/>
    <x v="14"/>
  </r>
  <r>
    <s v="Facing a defeat in the championship, the boxer reflects on the challenges, vowing to return stronger and more determined in the next bout. "/>
    <s v=" Reflection "/>
    <x v="2"/>
    <d v="2020-09-18T19:30:00"/>
    <x v="131"/>
    <x v="7"/>
    <x v="7"/>
    <s v=" BoxingFanChampionshipDefeat "/>
    <x v="2"/>
    <x v="2"/>
    <s v=" #Reflection #BoxingDefeat "/>
    <n v="30"/>
    <n v="60"/>
    <x v="7"/>
    <x v="12"/>
    <x v="2"/>
    <n v="2020"/>
    <n v="9"/>
    <n v="18"/>
    <x v="4"/>
  </r>
  <r>
    <s v="In the midst of a cycling race, a tire blowout leads to frustration for the cyclist, who valiantly tries to overcome the unexpected obstacle. "/>
    <s v=" Obstacle "/>
    <x v="1"/>
    <d v="2017-05-15T22:00:00"/>
    <x v="375"/>
    <x v="107"/>
    <x v="70"/>
    <s v=" CyclingEnthusiastTireBlowout "/>
    <x v="3"/>
    <x v="0"/>
    <s v=" #Obstacle #CyclingFrustration "/>
    <n v="22"/>
    <n v="45"/>
    <x v="9"/>
    <x v="93"/>
    <x v="5"/>
    <n v="2017"/>
    <n v="5"/>
    <n v="15"/>
    <x v="16"/>
  </r>
  <r>
    <s v="The gymnast's unexpected fall during a routine sparks a wave of sympathy from the audience, highlighting the vulnerability of sports. "/>
    <s v=" Sympathy "/>
    <x v="2"/>
    <d v="2021-04-05T20:15:00"/>
    <x v="376"/>
    <x v="170"/>
    <x v="105"/>
    <s v=" GymnasticsFanRoutineFall "/>
    <x v="1"/>
    <x v="1"/>
    <s v=" #Sympathy #GymnasticsFall "/>
    <n v="28"/>
    <n v="55"/>
    <x v="11"/>
    <x v="95"/>
    <x v="7"/>
    <n v="2021"/>
    <n v="4"/>
    <n v="5"/>
    <x v="13"/>
  </r>
  <r>
    <s v="In the golf tournament, a missed crucial putt results in defeat, causing the golfer to reflect on the pressure of high-stakes competition. "/>
    <s v=" Pressure "/>
    <x v="1"/>
    <d v="2016-08-20T18:30:00"/>
    <x v="377"/>
    <x v="40"/>
    <x v="36"/>
    <s v=" GolfEnthusiastMissedPutt "/>
    <x v="2"/>
    <x v="2"/>
    <s v=" #Pressure #GolfDefeat "/>
    <n v="18"/>
    <n v="35"/>
    <x v="8"/>
    <x v="10"/>
    <x v="0"/>
    <n v="2016"/>
    <n v="8"/>
    <n v="20"/>
    <x v="3"/>
  </r>
  <r>
    <s v="Experiencing a series of losses in the basketball season, the team grapples with frustration, determined to turn the tide with renewed effort. "/>
    <s v=" Renewed Effort "/>
    <x v="2"/>
    <d v="2019-02-12T19:45:00"/>
    <x v="378"/>
    <x v="58"/>
    <x v="25"/>
    <s v=" BasketballFanTeamLosses "/>
    <x v="3"/>
    <x v="0"/>
    <s v=" #RenewedEffort #BasketballStruggles "/>
    <n v="22"/>
    <n v="45"/>
    <x v="9"/>
    <x v="14"/>
    <x v="1"/>
    <n v="2019"/>
    <n v="2"/>
    <n v="12"/>
    <x v="4"/>
  </r>
  <r>
    <s v="Despite meticulous training, the swimmer faces disappointment as a split-second miscalculation costs them the lead in a crucial race. "/>
    <s v=" Miscalculation "/>
    <x v="1"/>
    <d v="2015-06-28T20:00:00"/>
    <x v="289"/>
    <x v="34"/>
    <x v="31"/>
    <s v=" SwimmingEnthusiastRaceSetback "/>
    <x v="1"/>
    <x v="1"/>
    <s v=" #Miscalculation #SwimmingDisappointment "/>
    <n v="28"/>
    <n v="55"/>
    <x v="11"/>
    <x v="4"/>
    <x v="3"/>
    <n v="2015"/>
    <n v="6"/>
    <n v="28"/>
    <x v="13"/>
  </r>
  <r>
    <s v="The weightlifter's failed attempt at a personal record results in frustration, highlighting the challenging nature of pushing physical limits. "/>
    <s v=" Challenge "/>
    <x v="1"/>
    <d v="2022-01-08T21:30:00"/>
    <x v="298"/>
    <x v="164"/>
    <x v="103"/>
    <s v=" WeightliftingFanFailedRecord "/>
    <x v="2"/>
    <x v="2"/>
    <s v=" #Challenge #WeightliftingFailure "/>
    <n v="35"/>
    <n v="70"/>
    <x v="27"/>
    <x v="91"/>
    <x v="9"/>
    <n v="2022"/>
    <n v="1"/>
    <n v="8"/>
    <x v="14"/>
  </r>
  <r>
    <s v="In the midst of a soccer match, an unexpected own goal creates a moment of despair for the player, as teammates console and encourage them. "/>
    <s v=" Despair "/>
    <x v="1"/>
    <d v="2018-12-15T20:15:00"/>
    <x v="116"/>
    <x v="170"/>
    <x v="105"/>
    <s v=" SoccerPlayerOwnGoalMoment "/>
    <x v="3"/>
    <x v="0"/>
    <s v=" #Despair #OwnGoal "/>
    <n v="22"/>
    <n v="45"/>
    <x v="9"/>
    <x v="96"/>
    <x v="14"/>
    <n v="2018"/>
    <n v="12"/>
    <n v="15"/>
    <x v="13"/>
  </r>
  <r>
    <s v="In the serene beauty of a sunset, nature unfolds a canvas of colors, evoking a sense of tranquility and wonder. "/>
    <s v=" Tranquility "/>
    <x v="0"/>
    <d v="2021-07-10T19:00:00"/>
    <x v="379"/>
    <x v="42"/>
    <x v="38"/>
    <s v=" NatureEnthusiastSunsetWonder "/>
    <x v="1"/>
    <x v="1"/>
    <s v=" #Tranquility #SunsetBeauty "/>
    <n v="40"/>
    <n v="80"/>
    <x v="26"/>
    <x v="14"/>
    <x v="1"/>
    <n v="2021"/>
    <n v="7"/>
    <n v="10"/>
    <x v="4"/>
  </r>
  <r>
    <s v="Embarking on a spontaneous road trip, the traveler discovers hidden gems, creating memories that will be cherished for a lifetime. "/>
    <s v=" Adventure "/>
    <x v="0"/>
    <d v="2019-09-28T20:30:00"/>
    <x v="277"/>
    <x v="52"/>
    <x v="45"/>
    <s v=" TravelEnthusiastRoadTripDiscovery "/>
    <x v="3"/>
    <x v="0"/>
    <s v=" #Adventure #RoadTripMemories "/>
    <n v="35"/>
    <n v="70"/>
    <x v="27"/>
    <x v="10"/>
    <x v="0"/>
    <n v="2019"/>
    <n v="9"/>
    <n v="28"/>
    <x v="13"/>
  </r>
  <r>
    <s v="Amidst the bustling city, a quiet caf√© becomes a sanctuary for reflection, where a cup of coffee brings solace to the wandering mind. "/>
    <s v=" Solace "/>
    <x v="0"/>
    <d v="2022-03-15T18:45:00"/>
    <x v="380"/>
    <x v="57"/>
    <x v="47"/>
    <s v=" UrbanExplorerCafeSolitude "/>
    <x v="2"/>
    <x v="2"/>
    <s v=" #Solace #CafeReflection "/>
    <n v="30"/>
    <n v="60"/>
    <x v="7"/>
    <x v="93"/>
    <x v="5"/>
    <n v="2022"/>
    <n v="3"/>
    <n v="15"/>
    <x v="3"/>
  </r>
  <r>
    <s v="Exploring the vibrant street art of a cultural neighborhood, each mural tells a story, infusing the city with creativity and expression. "/>
    <s v=" Creativity "/>
    <x v="0"/>
    <d v="2017-11-05T21:15:00"/>
    <x v="342"/>
    <x v="46"/>
    <x v="41"/>
    <s v=" ArtEnthusiastStreetArtExploration "/>
    <x v="1"/>
    <x v="1"/>
    <s v=" #Creativity #StreetArtVibes "/>
    <n v="22"/>
    <n v="45"/>
    <x v="9"/>
    <x v="92"/>
    <x v="6"/>
    <n v="2017"/>
    <n v="11"/>
    <n v="5"/>
    <x v="14"/>
  </r>
  <r>
    <s v="In the world of science, a breakthrough discovery unfolds, pushing the boundaries of knowledge and opening new frontiers of exploration. "/>
    <s v=" Breakthrough "/>
    <x v="0"/>
    <d v="2020-05-20T16:30:00"/>
    <x v="381"/>
    <x v="77"/>
    <x v="54"/>
    <s v=" ScienceEnthusiastDiscoveryMoment "/>
    <x v="3"/>
    <x v="0"/>
    <s v=" #Breakthrough #ScientificDiscovery "/>
    <n v="28"/>
    <n v="55"/>
    <x v="11"/>
    <x v="91"/>
    <x v="9"/>
    <n v="2020"/>
    <n v="5"/>
    <n v="20"/>
    <x v="12"/>
  </r>
  <r>
    <s v="Connecting with the melody of a live orchestra, the music enthusiast experiences a symphony that resonates deep within the soul. "/>
    <s v=" Harmony "/>
    <x v="0"/>
    <d v="2016-08-22T19:45:00"/>
    <x v="236"/>
    <x v="58"/>
    <x v="25"/>
    <s v=" MusicLoverLiveOrchestraExperience "/>
    <x v="2"/>
    <x v="2"/>
    <s v=" #Harmony #OrchestraMelody "/>
    <n v="18"/>
    <n v="35"/>
    <x v="8"/>
    <x v="12"/>
    <x v="2"/>
    <n v="2016"/>
    <n v="8"/>
    <n v="22"/>
    <x v="4"/>
  </r>
  <r>
    <s v="Embracing the aroma of freshly baked bread, the home chef finds joy in the art of baking, creating delicious memories for loved ones. "/>
    <s v=" Joy in Baking "/>
    <x v="0"/>
    <d v="2023-04-10T17:15:00"/>
    <x v="382"/>
    <x v="171"/>
    <x v="106"/>
    <s v=" HomeBakerDeliciousMemories "/>
    <x v="1"/>
    <x v="1"/>
    <s v=" #JoyInBaking #HomemadeDelights "/>
    <n v="22"/>
    <n v="45"/>
    <x v="9"/>
    <x v="16"/>
    <x v="4"/>
    <n v="2023"/>
    <n v="4"/>
    <n v="10"/>
    <x v="9"/>
  </r>
  <r>
    <s v="Wandering through a historical museum, the history enthusiast becomes immersed in the tales of the past, envisioning bygone eras. "/>
    <s v=" Envisioning History "/>
    <x v="2"/>
    <d v="2015-12-18T18:00:00"/>
    <x v="86"/>
    <x v="13"/>
    <x v="13"/>
    <s v=" HistoryBuffMuseumExploration "/>
    <x v="3"/>
    <x v="0"/>
    <s v=" #EnvisioningHistory #MuseumTales "/>
    <n v="28"/>
    <n v="55"/>
    <x v="11"/>
    <x v="94"/>
    <x v="11"/>
    <n v="2015"/>
    <n v="12"/>
    <n v="18"/>
    <x v="3"/>
  </r>
  <r>
    <s v="In the realm of literature, a captivating novel transports the reader to distant lands, weaving a tapestry of imagination and escape. "/>
    <s v=" Imagination "/>
    <x v="0"/>
    <d v="2021-10-08T20:30:00"/>
    <x v="383"/>
    <x v="66"/>
    <x v="45"/>
    <s v=" BookwormCaptivatingNovelEscape "/>
    <x v="2"/>
    <x v="2"/>
    <s v=" #Imagination #LiteraryEscape "/>
    <n v="35"/>
    <n v="70"/>
    <x v="27"/>
    <x v="95"/>
    <x v="7"/>
    <n v="2021"/>
    <n v="10"/>
    <n v="8"/>
    <x v="13"/>
  </r>
  <r>
    <s v="Capturing the essence of a bustling market, the photographer freezes moments in time, each frame telling a unique and vibrant story. "/>
    <s v=" Vibrancy "/>
    <x v="0"/>
    <d v="2019-03-22T21:45:00"/>
    <x v="384"/>
    <x v="157"/>
    <x v="50"/>
    <s v=" PhotographyEnthusiastMarketMoments "/>
    <x v="1"/>
    <x v="1"/>
    <s v=" #Vibrancy #MarketStories "/>
    <n v="22"/>
    <n v="45"/>
    <x v="9"/>
    <x v="4"/>
    <x v="3"/>
    <n v="2019"/>
    <n v="3"/>
    <n v="22"/>
    <x v="14"/>
  </r>
  <r>
    <s v="Underneath the city lights, the dancer expresses emotions through graceful movements, creating a mesmerizing performance under the night sky. "/>
    <s v=" Mesmerizing "/>
    <x v="0"/>
    <d v="2018-06-15T22:00:00"/>
    <x v="49"/>
    <x v="107"/>
    <x v="70"/>
    <s v=" DanceEnthusiastCityNightPerformance "/>
    <x v="3"/>
    <x v="0"/>
    <s v=" #Mesmerizing #NightDancePerformance "/>
    <n v="40"/>
    <n v="80"/>
    <x v="26"/>
    <x v="10"/>
    <x v="0"/>
    <n v="2018"/>
    <n v="6"/>
    <n v="15"/>
    <x v="16"/>
  </r>
  <r>
    <s v="In the heart of a bustling market, the street food connoisseur indulges in a culinary adventure, savoring diverse flavors and aromas. "/>
    <s v=" Culinary Adventure "/>
    <x v="0"/>
    <d v="2019-08-28T19:30:00"/>
    <x v="385"/>
    <x v="62"/>
    <x v="7"/>
    <s v=" FoodieMarketStreetFoodExploration "/>
    <x v="1"/>
    <x v="1"/>
    <s v=" #CulinaryAdventure #StreetFoodDelights "/>
    <n v="35"/>
    <n v="70"/>
    <x v="27"/>
    <x v="111"/>
    <x v="32"/>
    <n v="2019"/>
    <n v="8"/>
    <n v="28"/>
    <x v="4"/>
  </r>
  <r>
    <s v="As the first snowflake descends, the winter enthusiast eagerly prepares for a season of frosty delights, anticipating the magic of snow-covered landscapes. "/>
    <s v=" Winter Magic "/>
    <x v="0"/>
    <d v="2022-12-01T17:45:00"/>
    <x v="169"/>
    <x v="70"/>
    <x v="48"/>
    <s v=" SnowLoverWinterEnthusiast "/>
    <x v="2"/>
    <x v="2"/>
    <s v=" #WinterMagic #SnowyLandscapes "/>
    <n v="30"/>
    <n v="60"/>
    <x v="7"/>
    <x v="14"/>
    <x v="1"/>
    <n v="2022"/>
    <n v="12"/>
    <n v="1"/>
    <x v="9"/>
  </r>
  <r>
    <s v="Amidst the pages of a captivating mystery novel, the reader unravels clues and secrets, experiencing a thrilling journey of suspense and revelation. "/>
    <s v=" Thrilling Journey "/>
    <x v="0"/>
    <d v="2017-04-10T21:15:00"/>
    <x v="110"/>
    <x v="59"/>
    <x v="41"/>
    <s v=" MysteryBookwormSuspensefulRead "/>
    <x v="3"/>
    <x v="0"/>
    <s v=" #ThrillingJourney #MysteryNovel "/>
    <n v="22"/>
    <n v="45"/>
    <x v="9"/>
    <x v="12"/>
    <x v="2"/>
    <n v="2017"/>
    <n v="4"/>
    <n v="10"/>
    <x v="14"/>
  </r>
  <r>
    <s v="Surrounded by the vibrant colors of a flower garden, the gardener nurtures blossoms, finding joy in the beauty of nature's ever-changing canvas. "/>
    <s v=" Nature's Beauty "/>
    <x v="0"/>
    <d v="2020-05-15T18:30:00"/>
    <x v="386"/>
    <x v="40"/>
    <x v="36"/>
    <s v=" GardeningEnthusiastFlowerGarden "/>
    <x v="1"/>
    <x v="1"/>
    <s v=" #NaturesBeauty #FloralJoy "/>
    <n v="28"/>
    <n v="55"/>
    <x v="11"/>
    <x v="4"/>
    <x v="3"/>
    <n v="2020"/>
    <n v="5"/>
    <n v="15"/>
    <x v="3"/>
  </r>
  <r>
    <s v="At the astronomy observatory, the stargazer marvels at the vastness of the cosmos, contemplating the mysteries hidden within the celestial expanse. "/>
    <s v=" Celestial Wonder "/>
    <x v="0"/>
    <d v="2016-09-22T20:00:00"/>
    <x v="387"/>
    <x v="34"/>
    <x v="31"/>
    <s v=" AstronomyEnthusiastStargazing "/>
    <x v="2"/>
    <x v="2"/>
    <s v=" #CelestialWonder #Stargazing "/>
    <n v="18"/>
    <n v="35"/>
    <x v="8"/>
    <x v="10"/>
    <x v="0"/>
    <n v="2016"/>
    <n v="9"/>
    <n v="22"/>
    <x v="13"/>
  </r>
  <r>
    <s v="Engulfed in the aroma of freshly brewed coffee, the writer finds inspiration in every sip, embarking on a journey of creativity and prose. "/>
    <s v=" Creative Inspiration "/>
    <x v="0"/>
    <d v="2023-02-12T19:45:00"/>
    <x v="19"/>
    <x v="26"/>
    <x v="25"/>
    <s v=" CoffeeLoverWritersRetreat "/>
    <x v="3"/>
    <x v="0"/>
    <s v=" #CreativeInspiration #CoffeeJourney "/>
    <n v="22"/>
    <n v="45"/>
    <x v="9"/>
    <x v="93"/>
    <x v="5"/>
    <n v="2023"/>
    <n v="2"/>
    <n v="12"/>
    <x v="4"/>
  </r>
  <r>
    <s v="In the realm of fashion, the designer unveils a collection that tells a story, blending innovation and tradition on the runway of creativity. "/>
    <s v=" Runway Creativity "/>
    <x v="0"/>
    <d v="2015-11-10T21:00:00"/>
    <x v="388"/>
    <x v="129"/>
    <x v="65"/>
    <s v=" FashionEnthusiastDesignerShowcase "/>
    <x v="1"/>
    <x v="1"/>
    <s v=" #RunwayCreativity #FashionInnovation "/>
    <n v="28"/>
    <n v="55"/>
    <x v="11"/>
    <x v="94"/>
    <x v="11"/>
    <n v="2015"/>
    <n v="11"/>
    <n v="10"/>
    <x v="14"/>
  </r>
  <r>
    <s v="As the waves crash against the shore, the surfer embraces the thrill of riding the ocean's energy, capturing the essence of freedom in each wave. "/>
    <s v=" Ocean's Freedom "/>
    <x v="0"/>
    <d v="2021-07-20T18:15:00"/>
    <x v="158"/>
    <x v="155"/>
    <x v="100"/>
    <s v=" SurfingEnthusiastWaveRider "/>
    <x v="2"/>
    <x v="2"/>
    <s v=" #OceansFreedom #SurfingThrills "/>
    <n v="22"/>
    <n v="45"/>
    <x v="9"/>
    <x v="92"/>
    <x v="6"/>
    <n v="2021"/>
    <n v="7"/>
    <n v="20"/>
    <x v="3"/>
  </r>
  <r>
    <s v="Exploring the historical architecture of an ancient city, the traveler is transported to a bygone era, where each monument whispers tales of the past. "/>
    <s v=" Whispers of the Past "/>
    <x v="2"/>
    <d v="2019-04-18T20:30:00"/>
    <x v="311"/>
    <x v="66"/>
    <x v="45"/>
    <s v=" HistoryExplorerAncientCityTour "/>
    <x v="3"/>
    <x v="0"/>
    <s v=" #WhispersOfThePast #HistoricalTour "/>
    <n v="35"/>
    <n v="70"/>
    <x v="27"/>
    <x v="98"/>
    <x v="8"/>
    <n v="2019"/>
    <n v="4"/>
    <n v="18"/>
    <x v="13"/>
  </r>
  <r>
    <s v="Successfully avoided eye contact with my crush in the hallway. Mission accomplished. #TeenCrush #StealthMode "/>
    <s v=" Excitement "/>
    <x v="0"/>
    <d v="2023-05-20T19:45:00"/>
    <x v="389"/>
    <x v="58"/>
    <x v="25"/>
    <s v=" CrushAvoider "/>
    <x v="3"/>
    <x v="0"/>
    <s v=" #CrushStruggles #AvoidingEyeContact "/>
    <n v="15"/>
    <n v="30"/>
    <x v="0"/>
    <x v="112"/>
    <x v="0"/>
    <n v="2023"/>
    <n v="5"/>
    <n v="20"/>
    <x v="4"/>
  </r>
  <r>
    <s v="Ran out of snacks during a movie marathon. Crisis level: Emergency! #MovieNightStruggles #TeenProblems "/>
    <s v=" Boredom "/>
    <x v="1"/>
    <d v="2023-05-21T21:00:00"/>
    <x v="390"/>
    <x v="100"/>
    <x v="65"/>
    <s v=" MovieBuff "/>
    <x v="1"/>
    <x v="1"/>
    <s v=" #SnackCrisis #TeenLife "/>
    <n v="18"/>
    <n v="35"/>
    <x v="8"/>
    <x v="113"/>
    <x v="1"/>
    <n v="2023"/>
    <n v="5"/>
    <n v="21"/>
    <x v="14"/>
  </r>
  <r>
    <s v="Spent an hour choosing the perfect filter for a selfie. The struggle for that Instagram aesthetic is real. #SelfieQueen #TeenVibes "/>
    <s v=" Joy "/>
    <x v="0"/>
    <d v="2023-05-22T14:30:00"/>
    <x v="391"/>
    <x v="23"/>
    <x v="22"/>
    <s v=" SelfieAddict "/>
    <x v="2"/>
    <x v="2"/>
    <s v=" #SelfieStruggle #TeenConfessions "/>
    <n v="22"/>
    <n v="45"/>
    <x v="9"/>
    <x v="114"/>
    <x v="2"/>
    <n v="2023"/>
    <n v="5"/>
    <n v="22"/>
    <x v="6"/>
  </r>
  <r>
    <s v="Lost my headphones again. How do they vanish into thin air? #HeadphoneMystery #TeenLife "/>
    <s v=" Frustration "/>
    <x v="1"/>
    <d v="2023-05-23T16:45:00"/>
    <x v="392"/>
    <x v="21"/>
    <x v="20"/>
    <s v=" AudioExplorer "/>
    <x v="3"/>
    <x v="0"/>
    <s v=" #TeenProblems #LostHeadphones "/>
    <n v="20"/>
    <n v="40"/>
    <x v="2"/>
    <x v="112"/>
    <x v="0"/>
    <n v="2023"/>
    <n v="5"/>
    <n v="23"/>
    <x v="12"/>
  </r>
  <r>
    <s v="Decided to study for exams but ended up making memes about studying instead. Procrastination level: Expert. #ProcrastinationNation #TeenConfessions "/>
    <s v=" Surprise "/>
    <x v="2"/>
    <d v="2023-05-24T13:15:00"/>
    <x v="393"/>
    <x v="83"/>
    <x v="28"/>
    <s v=" MemeCreator "/>
    <x v="1"/>
    <x v="1"/>
    <s v=" #StudyingMemes #TeenLife "/>
    <n v="25"/>
    <n v="50"/>
    <x v="5"/>
    <x v="113"/>
    <x v="1"/>
    <n v="2023"/>
    <n v="5"/>
    <n v="24"/>
    <x v="8"/>
  </r>
  <r>
    <s v="Got dressed for the day, then remembered it's Saturday. Oops. #WeekendVibes #TeenStruggles "/>
    <s v=" Indifference "/>
    <x v="2"/>
    <d v="2023-05-25T19:00:00"/>
    <x v="394"/>
    <x v="42"/>
    <x v="38"/>
    <s v=" FashionBlunder "/>
    <x v="2"/>
    <x v="2"/>
    <s v=" #WeekendOops #TeenFashion "/>
    <n v="20"/>
    <n v="40"/>
    <x v="2"/>
    <x v="112"/>
    <x v="0"/>
    <n v="2023"/>
    <n v="5"/>
    <n v="25"/>
    <x v="4"/>
  </r>
  <r>
    <s v="Survived a group project without any drama. Miracles do happen. #GroupProjectSuccess #TeenAchievements "/>
    <s v=" Satisfaction "/>
    <x v="0"/>
    <d v="2023-05-26T14:20:00"/>
    <x v="395"/>
    <x v="32"/>
    <x v="29"/>
    <s v=" GroupGenius "/>
    <x v="3"/>
    <x v="0"/>
    <s v=" #TeenSuccess #ProjectMiracle "/>
    <n v="28"/>
    <n v="55"/>
    <x v="11"/>
    <x v="114"/>
    <x v="2"/>
    <n v="2023"/>
    <n v="5"/>
    <n v="26"/>
    <x v="6"/>
  </r>
  <r>
    <s v="Entered the kitchen with the intention to cook. Left with a bag of chips. Cooking is overrated, anyway. #MasterChefInTraining #TeenHumor "/>
    <s v=" Disgust "/>
    <x v="1"/>
    <d v="2023-05-27T21:15:00"/>
    <x v="396"/>
    <x v="59"/>
    <x v="41"/>
    <s v=" ChipExplorer "/>
    <x v="1"/>
    <x v="1"/>
    <s v=" #TeenChef #CookingFail "/>
    <n v="22"/>
    <n v="45"/>
    <x v="9"/>
    <x v="113"/>
    <x v="1"/>
    <n v="2023"/>
    <n v="5"/>
    <n v="27"/>
    <x v="14"/>
  </r>
  <r>
    <s v="Staring at the clock in class, waiting for the bell to ring like it's the most exciting event of the day. #ClassCountdown #TeenLife "/>
    <s v=" Surprise "/>
    <x v="2"/>
    <d v="2023-05-28T12:00:00"/>
    <x v="397"/>
    <x v="24"/>
    <x v="23"/>
    <s v=" ExcitementSeeker "/>
    <x v="2"/>
    <x v="2"/>
    <s v=" #ClassEvent #TeenExcitement "/>
    <n v="18"/>
    <n v="35"/>
    <x v="8"/>
    <x v="112"/>
    <x v="0"/>
    <n v="2023"/>
    <n v="5"/>
    <n v="28"/>
    <x v="0"/>
  </r>
  <r>
    <s v="Discovered a new book series and spent the whole night reading. Who needs sleep, anyway? #BookwormLife #LateNightReading "/>
    <s v=" Joy "/>
    <x v="0"/>
    <d v="2023-05-29T23:30:00"/>
    <x v="398"/>
    <x v="141"/>
    <x v="97"/>
    <s v=" NightReader "/>
    <x v="3"/>
    <x v="0"/>
    <s v=" #BookDiscoveries #TeenReading "/>
    <n v="30"/>
    <n v="60"/>
    <x v="7"/>
    <x v="114"/>
    <x v="2"/>
    <n v="2023"/>
    <n v="5"/>
    <n v="29"/>
    <x v="20"/>
  </r>
  <r>
    <s v="Bought a new video game, played for hours, forgot to eat. The ultimate gaming session. #GamerLife #NoFoodGaming "/>
    <s v=" Excitement "/>
    <x v="0"/>
    <d v="2023-05-30T20:45:00"/>
    <x v="399"/>
    <x v="93"/>
    <x v="61"/>
    <s v=" GamingEnthusiast "/>
    <x v="1"/>
    <x v="1"/>
    <s v=" #GameOn #TeenGamer "/>
    <n v="22"/>
    <n v="45"/>
    <x v="9"/>
    <x v="112"/>
    <x v="0"/>
    <n v="2023"/>
    <n v="5"/>
    <n v="30"/>
    <x v="13"/>
  </r>
  <r>
    <s v="Spent the day binge-watching a new series. Productivity level: Zero. #LazyDay #TVSeriesMarathon "/>
    <s v=" Joy "/>
    <x v="0"/>
    <d v="2023-05-31T15:30:00"/>
    <x v="400"/>
    <x v="71"/>
    <x v="49"/>
    <s v=" LazyWatcher "/>
    <x v="2"/>
    <x v="2"/>
    <s v=" #BingeWatchDay #TeenLife "/>
    <n v="35"/>
    <n v="70"/>
    <x v="27"/>
    <x v="113"/>
    <x v="1"/>
    <n v="2023"/>
    <n v="5"/>
    <n v="31"/>
    <x v="2"/>
  </r>
  <r>
    <s v="Caught up on the latest fashion trends and now planning a shopping spree. #Fashionista #TrendyTeen "/>
    <s v=" Excitement "/>
    <x v="0"/>
    <d v="2023-06-01T18:00:00"/>
    <x v="401"/>
    <x v="13"/>
    <x v="13"/>
    <s v=" TrendExplorer "/>
    <x v="3"/>
    <x v="0"/>
    <s v=" #FashionGoals #TeenStyle "/>
    <n v="20"/>
    <n v="40"/>
    <x v="2"/>
    <x v="112"/>
    <x v="0"/>
    <n v="2023"/>
    <n v="6"/>
    <n v="1"/>
    <x v="3"/>
  </r>
  <r>
    <s v="Decided to learn a new instrument. Day one: Still trying to figure out how to hold it. #MusicNovice #LearningJourney "/>
    <s v=" Frustration "/>
    <x v="1"/>
    <d v="2023-06-02T14:30:00"/>
    <x v="402"/>
    <x v="72"/>
    <x v="22"/>
    <s v=" MusicalExplorer "/>
    <x v="1"/>
    <x v="1"/>
    <s v=" #InstrumentLearning #TeenMusic "/>
    <n v="28"/>
    <n v="55"/>
    <x v="11"/>
    <x v="114"/>
    <x v="2"/>
    <n v="2023"/>
    <n v="6"/>
    <n v="2"/>
    <x v="6"/>
  </r>
  <r>
    <s v="Spent hours creating the perfect playlist for every mood. Music is my therapy. #PlaylistMaker #TeenMusicLover "/>
    <s v=" Joy "/>
    <x v="0"/>
    <d v="2023-06-03T21:15:00"/>
    <x v="403"/>
    <x v="46"/>
    <x v="41"/>
    <s v=" MusicAficionado "/>
    <x v="2"/>
    <x v="2"/>
    <s v=" #MusicTherapy #TeenPlaylist "/>
    <n v="22"/>
    <n v="45"/>
    <x v="9"/>
    <x v="113"/>
    <x v="1"/>
    <n v="2023"/>
    <n v="6"/>
    <n v="3"/>
    <x v="14"/>
  </r>
  <r>
    <s v="Successfully cooked a gourmet meal for the family. Chef skills unlocked! #ChefMode #TeenChef "/>
    <s v=" Pride "/>
    <x v="0"/>
    <d v="2023-06-04T19:30:00"/>
    <x v="404"/>
    <x v="62"/>
    <x v="7"/>
    <s v=" HomeChef "/>
    <x v="3"/>
    <x v="0"/>
    <s v=" #CookingSuccess #TeenCook "/>
    <n v="25"/>
    <n v="50"/>
    <x v="5"/>
    <x v="112"/>
    <x v="0"/>
    <n v="2023"/>
    <n v="6"/>
    <n v="4"/>
    <x v="4"/>
  </r>
  <r>
    <s v="Spontaneously booked a weekend getaway. Adventure awaits! #TravelBug #WeekendEscape "/>
    <s v=" Excitement "/>
    <x v="0"/>
    <d v="2023-06-05T10:00:00"/>
    <x v="405"/>
    <x v="48"/>
    <x v="42"/>
    <s v=" AdventureSeeker "/>
    <x v="1"/>
    <x v="1"/>
    <s v=" #GetawayGoals #TeenTravel "/>
    <n v="18"/>
    <n v="35"/>
    <x v="8"/>
    <x v="114"/>
    <x v="2"/>
    <n v="2023"/>
    <n v="6"/>
    <n v="5"/>
    <x v="7"/>
  </r>
  <r>
    <s v="Attended a concert and danced the night away. Music is the heartbeat of life. #ConcertVibes #DanceAllNight "/>
    <s v=" Joy "/>
    <x v="0"/>
    <d v="2023-06-06T22:30:00"/>
    <x v="406"/>
    <x v="149"/>
    <x v="99"/>
    <s v=" DanceEnthusiast "/>
    <x v="2"/>
    <x v="2"/>
    <s v=" #MusicMagic #TeenConcert "/>
    <n v="28"/>
    <n v="55"/>
    <x v="11"/>
    <x v="113"/>
    <x v="1"/>
    <n v="2023"/>
    <n v="6"/>
    <n v="6"/>
    <x v="16"/>
  </r>
  <r>
    <s v="Rediscovered childhood cartoons and had a nostalgia-filled marathon. #CartoonNostalgia #TeenMemories "/>
    <s v=" Joy "/>
    <x v="0"/>
    <d v="2023-06-07T12:45:00"/>
    <x v="407"/>
    <x v="140"/>
    <x v="96"/>
    <s v=" NostalgiaExplorer "/>
    <x v="3"/>
    <x v="0"/>
    <s v=" #ChildhoodMemories #TeenCartoons "/>
    <n v="22"/>
    <n v="45"/>
    <x v="9"/>
    <x v="112"/>
    <x v="0"/>
    <n v="2023"/>
    <n v="6"/>
    <n v="7"/>
    <x v="0"/>
  </r>
  <r>
    <s v="Embarked on a DIY home decor project. Let's hope it turns out better than last time. #DIYAdventure #TeenHomeDecor "/>
    <s v=" Excitement "/>
    <x v="0"/>
    <d v="2023-06-08T16:00:00"/>
    <x v="408"/>
    <x v="65"/>
    <x v="44"/>
    <s v=" HomeDecorator "/>
    <x v="1"/>
    <x v="1"/>
    <s v=" #DIYGoals #TeenCreative "/>
    <n v="35"/>
    <n v="70"/>
    <x v="27"/>
    <x v="114"/>
    <x v="2"/>
    <n v="2023"/>
    <n v="6"/>
    <n v="8"/>
    <x v="12"/>
  </r>
  <r>
    <s v="Spent the afternoon at a museum, pretending to be cultured. Art enthusiast in the making. #MuseumDay #TeenArtLover "/>
    <s v=" Curiosity "/>
    <x v="2"/>
    <d v="2023-06-09T14:00:00"/>
    <x v="409"/>
    <x v="92"/>
    <x v="60"/>
    <s v=" ArtExplorer "/>
    <x v="2"/>
    <x v="2"/>
    <s v=" #CulturalDay #TeenCuriosity "/>
    <n v="20"/>
    <n v="40"/>
    <x v="2"/>
    <x v="112"/>
    <x v="0"/>
    <n v="2023"/>
    <n v="6"/>
    <n v="9"/>
    <x v="6"/>
  </r>
  <r>
    <s v="Started a blog about random thoughts and musings. Blogging is the new diary. #BloggerLife #TeenBlogger "/>
    <s v=" Curiosity "/>
    <x v="2"/>
    <d v="2023-06-10T17:30:00"/>
    <x v="410"/>
    <x v="91"/>
    <x v="27"/>
    <s v=" ThoughtfulBlogger "/>
    <x v="3"/>
    <x v="0"/>
    <s v=" #BloggingJourney #TeenThoughts "/>
    <n v="30"/>
    <n v="60"/>
    <x v="7"/>
    <x v="113"/>
    <x v="1"/>
    <n v="2023"/>
    <n v="6"/>
    <n v="10"/>
    <x v="9"/>
  </r>
  <r>
    <s v="Relishing a peaceful afternoon with a classic novel. Quiet moments are the best moments. #BookLover #PeacefulAfternoon "/>
    <s v=" Contentment "/>
    <x v="0"/>
    <d v="2023-06-11T15:30:00"/>
    <x v="411"/>
    <x v="78"/>
    <x v="49"/>
    <s v=" NovelEnthusiast "/>
    <x v="1"/>
    <x v="1"/>
    <s v=" #QuietMoments #BookishEscape "/>
    <n v="35"/>
    <n v="70"/>
    <x v="27"/>
    <x v="112"/>
    <x v="0"/>
    <n v="2023"/>
    <n v="6"/>
    <n v="11"/>
    <x v="2"/>
  </r>
  <r>
    <s v="Reflecting on a lifetime of memories, each wrinkle tells a story. Embracing the beauty of aging. #LifeReflections #BeautyInAging "/>
    <s v=" Gratitude "/>
    <x v="0"/>
    <d v="2023-06-12T18:00:00"/>
    <x v="412"/>
    <x v="29"/>
    <x v="13"/>
    <s v=" WiseSoul "/>
    <x v="3"/>
    <x v="0"/>
    <s v=" #AgingGracefully #Memories "/>
    <n v="28"/>
    <n v="55"/>
    <x v="11"/>
    <x v="114"/>
    <x v="2"/>
    <n v="2023"/>
    <n v="6"/>
    <n v="12"/>
    <x v="3"/>
  </r>
  <r>
    <s v="Exploring the world of digital art. It's never too late to discover new passions. #DigitalArtistry #LateBloomer "/>
    <s v=" Curiosity "/>
    <x v="2"/>
    <d v="2023-06-13T14:45:00"/>
    <x v="413"/>
    <x v="6"/>
    <x v="6"/>
    <s v=" ArtAdventurer "/>
    <x v="2"/>
    <x v="2"/>
    <s v=" #ArtDiscovery #SeniorArtist "/>
    <n v="22"/>
    <n v="45"/>
    <x v="9"/>
    <x v="113"/>
    <x v="1"/>
    <n v="2023"/>
    <n v="6"/>
    <n v="13"/>
    <x v="6"/>
  </r>
  <r>
    <s v="Savoring the flavors of a home-cooked meal. Simple joys are the heart of happiness. #HomeCooking #SimpleJoys "/>
    <s v=" Contentment "/>
    <x v="0"/>
    <d v="2023-06-14T19:30:00"/>
    <x v="414"/>
    <x v="62"/>
    <x v="7"/>
    <s v=" HomeChefSenior "/>
    <x v="1"/>
    <x v="1"/>
    <s v=" #HappinessInFood #SeniorLife "/>
    <n v="25"/>
    <n v="50"/>
    <x v="5"/>
    <x v="112"/>
    <x v="0"/>
    <n v="2023"/>
    <n v="6"/>
    <n v="14"/>
    <x v="4"/>
  </r>
  <r>
    <s v="Embarking on a journey of learning a new language. The mind stays young with every new word. #LanguageLearning #NeverTooLate "/>
    <s v=" Curiosity "/>
    <x v="2"/>
    <d v="2023-06-15T12:15:00"/>
    <x v="166"/>
    <x v="99"/>
    <x v="64"/>
    <s v=" LinguisticExplorer "/>
    <x v="3"/>
    <x v="0"/>
    <s v=" #MindEnrichment #SeniorLearning "/>
    <n v="30"/>
    <n v="60"/>
    <x v="7"/>
    <x v="114"/>
    <x v="2"/>
    <n v="2023"/>
    <n v="6"/>
    <n v="15"/>
    <x v="0"/>
  </r>
  <r>
    <s v="Attended a classical music concert, feeling the timeless melodies resonate. Music transcends generations. #ClassicalMusic #TimelessMelodies "/>
    <s v=" Joy "/>
    <x v="0"/>
    <d v="2023-06-16T21:45:00"/>
    <x v="415"/>
    <x v="73"/>
    <x v="50"/>
    <s v=" MusicConnoisseur "/>
    <x v="2"/>
    <x v="2"/>
    <s v=" #MusicLover #SeniorConcert "/>
    <n v="18"/>
    <n v="35"/>
    <x v="8"/>
    <x v="113"/>
    <x v="1"/>
    <n v="2023"/>
    <n v="6"/>
    <n v="16"/>
    <x v="14"/>
  </r>
  <r>
    <s v="Capturing the beauty of nature through photography. Every snapshot is a treasure. #NaturePhotography #SeniorPhotographer "/>
    <s v=" Joy "/>
    <x v="0"/>
    <d v="2023-06-17T15:00:00"/>
    <x v="416"/>
    <x v="27"/>
    <x v="26"/>
    <s v=" PhotographySenior "/>
    <x v="1"/>
    <x v="1"/>
    <s v=" #NatureCapture #SeniorMoments "/>
    <n v="35"/>
    <n v="70"/>
    <x v="27"/>
    <x v="112"/>
    <x v="0"/>
    <n v="2023"/>
    <n v="6"/>
    <n v="17"/>
    <x v="2"/>
  </r>
  <r>
    <s v="Reconnecting with old friends over a cup of tea. Friendship, the true essence of companionship. #OldFriends #Companionship "/>
    <s v=" Contentment "/>
    <x v="0"/>
    <d v="2023-06-18T11:30:00"/>
    <x v="417"/>
    <x v="64"/>
    <x v="18"/>
    <s v=" TeaTimeSenior "/>
    <x v="3"/>
    <x v="0"/>
    <s v=" #FriendshipGoals #SeniorBonding "/>
    <n v="28"/>
    <n v="55"/>
    <x v="11"/>
    <x v="114"/>
    <x v="2"/>
    <n v="2023"/>
    <n v="6"/>
    <n v="18"/>
    <x v="11"/>
  </r>
  <r>
    <s v="Embarked on a road trip to revisit cherished places from the past. Nostalgia, the ultimate travel companion. #RoadTrip #NostalgiaTour "/>
    <s v=" Joy "/>
    <x v="0"/>
    <d v="2023-06-19T16:30:00"/>
    <x v="418"/>
    <x v="87"/>
    <x v="54"/>
    <s v=" RoadTripSenior "/>
    <x v="2"/>
    <x v="2"/>
    <s v=" #CherishedPlaces #SeniorTravel "/>
    <n v="22"/>
    <n v="45"/>
    <x v="9"/>
    <x v="113"/>
    <x v="1"/>
    <n v="2023"/>
    <n v="6"/>
    <n v="19"/>
    <x v="12"/>
  </r>
  <r>
    <s v="Joined a community choir, harmonizing with fellow voices. Music creates bonds that withstand time. #CommunityChoir #HarmonyInAging "/>
    <s v=" Joy "/>
    <x v="0"/>
    <d v="2023-06-20T14:20:00"/>
    <x v="419"/>
    <x v="50"/>
    <x v="29"/>
    <s v=" ChoirEnthusiast "/>
    <x v="1"/>
    <x v="1"/>
    <s v=" #MusicHarmony #SeniorVoices "/>
    <n v="20"/>
    <n v="40"/>
    <x v="2"/>
    <x v="112"/>
    <x v="0"/>
    <n v="2023"/>
    <n v="6"/>
    <n v="20"/>
    <x v="6"/>
  </r>
  <r>
    <s v="Exploring the art of meditation, finding tranquility in the stillness of the mind. #MeditationJourney #TranquilMind "/>
    <s v=" Contentment "/>
    <x v="0"/>
    <d v="2023-06-21T19:00:00"/>
    <x v="420"/>
    <x v="88"/>
    <x v="38"/>
    <s v=" MeditationSenior "/>
    <x v="3"/>
    <x v="0"/>
    <s v=" #MindfulLiving #SeniorCalm "/>
    <n v="18"/>
    <n v="35"/>
    <x v="8"/>
    <x v="114"/>
    <x v="2"/>
    <n v="2023"/>
    <n v="6"/>
    <n v="21"/>
    <x v="4"/>
  </r>
  <r>
    <s v="Taking a stroll in the garden, appreciating the beauty of blooming flowers. Nature's wonders never cease. #GardenWalk #FloralBeauty "/>
    <s v=" Contentment "/>
    <x v="0"/>
    <d v="2023-06-22T13:45:00"/>
    <x v="421"/>
    <x v="161"/>
    <x v="62"/>
    <s v=" GardenEnthusiast "/>
    <x v="2"/>
    <x v="2"/>
    <s v=" #NatureWonders #SeniorGarden "/>
    <n v="25"/>
    <n v="50"/>
    <x v="5"/>
    <x v="112"/>
    <x v="0"/>
    <n v="2023"/>
    <n v="6"/>
    <n v="22"/>
    <x v="8"/>
  </r>
  <r>
    <s v="Sipping on a favorite vintage wine, each sip telling a story of the years gone by. Cheers to a life well-lived. #WineLover #VintageCheers "/>
    <s v=" Contentment "/>
    <x v="0"/>
    <d v="2023-06-23T18:45:00"/>
    <x v="422"/>
    <x v="69"/>
    <x v="47"/>
    <s v=" WineConnoisseur "/>
    <x v="1"/>
    <x v="1"/>
    <s v=" #LifeWellLived #SeniorWine "/>
    <n v="28"/>
    <n v="55"/>
    <x v="11"/>
    <x v="114"/>
    <x v="2"/>
    <n v="2023"/>
    <n v="6"/>
    <n v="23"/>
    <x v="3"/>
  </r>
  <r>
    <s v="Participated in a community art class, unleashing creativity in the golden years. Art has no age limit. #ArtClass #SeniorArtistry "/>
    <s v=" Joy "/>
    <x v="0"/>
    <d v="2023-06-24T16:15:00"/>
    <x v="423"/>
    <x v="132"/>
    <x v="90"/>
    <s v=" ArtisticSenior "/>
    <x v="3"/>
    <x v="0"/>
    <s v=" #CreativityAtAnyAge #SeniorCreativity "/>
    <n v="22"/>
    <n v="45"/>
    <x v="9"/>
    <x v="113"/>
    <x v="1"/>
    <n v="2023"/>
    <n v="6"/>
    <n v="24"/>
    <x v="12"/>
  </r>
  <r>
    <s v="Embarking on a journey of writing a memoir, documenting a lifetime of experiences. Every story matters. #MemoirWriting #SeniorStories "/>
    <s v=" Gratitude "/>
    <x v="0"/>
    <d v="2023-06-25T20:30:00"/>
    <x v="424"/>
    <x v="52"/>
    <x v="45"/>
    <s v=" MemoiristSenior "/>
    <x v="2"/>
    <x v="2"/>
    <s v=" #LifetimeExperiences #SeniorMemoir "/>
    <n v="35"/>
    <n v="70"/>
    <x v="27"/>
    <x v="112"/>
    <x v="0"/>
    <n v="2023"/>
    <n v="6"/>
    <n v="25"/>
    <x v="13"/>
  </r>
  <r>
    <s v="Attended a lecture on history, always fascinated by the lessons from the past. Learning is a lifelong adventure. #HistoryLecture #SeniorLearning "/>
    <s v=" Curiosity "/>
    <x v="2"/>
    <d v="2023-06-26T14:00:00"/>
    <x v="425"/>
    <x v="151"/>
    <x v="60"/>
    <s v=" HistoryEnthusiast "/>
    <x v="1"/>
    <x v="1"/>
    <s v=" #LifetimeAdventure #SeniorCuriosity "/>
    <n v="30"/>
    <n v="60"/>
    <x v="7"/>
    <x v="114"/>
    <x v="2"/>
    <n v="2023"/>
    <n v="6"/>
    <n v="26"/>
    <x v="6"/>
  </r>
  <r>
    <s v="Rediscovered the joy of cooking traditional family recipes. The kitchen, a place of cherished memories. #FamilyRecipes #SeniorCooking "/>
    <s v=" Contentment "/>
    <x v="0"/>
    <d v="2023-06-27T17:45:00"/>
    <x v="426"/>
    <x v="70"/>
    <x v="48"/>
    <s v=" FamilyChefSenior "/>
    <x v="3"/>
    <x v="0"/>
    <s v=" #KitchenMemories #SeniorCulinary "/>
    <n v="20"/>
    <n v="40"/>
    <x v="2"/>
    <x v="112"/>
    <x v="0"/>
    <n v="2023"/>
    <n v="6"/>
    <n v="27"/>
    <x v="9"/>
  </r>
  <r>
    <s v="Joined a nature photography club, capturing the beauty of the great outdoors. Every click is a connection to nature. #NaturePhotography #SeniorPhotographer "/>
    <s v=" Joy "/>
    <x v="0"/>
    <d v="2023-06-28T22:15:00"/>
    <x v="427"/>
    <x v="169"/>
    <x v="102"/>
    <s v=" NaturePhotographySenior "/>
    <x v="2"/>
    <x v="2"/>
    <s v=" #OutdoorBeauty #SeniorClicks "/>
    <n v="18"/>
    <n v="35"/>
    <x v="8"/>
    <x v="114"/>
    <x v="2"/>
    <n v="2023"/>
    <n v="6"/>
    <n v="28"/>
    <x v="16"/>
  </r>
  <r>
    <s v="Attended a jazz concert and swayed to the rhythm of timeless tunes. Music, a constant companion in the golden years. #JazzConcert #SeniorMusic "/>
    <s v=" Joy "/>
    <x v="0"/>
    <d v="2023-06-29T16:30:00"/>
    <x v="428"/>
    <x v="87"/>
    <x v="54"/>
    <s v=" JazzMusicLover "/>
    <x v="1"/>
    <x v="1"/>
    <s v=" #TimelessTunes #SeniorJazz "/>
    <n v="25"/>
    <n v="50"/>
    <x v="5"/>
    <x v="112"/>
    <x v="0"/>
    <n v="2023"/>
    <n v="6"/>
    <n v="29"/>
    <x v="12"/>
  </r>
  <r>
    <s v="Joined a writing group, penning down thoughts and reflections. Writing, a journey into the depths of the soul. #WritingGroup #SeniorWriter "/>
    <s v=" Gratitude "/>
    <x v="0"/>
    <d v="2023-06-30T19:30:00"/>
    <x v="429"/>
    <x v="62"/>
    <x v="7"/>
    <s v=" SeniorWordsmith "/>
    <x v="3"/>
    <x v="0"/>
    <s v=" #SoulfulWriting #SeniorReflections "/>
    <n v="28"/>
    <n v="55"/>
    <x v="11"/>
    <x v="114"/>
    <x v="2"/>
    <n v="2023"/>
    <n v="6"/>
    <n v="30"/>
    <x v="4"/>
  </r>
  <r>
    <s v="Embarked on a solo travel adventure, discovering the beauty of new places at my own pace. #SoloTravel #SeniorExplorer "/>
    <s v=" Excitement "/>
    <x v="0"/>
    <d v="2023-07-01T14:00:00"/>
    <x v="430"/>
    <x v="92"/>
    <x v="60"/>
    <s v=" SoloAdventurer "/>
    <x v="1"/>
    <x v="1"/>
    <s v=" #DiscoverNewPlaces #SeniorTravel "/>
    <n v="30"/>
    <n v="60"/>
    <x v="7"/>
    <x v="112"/>
    <x v="0"/>
    <n v="2023"/>
    <n v="7"/>
    <n v="1"/>
    <x v="6"/>
  </r>
  <r>
    <s v="Attended a vintage car show, reminiscing about the classics that once ruled the roads. Nostalgia in every rev. #VintageCars #ClassicRides "/>
    <s v=" Joy "/>
    <x v="0"/>
    <d v="2023-07-02T18:30:00"/>
    <x v="431"/>
    <x v="85"/>
    <x v="36"/>
    <s v=" CarEnthusiastSenior "/>
    <x v="2"/>
    <x v="2"/>
    <s v=" #RoadTripDownMemoryLane #SeniorCars "/>
    <n v="22"/>
    <n v="45"/>
    <x v="9"/>
    <x v="114"/>
    <x v="2"/>
    <n v="2023"/>
    <n v="7"/>
    <n v="2"/>
    <x v="3"/>
  </r>
  <r>
    <s v="Started a community garden, growing not just plants but friendships too. Green thumbs unite! #CommunityGarden #SeniorGardener "/>
    <s v=" Joy "/>
    <x v="0"/>
    <d v="2023-07-03T12:45:00"/>
    <x v="432"/>
    <x v="140"/>
    <x v="96"/>
    <s v=" GreenThumbSenior "/>
    <x v="3"/>
    <x v="0"/>
    <s v=" #GardenFriends #SeniorGreenThumb "/>
    <n v="28"/>
    <n v="55"/>
    <x v="11"/>
    <x v="113"/>
    <x v="1"/>
    <n v="2023"/>
    <n v="7"/>
    <n v="3"/>
    <x v="0"/>
  </r>
  <r>
    <s v="Hosted a family dinner, where laughter echoed louder than the clinking of utensils. Family, the heart of happiness. #FamilyDinner #SeniorHost "/>
    <s v=" Contentment "/>
    <x v="0"/>
    <d v="2023-07-04T17:00:00"/>
    <x v="433"/>
    <x v="37"/>
    <x v="34"/>
    <s v=" FamilyHostSenior "/>
    <x v="1"/>
    <x v="1"/>
    <s v=" #HeartwarmingMoments #SeniorFamily "/>
    <n v="35"/>
    <n v="70"/>
    <x v="27"/>
    <x v="112"/>
    <x v="0"/>
    <n v="2023"/>
    <n v="7"/>
    <n v="4"/>
    <x v="9"/>
  </r>
  <r>
    <s v="Enrolled in a dance class for seniors, moving to the rhythm of life. Age is just a number on the dance floor. #DanceClass #SeniorDancer "/>
    <s v=" Joy "/>
    <x v="0"/>
    <d v="2023-07-05T20:15:00"/>
    <x v="434"/>
    <x v="167"/>
    <x v="105"/>
    <s v=" DanceEnthusiastSenior "/>
    <x v="3"/>
    <x v="0"/>
    <s v=" #DanceLife #SeniorMoves "/>
    <n v="18"/>
    <n v="35"/>
    <x v="8"/>
    <x v="114"/>
    <x v="2"/>
    <n v="2023"/>
    <n v="7"/>
    <n v="5"/>
    <x v="13"/>
  </r>
  <r>
    <s v="Visited an art gallery, appreciating the brushstrokes that tell tales of creativity. Art, an eternal companion. #ArtGallery #SeniorArtLover "/>
    <s v=" Joy "/>
    <x v="0"/>
    <d v="2023-07-06T14:30:00"/>
    <x v="435"/>
    <x v="72"/>
    <x v="22"/>
    <s v=" ArtGalleryVisitor "/>
    <x v="2"/>
    <x v="2"/>
    <s v=" #CreativeExpressions #SeniorArt "/>
    <n v="25"/>
    <n v="50"/>
    <x v="5"/>
    <x v="112"/>
    <x v="0"/>
    <n v="2023"/>
    <n v="7"/>
    <n v="6"/>
    <x v="6"/>
  </r>
  <r>
    <s v="Started a book club for seniors, where discussions are as lively as the characters in the novels. #BookClub #SeniorReaders "/>
    <s v=" Joy "/>
    <x v="0"/>
    <d v="2023-07-07T19:45:00"/>
    <x v="436"/>
    <x v="58"/>
    <x v="25"/>
    <s v=" SeniorBookClub "/>
    <x v="1"/>
    <x v="1"/>
    <s v=" #BookishTalks #SeniorBookworms "/>
    <n v="22"/>
    <n v="45"/>
    <x v="9"/>
    <x v="114"/>
    <x v="2"/>
    <n v="2023"/>
    <n v="7"/>
    <n v="7"/>
    <x v="4"/>
  </r>
  <r>
    <s v="Hosted a picnic in the park, basking in the warmth of friendship and sunshine. Simple joys, timeless memories. #ParkPicnic #SeniorJoy "/>
    <s v=" Contentment "/>
    <x v="0"/>
    <d v="2023-07-08T16:00:00"/>
    <x v="437"/>
    <x v="65"/>
    <x v="44"/>
    <s v=" SeniorPicnicHost "/>
    <x v="3"/>
    <x v="0"/>
    <s v=" #FriendshipSunshine #SeniorMemories "/>
    <n v="30"/>
    <n v="60"/>
    <x v="7"/>
    <x v="113"/>
    <x v="1"/>
    <n v="2023"/>
    <n v="7"/>
    <n v="8"/>
    <x v="12"/>
  </r>
  <r>
    <s v="Participated in a local theater production, proving that the stage belongs to every age. #TheaterProduction #SeniorActor "/>
    <s v=" Joy "/>
    <x v="0"/>
    <d v="2023-07-09T22:30:00"/>
    <x v="438"/>
    <x v="162"/>
    <x v="99"/>
    <s v=" SeniorActor "/>
    <x v="2"/>
    <x v="2"/>
    <s v=" #StagePassion #SeniorTheater "/>
    <n v="20"/>
    <n v="40"/>
    <x v="2"/>
    <x v="112"/>
    <x v="0"/>
    <n v="2023"/>
    <n v="7"/>
    <n v="9"/>
    <x v="16"/>
  </r>
  <r>
    <s v="Embarked on a hiking adventure, conquering trails and relishing the beauty of nature. Age is just a number on the mountaintop. #HikingAdventure #SeniorHiker "/>
    <s v=" Excitement "/>
    <x v="0"/>
    <d v="2023-07-10T14:20:00"/>
    <x v="439"/>
    <x v="50"/>
    <x v="29"/>
    <s v=" SeniorHikerExplorer "/>
    <x v="1"/>
    <x v="1"/>
    <s v=" #NatureTrailBlazer #SeniorExplorer "/>
    <n v="28"/>
    <n v="55"/>
    <x v="11"/>
    <x v="114"/>
    <x v="2"/>
    <n v="2023"/>
    <n v="7"/>
    <n v="10"/>
    <x v="6"/>
  </r>
  <r>
    <s v="Hosted a photography exhibition featuring snapshots of a life well-lived. Every photo has a story to tell. #PhotographyExhibition #SeniorPhotographer "/>
    <s v=" Gratitude "/>
    <x v="0"/>
    <d v="2023-07-11T18:45:00"/>
    <x v="440"/>
    <x v="69"/>
    <x v="47"/>
    <s v=" SeniorPhotographerExhibitor "/>
    <x v="3"/>
    <x v="0"/>
    <s v=" #LifeInPictures #SeniorExhibition "/>
    <n v="22"/>
    <n v="45"/>
    <x v="9"/>
    <x v="113"/>
    <x v="1"/>
    <n v="2023"/>
    <n v="7"/>
    <n v="11"/>
    <x v="3"/>
  </r>
  <r>
    <s v="Joined a seniors' cycling club, feeling the wind in my hair and the freedom of the open road. #CyclingClub #SeniorCyclist "/>
    <s v=" Excitement "/>
    <x v="0"/>
    <d v="2023-07-12T13:45:00"/>
    <x v="441"/>
    <x v="161"/>
    <x v="62"/>
    <s v=" SeniorCyclingEnthusiast "/>
    <x v="2"/>
    <x v="2"/>
    <s v=" #OpenRoadAdventures #SeniorCycling "/>
    <n v="25"/>
    <n v="50"/>
    <x v="5"/>
    <x v="112"/>
    <x v="0"/>
    <n v="2023"/>
    <n v="7"/>
    <n v="12"/>
    <x v="8"/>
  </r>
  <r>
    <s v="Attended a wine tasting event, savoring the richness of flavors that age like fine wine. Cheers to the golden years! #WineTasting #SeniorWineLover "/>
    <s v=" Joy "/>
    <x v="0"/>
    <d v="2023-07-13T20:00:00"/>
    <x v="442"/>
    <x v="168"/>
    <x v="31"/>
    <s v=" SeniorWineConnoisseur "/>
    <x v="1"/>
    <x v="1"/>
    <s v=" #AgedToPerfection #SeniorCheers "/>
    <n v="35"/>
    <n v="70"/>
    <x v="27"/>
    <x v="114"/>
    <x v="2"/>
    <n v="2023"/>
    <n v="7"/>
    <n v="13"/>
    <x v="13"/>
  </r>
  <r>
    <s v="Started learning ballroom dancing, gliding gracefully across the dance floor. Ageless elegance in every step. #BallroomDancing #SeniorDancer "/>
    <s v=" Joy "/>
    <x v="0"/>
    <d v="2023-07-14T16:15:00"/>
    <x v="212"/>
    <x v="132"/>
    <x v="90"/>
    <s v=" SeniorBallroomDancer "/>
    <x v="3"/>
    <x v="0"/>
    <s v=" #GracefulMoves #SeniorDance "/>
    <n v="20"/>
    <n v="40"/>
    <x v="2"/>
    <x v="112"/>
    <x v="0"/>
    <n v="2023"/>
    <n v="7"/>
    <n v="14"/>
    <x v="12"/>
  </r>
  <r>
    <s v="Organized a community painting event, turning blank canvases into a masterpiece of shared creativity. #PaintingEvent #SeniorArtist "/>
    <s v=" Joy "/>
    <x v="0"/>
    <d v="2023-07-15T19:30:00"/>
    <x v="443"/>
    <x v="7"/>
    <x v="7"/>
    <s v=" SeniorPaintingOrganizer "/>
    <x v="2"/>
    <x v="2"/>
    <s v=" #CommunityArt #SeniorCreativity "/>
    <n v="28"/>
    <n v="55"/>
    <x v="11"/>
    <x v="113"/>
    <x v="1"/>
    <n v="2023"/>
    <n v="7"/>
    <n v="15"/>
    <x v="4"/>
  </r>
  <r>
    <s v="Hosted a 'memory lane' evening with old friends, reminiscing about the adventures that shaped our lives. #MemoryLane #SeniorReminiscing "/>
    <s v=" Gratitude "/>
    <x v="0"/>
    <d v="2023-07-16T14:00:00"/>
    <x v="444"/>
    <x v="151"/>
    <x v="60"/>
    <s v=" SeniorMemoriesHost "/>
    <x v="1"/>
    <x v="1"/>
    <s v=" #FriendshipAdventures #SeniorNostalgia "/>
    <n v="30"/>
    <n v="60"/>
    <x v="7"/>
    <x v="112"/>
    <x v="0"/>
    <n v="2023"/>
    <n v="7"/>
    <n v="16"/>
    <x v="6"/>
  </r>
  <r>
    <s v="Joined a seniors' astronomy club, stargazing and finding wonder in the vastness of the cosmos. #AstronomyClub #SeniorStargazer "/>
    <s v=" Curiosity "/>
    <x v="2"/>
    <d v="2023-07-17T22:15:00"/>
    <x v="445"/>
    <x v="159"/>
    <x v="102"/>
    <s v=" SeniorStargazer "/>
    <x v="3"/>
    <x v="0"/>
    <s v=" #CelestialWonders #SeniorAstronomy "/>
    <n v="18"/>
    <n v="35"/>
    <x v="8"/>
    <x v="114"/>
    <x v="2"/>
    <n v="2023"/>
    <n v="7"/>
    <n v="17"/>
    <x v="16"/>
  </r>
  <r>
    <s v="Attended a local jazz festival, tapping toes to the tunes that have stood the test of time. Music, a lifelong love affair. #JazzFestival #SeniorMusicLover "/>
    <s v=" Joy "/>
    <x v="0"/>
    <d v="2023-07-18T16:30:00"/>
    <x v="446"/>
    <x v="77"/>
    <x v="54"/>
    <s v=" SeniorJazzFestivalGoer "/>
    <x v="2"/>
    <x v="2"/>
    <s v=" #TimelessTunes #SeniorJazz "/>
    <n v="25"/>
    <n v="50"/>
    <x v="5"/>
    <x v="112"/>
    <x v="0"/>
    <n v="2023"/>
    <n v="7"/>
    <n v="18"/>
    <x v="12"/>
  </r>
  <r>
    <s v="Started a blog sharing the wisdom gained through the years, proving that every day is a chance to learn and grow. #SeniorWisdom #Blog "/>
    <s v=" Gratitude "/>
    <x v="0"/>
    <d v="2023-07-19T19:45:00"/>
    <x v="447"/>
    <x v="58"/>
    <x v="25"/>
    <s v=" WisdomBloggerSenior "/>
    <x v="1"/>
    <x v="1"/>
    <s v=" #LifeLessons #SeniorBlog "/>
    <n v="22"/>
    <n v="45"/>
    <x v="9"/>
    <x v="114"/>
    <x v="2"/>
    <n v="2023"/>
    <n v="7"/>
    <n v="19"/>
    <x v="4"/>
  </r>
  <r>
    <s v="Participated in a charity run, proving that age is no barrier to supporting meaningful causes. #CharityRun #SeniorRunner "/>
    <s v=" Excitement "/>
    <x v="0"/>
    <d v="2023-07-20T17:00:00"/>
    <x v="448"/>
    <x v="37"/>
    <x v="34"/>
    <s v=" SeniorCharityRunner "/>
    <x v="3"/>
    <x v="0"/>
    <s v=" #RunForACause #SeniorSupport "/>
    <n v="30"/>
    <n v="60"/>
    <x v="7"/>
    <x v="113"/>
    <x v="1"/>
    <n v="2023"/>
    <n v="7"/>
    <n v="20"/>
    <x v="9"/>
  </r>
  <r>
    <s v="Survived a challenging physics exam. Equations, you won't defeat me! "/>
    <s v=" Relief "/>
    <x v="2"/>
    <d v="2023-08-01T13:30:00"/>
    <x v="449"/>
    <x v="156"/>
    <x v="39"/>
    <s v=" PhysicsWhizHighSchool "/>
    <x v="1"/>
    <x v="1"/>
    <s v=" #PhysicsSurvivor #HighSchoolAdventures "/>
    <n v="20"/>
    <n v="40"/>
    <x v="2"/>
    <x v="112"/>
    <x v="0"/>
    <n v="2023"/>
    <n v="8"/>
    <n v="1"/>
    <x v="8"/>
  </r>
  <r>
    <s v="Exploring the world of coding. Debugging is an adventure on its own! #CodingJourney #HighSchoolCoder "/>
    <s v=" Excitement "/>
    <x v="0"/>
    <d v="2023-08-02T14:45:00"/>
    <x v="450"/>
    <x v="6"/>
    <x v="6"/>
    <s v=" CodeExplorerHighSchool "/>
    <x v="3"/>
    <x v="0"/>
    <s v=" #CodingAdventure #HighSchoolCoderLife "/>
    <n v="25"/>
    <n v="50"/>
    <x v="5"/>
    <x v="114"/>
    <x v="2"/>
    <n v="2023"/>
    <n v="8"/>
    <n v="2"/>
    <x v="6"/>
  </r>
  <r>
    <s v="Joined the school debate team. Words are my weapons, and I'm ready for battle! "/>
    <s v=" Excitement "/>
    <x v="0"/>
    <d v="2023-08-03T12:15:00"/>
    <x v="451"/>
    <x v="101"/>
    <x v="64"/>
    <s v=" DebateWarriorHighSchool "/>
    <x v="2"/>
    <x v="2"/>
    <s v=" #DebateWarrior #HighSchoolDebater "/>
    <n v="18"/>
    <n v="35"/>
    <x v="8"/>
    <x v="113"/>
    <x v="1"/>
    <n v="2023"/>
    <n v="8"/>
    <n v="3"/>
    <x v="0"/>
  </r>
  <r>
    <s v="Started a photography club at school. Capturing moments, one snapshot at a time! "/>
    <s v=" Joy "/>
    <x v="0"/>
    <d v="2023-08-04T16:30:00"/>
    <x v="452"/>
    <x v="87"/>
    <x v="54"/>
    <s v=" PhotoClubHighSchool "/>
    <x v="1"/>
    <x v="1"/>
    <s v=" #PhotographyClub #HighSchoolPhotographer "/>
    <n v="22"/>
    <n v="45"/>
    <x v="9"/>
    <x v="112"/>
    <x v="0"/>
    <n v="2023"/>
    <n v="8"/>
    <n v="4"/>
    <x v="12"/>
  </r>
  <r>
    <s v="Daydreaming about the upcoming prom. The dress, the dance ‚Äì it's a fairytale in the making! "/>
    <s v=" Excitement "/>
    <x v="0"/>
    <d v="2023-08-05T19:45:00"/>
    <x v="453"/>
    <x v="26"/>
    <x v="25"/>
    <s v=" PromDreamerHighSchool "/>
    <x v="3"/>
    <x v="0"/>
    <s v=" #PromDreams #HighSchoolFairytale "/>
    <n v="30"/>
    <n v="60"/>
    <x v="7"/>
    <x v="113"/>
    <x v="1"/>
    <n v="2023"/>
    <n v="8"/>
    <n v="5"/>
    <x v="4"/>
  </r>
  <r>
    <s v="Convinced the teacher to have class outdoors. Learning equations with a side of fresh air! "/>
    <s v=" Positive "/>
    <x v="0"/>
    <d v="2023-08-06T14:00:00"/>
    <x v="454"/>
    <x v="92"/>
    <x v="60"/>
    <s v=" OutdoorClassHighSchool "/>
    <x v="2"/>
    <x v="2"/>
    <s v=" #OutdoorClassroom #HighSchoolExplorer "/>
    <n v="28"/>
    <n v="55"/>
    <x v="11"/>
    <x v="112"/>
    <x v="0"/>
    <n v="2023"/>
    <n v="8"/>
    <n v="6"/>
    <x v="6"/>
  </r>
  <r>
    <s v="Accidentally spilled paint in art class. Abstract art, right? #ArtClassAdventures #HighSchoolArtist "/>
    <s v=" Embarrassed "/>
    <x v="1"/>
    <d v="2023-08-07T19:45:00"/>
    <x v="455"/>
    <x v="26"/>
    <x v="25"/>
    <s v=" PaintSpillHighSchool "/>
    <x v="1"/>
    <x v="1"/>
    <s v=" #ArtisticMishaps #HighSchoolArt "/>
    <n v="22"/>
    <n v="45"/>
    <x v="9"/>
    <x v="114"/>
    <x v="2"/>
    <n v="2023"/>
    <n v="8"/>
    <n v="7"/>
    <x v="4"/>
  </r>
  <r>
    <s v="Trying to master the perfect kickflip on my skateboard. Skating into the weekend like a pro! "/>
    <s v=" Excitement "/>
    <x v="0"/>
    <d v="2023-08-08T16:00:00"/>
    <x v="456"/>
    <x v="51"/>
    <x v="44"/>
    <s v=" SkateProHighSchool "/>
    <x v="3"/>
    <x v="0"/>
    <s v=" #SkaterLife #HighSchoolSkater "/>
    <n v="30"/>
    <n v="60"/>
    <x v="7"/>
    <x v="113"/>
    <x v="1"/>
    <n v="2023"/>
    <n v="8"/>
    <n v="8"/>
    <x v="12"/>
  </r>
  <r>
    <s v="Bonding with friends over the latest K-pop sensation. Fangirling at its finest! "/>
    <s v=" Joy "/>
    <x v="0"/>
    <d v="2023-08-09T22:30:00"/>
    <x v="457"/>
    <x v="149"/>
    <x v="99"/>
    <s v=" KpopFangirlHighSchool "/>
    <x v="2"/>
    <x v="2"/>
    <s v=" #KpopFangirl #HighSchoolMusic "/>
    <n v="20"/>
    <n v="40"/>
    <x v="2"/>
    <x v="112"/>
    <x v="0"/>
    <n v="2023"/>
    <n v="8"/>
    <n v="9"/>
    <x v="16"/>
  </r>
  <r>
    <s v="Spent hours perfecting a chemistry experiment. Mixing potions like a wizard! "/>
    <s v=" Joy "/>
    <x v="0"/>
    <d v="2023-08-10T14:20:00"/>
    <x v="458"/>
    <x v="32"/>
    <x v="29"/>
    <s v=" ChemistryWizardHighSchool "/>
    <x v="1"/>
    <x v="1"/>
    <s v=" #ChemistryWizard #HighSchoolScientist "/>
    <n v="28"/>
    <n v="55"/>
    <x v="11"/>
    <x v="114"/>
    <x v="2"/>
    <n v="2023"/>
    <n v="8"/>
    <n v="10"/>
    <x v="6"/>
  </r>
  <r>
    <s v="Successfully organized a surprise birthday party for a friend. Party planning expert mode: Achieved! "/>
    <s v=" Joy "/>
    <x v="0"/>
    <d v="2023-08-11T18:45:00"/>
    <x v="459"/>
    <x v="57"/>
    <x v="47"/>
    <s v=" BirthdayPartyPlannerHighSchool "/>
    <x v="3"/>
    <x v="0"/>
    <s v=" #BirthdayParty #HighSchoolCelebration "/>
    <n v="22"/>
    <n v="45"/>
    <x v="9"/>
    <x v="113"/>
    <x v="1"/>
    <n v="2023"/>
    <n v="8"/>
    <n v="11"/>
    <x v="3"/>
  </r>
  <r>
    <s v="Joined the drama club to unleash my inner actor. Lights, camera, action! "/>
    <s v=" Excitement "/>
    <x v="0"/>
    <d v="2023-08-12T13:45:00"/>
    <x v="460"/>
    <x v="95"/>
    <x v="62"/>
    <s v=" DramaClubStarHighSchool "/>
    <x v="2"/>
    <x v="2"/>
    <s v=" #DramaClubStar #HighSchoolActor "/>
    <n v="25"/>
    <n v="50"/>
    <x v="5"/>
    <x v="112"/>
    <x v="0"/>
    <n v="2023"/>
    <n v="8"/>
    <n v="12"/>
    <x v="8"/>
  </r>
  <r>
    <s v="Got my hands on the latest fantasy novel. Diving into realms of magic and adventure! "/>
    <s v=" Excitement "/>
    <x v="0"/>
    <d v="2023-08-13T20:00:00"/>
    <x v="461"/>
    <x v="34"/>
    <x v="31"/>
    <s v=" FantasyBookNerdHighSchool "/>
    <x v="1"/>
    <x v="1"/>
    <s v=" #FantasyBookNerd #HighSchoolReader "/>
    <n v="35"/>
    <n v="70"/>
    <x v="27"/>
    <x v="114"/>
    <x v="2"/>
    <n v="2023"/>
    <n v="8"/>
    <n v="13"/>
    <x v="13"/>
  </r>
  <r>
    <s v="Mastering the art of the perfect doodle during boring classes. Doodles: A+! "/>
    <s v=" Joy "/>
    <x v="0"/>
    <d v="2023-08-14T16:15:00"/>
    <x v="462"/>
    <x v="172"/>
    <x v="90"/>
    <s v=" DoodleMasterHighSchool "/>
    <x v="3"/>
    <x v="0"/>
    <s v=" #DoodleMaster #HighSchoolArt "/>
    <n v="20"/>
    <n v="40"/>
    <x v="2"/>
    <x v="112"/>
    <x v="0"/>
    <n v="2023"/>
    <n v="8"/>
    <n v="14"/>
    <x v="12"/>
  </r>
  <r>
    <s v="Attempting to break the school record for the longest handstand. Wish me luck! "/>
    <s v=" Excitement "/>
    <x v="0"/>
    <d v="2023-08-15T19:30:00"/>
    <x v="463"/>
    <x v="62"/>
    <x v="7"/>
    <s v=" HandstandChallengeHighSchool "/>
    <x v="2"/>
    <x v="2"/>
    <s v=" #HandstandChallenge #HighSchoolAthlete "/>
    <n v="28"/>
    <n v="55"/>
    <x v="11"/>
    <x v="113"/>
    <x v="1"/>
    <n v="2023"/>
    <n v="8"/>
    <n v="15"/>
    <x v="4"/>
  </r>
  <r>
    <s v="Sneaking snacks into class like a pro. The art of snack-smuggling is a sacred skill! "/>
    <s v=" Mischievous "/>
    <x v="2"/>
    <d v="2023-08-16T14:00:00"/>
    <x v="464"/>
    <x v="92"/>
    <x v="60"/>
    <s v=" SnackSmugglerHighSchool "/>
    <x v="1"/>
    <x v="1"/>
    <s v=" #SnackSmuggler #HighSchoolSnacks "/>
    <n v="30"/>
    <n v="60"/>
    <x v="7"/>
    <x v="112"/>
    <x v="0"/>
    <n v="2023"/>
    <n v="8"/>
    <n v="16"/>
    <x v="6"/>
  </r>
  <r>
    <s v="Hosting a sleepover with friends this weekend. Preparing for a night of laughter and memories! "/>
    <s v=" Excitement "/>
    <x v="0"/>
    <d v="2023-08-17T22:15:00"/>
    <x v="465"/>
    <x v="169"/>
    <x v="102"/>
    <s v=" SleepoverHostHighSchool "/>
    <x v="3"/>
    <x v="0"/>
    <s v=" #SleepoverFun #HighSchoolMemories "/>
    <n v="18"/>
    <n v="35"/>
    <x v="8"/>
    <x v="114"/>
    <x v="2"/>
    <n v="2023"/>
    <n v="8"/>
    <n v="17"/>
    <x v="16"/>
  </r>
  <r>
    <s v="Spent hours on a TikTok dance, only to realize I have two left feet. Dance fail: Unleashed! "/>
    <s v=" Embarrassed "/>
    <x v="1"/>
    <d v="2023-08-18T16:30:00"/>
    <x v="466"/>
    <x v="87"/>
    <x v="54"/>
    <s v=" TikTokFailHighSchool "/>
    <x v="2"/>
    <x v="2"/>
    <s v=" #DanceFail #HighSchoolTikTok "/>
    <n v="25"/>
    <n v="50"/>
    <x v="5"/>
    <x v="112"/>
    <x v="0"/>
    <n v="2023"/>
    <n v="8"/>
    <n v="18"/>
    <x v="12"/>
  </r>
  <r>
    <s v="Accidentally liked my crush's old photo while stalking their profile. Awkward level: Maximum! "/>
    <s v=" Embarrassed "/>
    <x v="1"/>
    <d v="2023-08-19T19:45:00"/>
    <x v="467"/>
    <x v="26"/>
    <x v="25"/>
    <s v=" SocialMediaBlunderHighSchool "/>
    <x v="1"/>
    <x v="1"/>
    <s v=" #SocialMediaBlunder #HighSchoolAwkward "/>
    <n v="22"/>
    <n v="45"/>
    <x v="9"/>
    <x v="114"/>
    <x v="2"/>
    <n v="2023"/>
    <n v="8"/>
    <n v="19"/>
    <x v="4"/>
  </r>
  <r>
    <s v="Tried to impress my crush with a smooth conversation. Ended up spilling my drink. Smooth level: Nonexistent! "/>
    <s v=" Embarrassed "/>
    <x v="1"/>
    <d v="2023-08-20T17:00:00"/>
    <x v="468"/>
    <x v="153"/>
    <x v="34"/>
    <s v=" CrushFailHighSchool "/>
    <x v="3"/>
    <x v="0"/>
    <s v=" #CrushFail #HighSchoolEmbarrassment "/>
    <n v="30"/>
    <n v="60"/>
    <x v="7"/>
    <x v="113"/>
    <x v="1"/>
    <n v="2023"/>
    <n v="8"/>
    <n v="20"/>
    <x v="9"/>
  </r>
  <r>
    <s v="Mastered the art of creating paper airplanes during lecture. Paper planes: Soaring to new heights! "/>
    <s v=" Joy "/>
    <x v="0"/>
    <d v="2023-08-21T15:45:00"/>
    <x v="469"/>
    <x v="2"/>
    <x v="2"/>
    <s v=" PaperPlaneExpertHighSchool "/>
    <x v="1"/>
    <x v="1"/>
    <s v=" #PaperPlaneExpert #HighSchoolArt "/>
    <n v="15"/>
    <n v="30"/>
    <x v="0"/>
    <x v="112"/>
    <x v="0"/>
    <n v="2023"/>
    <n v="8"/>
    <n v="21"/>
    <x v="2"/>
  </r>
  <r>
    <s v="Trying to set a new trend by juggling textbooks between classes. Academic juggling: A unique skill! "/>
    <s v=" Excitement "/>
    <x v="0"/>
    <d v="2023-08-22T12:30:00"/>
    <x v="470"/>
    <x v="135"/>
    <x v="0"/>
    <s v=" JugglingProHighSchool "/>
    <x v="2"/>
    <x v="2"/>
    <s v=" #TextbookJuggling #HighSchoolSkills "/>
    <n v="22"/>
    <n v="40"/>
    <x v="28"/>
    <x v="113"/>
    <x v="1"/>
    <n v="2023"/>
    <n v="8"/>
    <n v="22"/>
    <x v="0"/>
  </r>
  <r>
    <s v="Hiding a snack stash in my backpack for emergency cravings. Snack ninja mode: Activated! "/>
    <s v=" Mischievous "/>
    <x v="2"/>
    <d v="2023-08-23T16:45:00"/>
    <x v="471"/>
    <x v="21"/>
    <x v="20"/>
    <s v=" SnackNinjaHighSchool "/>
    <x v="3"/>
    <x v="0"/>
    <s v=" #SnackNinja #HighSchoolSnacks "/>
    <n v="28"/>
    <n v="55"/>
    <x v="11"/>
    <x v="112"/>
    <x v="0"/>
    <n v="2023"/>
    <n v="8"/>
    <n v="23"/>
    <x v="12"/>
  </r>
  <r>
    <s v="Planning a surprise scavenger hunt for friends. Anticipating the thrill and excitement! "/>
    <s v=" Excitement "/>
    <x v="0"/>
    <d v="2023-08-24T18:20:00"/>
    <x v="472"/>
    <x v="60"/>
    <x v="3"/>
    <s v=" ScavengerHuntMasterHighSchool "/>
    <x v="1"/>
    <x v="1"/>
    <s v=" #SurpriseAdventure #HighSchoolFun "/>
    <n v="20"/>
    <n v="38"/>
    <x v="29"/>
    <x v="114"/>
    <x v="2"/>
    <n v="2023"/>
    <n v="8"/>
    <n v="24"/>
    <x v="3"/>
  </r>
  <r>
    <s v="Danced in the rain to celebrate the end of exams. Rain dance: Unexpectedly refreshing! "/>
    <s v=" Joy "/>
    <x v="0"/>
    <d v="2023-08-25T14:15:00"/>
    <x v="473"/>
    <x v="104"/>
    <x v="67"/>
    <s v=" RainDanceCelebrationHighSchool "/>
    <x v="2"/>
    <x v="2"/>
    <s v=" #RainDance #HighSchoolJoy "/>
    <n v="25"/>
    <n v="50"/>
    <x v="5"/>
    <x v="113"/>
    <x v="1"/>
    <n v="2023"/>
    <n v="8"/>
    <n v="25"/>
    <x v="6"/>
  </r>
  <r>
    <s v="Accidentally sent a text meant for a friend to the class group chat. Texting fail: Oops moment! "/>
    <s v=" Embarrassed "/>
    <x v="1"/>
    <d v="2023-08-26T17:30:00"/>
    <x v="474"/>
    <x v="28"/>
    <x v="27"/>
    <s v=" GroupChatBlunderHighSchool "/>
    <x v="3"/>
    <x v="0"/>
    <s v=" #TextingFail #HighSchoolAwkward "/>
    <n v="18"/>
    <n v="35"/>
    <x v="8"/>
    <x v="112"/>
    <x v="0"/>
    <n v="2023"/>
    <n v="8"/>
    <n v="26"/>
    <x v="9"/>
  </r>
  <r>
    <s v="Tried a magic trick to impress classmates. Magic fail: Where did that rabbit go? "/>
    <s v=" Embarrassed "/>
    <x v="1"/>
    <d v="2023-08-27T20:45:00"/>
    <x v="475"/>
    <x v="173"/>
    <x v="61"/>
    <s v=" MagicFailHighSchool "/>
    <x v="1"/>
    <x v="1"/>
    <s v=" #MagicFail #HighSchoolMagic "/>
    <n v="22"/>
    <n v="45"/>
    <x v="9"/>
    <x v="114"/>
    <x v="2"/>
    <n v="2023"/>
    <n v="8"/>
    <n v="27"/>
    <x v="13"/>
  </r>
  <r>
    <s v="Perfecting the art of creating origami during a dull lecture. Origami mastery: A+! "/>
    <s v=" Joy "/>
    <x v="0"/>
    <d v="2023-08-28T16:00:00"/>
    <x v="476"/>
    <x v="51"/>
    <x v="44"/>
    <s v=" OrigamiProHighSchool "/>
    <x v="3"/>
    <x v="0"/>
    <s v=" #OrigamiMaster #HighSchoolArt "/>
    <n v="18"/>
    <n v="36"/>
    <x v="15"/>
    <x v="112"/>
    <x v="0"/>
    <n v="2023"/>
    <n v="8"/>
    <n v="28"/>
    <x v="12"/>
  </r>
  <r>
    <s v="Attempting to set a new record for the most consecutive hacky sack kicks. Hacky sack skills: Unleashed! "/>
    <s v=" Excitement "/>
    <x v="0"/>
    <d v="2023-08-29T13:45:00"/>
    <x v="477"/>
    <x v="161"/>
    <x v="62"/>
    <s v=" HackySackChampionHighSchool "/>
    <x v="1"/>
    <x v="1"/>
    <s v=" #HackySackChallenge #HighSchoolAthlete "/>
    <n v="26"/>
    <n v="48"/>
    <x v="30"/>
    <x v="113"/>
    <x v="1"/>
    <n v="2023"/>
    <n v="8"/>
    <n v="29"/>
    <x v="8"/>
  </r>
  <r>
    <s v="Creating a secret handshake with friends. Friendship level: Expert! "/>
    <s v=" Joy "/>
    <x v="0"/>
    <d v="2023-08-30T17:30:00"/>
    <x v="478"/>
    <x v="28"/>
    <x v="27"/>
    <s v=" SecretHandshakeHighSchool "/>
    <x v="2"/>
    <x v="2"/>
    <s v=" #FriendshipGoals #HighSchoolMemories "/>
    <n v="20"/>
    <n v="40"/>
    <x v="2"/>
    <x v="112"/>
    <x v="0"/>
    <n v="2023"/>
    <n v="8"/>
    <n v="30"/>
    <x v="9"/>
  </r>
  <r>
    <s v="Embarking on a mission to find the best burger joint in town. Burger connoisseur: Reporting for duty! "/>
    <s v=" Excitement "/>
    <x v="0"/>
    <d v="2023-08-31T20:15:00"/>
    <x v="479"/>
    <x v="170"/>
    <x v="105"/>
    <s v=" BurgerQuestHighSchool "/>
    <x v="3"/>
    <x v="0"/>
    <s v=" #BurgerQuest #HighSchoolFoodie "/>
    <n v="24"/>
    <n v="42"/>
    <x v="17"/>
    <x v="114"/>
    <x v="2"/>
    <n v="2023"/>
    <n v="8"/>
    <n v="31"/>
    <x v="13"/>
  </r>
  <r>
    <s v="Practicing a stand-up comedy routine for the upcoming talent show. Comedy gig: In the making! "/>
    <s v=" Joy "/>
    <x v="0"/>
    <d v="2023-09-01T14:45:00"/>
    <x v="480"/>
    <x v="6"/>
    <x v="6"/>
    <s v=" ComedyGeniusHighSchool "/>
    <x v="1"/>
    <x v="1"/>
    <s v=" #StandUpComedy #HighSchoolTalent "/>
    <n v="21"/>
    <n v="39"/>
    <x v="2"/>
    <x v="113"/>
    <x v="1"/>
    <n v="2023"/>
    <n v="9"/>
    <n v="1"/>
    <x v="6"/>
  </r>
  <r>
    <s v="Accidentally sent a love letter to the wrong person. Love note fail: Maximum embarrassment! "/>
    <s v=" Embarrassed "/>
    <x v="1"/>
    <d v="2023-09-02T18:30:00"/>
    <x v="481"/>
    <x v="85"/>
    <x v="36"/>
    <s v=" LoveLetterBlunderHighSchool "/>
    <x v="2"/>
    <x v="2"/>
    <s v=" #LoveLetterFail #HighSchoolAwkward "/>
    <n v="17"/>
    <n v="33"/>
    <x v="31"/>
    <x v="112"/>
    <x v="0"/>
    <n v="2023"/>
    <n v="9"/>
    <n v="2"/>
    <x v="3"/>
  </r>
  <r>
    <s v="Attempting to impress the teacher with an elaborate science experiment. Science geek mode: Activated! "/>
    <s v=" Excitement "/>
    <x v="0"/>
    <d v="2023-09-03T22:00:00"/>
    <x v="191"/>
    <x v="107"/>
    <x v="70"/>
    <s v=" ScienceExperimentProHighSchool "/>
    <x v="3"/>
    <x v="0"/>
    <s v=" #ScienceGeek #HighSchoolExperiments "/>
    <n v="23"/>
    <n v="44"/>
    <x v="9"/>
    <x v="114"/>
    <x v="2"/>
    <n v="2023"/>
    <n v="9"/>
    <n v="3"/>
    <x v="16"/>
  </r>
  <r>
    <s v="Crafting intricate friendship bracelets for the whole squad. Friendship level: Expert weaver! "/>
    <s v=" Joy "/>
    <x v="0"/>
    <d v="2023-09-04T15:15:00"/>
    <x v="482"/>
    <x v="10"/>
    <x v="10"/>
    <s v=" BraceletCraftsmanHighSchool "/>
    <x v="1"/>
    <x v="1"/>
    <s v=" #FriendshipBracelets #HighSchoolCrafts "/>
    <n v="19"/>
    <n v="37"/>
    <x v="32"/>
    <x v="112"/>
    <x v="0"/>
    <n v="2023"/>
    <n v="9"/>
    <n v="4"/>
    <x v="2"/>
  </r>
  <r>
    <s v="Attempting to beat the record for the most consecutive cartwheels. Cartwheel challenge: Underway! "/>
    <s v=" Excitement "/>
    <x v="0"/>
    <d v="2023-09-05T12:30:00"/>
    <x v="483"/>
    <x v="135"/>
    <x v="0"/>
    <s v=" CartwheelMasterHighSchool "/>
    <x v="3"/>
    <x v="0"/>
    <s v=" #CartwheelChallenge #HighSchoolAthlete "/>
    <n v="27"/>
    <n v="52"/>
    <x v="33"/>
    <x v="113"/>
    <x v="1"/>
    <n v="2023"/>
    <n v="9"/>
    <n v="5"/>
    <x v="0"/>
  </r>
  <r>
    <s v="Organizing a movie marathon with friends. Popcorn and cinematic adventures await! "/>
    <s v=" Joy "/>
    <x v="0"/>
    <d v="2023-09-06T16:45:00"/>
    <x v="484"/>
    <x v="21"/>
    <x v="20"/>
    <s v=" MovieMarathonHostHighSchool "/>
    <x v="2"/>
    <x v="2"/>
    <s v=" #MovieNight #HighSchoolMemories "/>
    <n v="22"/>
    <n v="43"/>
    <x v="34"/>
    <x v="114"/>
    <x v="2"/>
    <n v="2023"/>
    <n v="9"/>
    <n v="6"/>
    <x v="12"/>
  </r>
  <r>
    <s v="Experimenting with a new hair color. A bold change for a bold semester! "/>
    <s v=" Excitement "/>
    <x v="0"/>
    <d v="2023-09-07T18:20:00"/>
    <x v="485"/>
    <x v="60"/>
    <x v="3"/>
    <s v=" HairColorExperimentHighSchool "/>
    <x v="1"/>
    <x v="1"/>
    <s v=" #HairExperiment #HighSchoolStyle "/>
    <n v="20"/>
    <n v="39"/>
    <x v="35"/>
    <x v="112"/>
    <x v="0"/>
    <n v="2023"/>
    <n v="9"/>
    <n v="7"/>
    <x v="3"/>
  </r>
  <r>
    <s v="Building a time capsule to capture memories for the future. Time-traveling emotions! "/>
    <s v=" Joy "/>
    <x v="0"/>
    <d v="2023-09-08T14:15:00"/>
    <x v="486"/>
    <x v="104"/>
    <x v="67"/>
    <s v=" TimeCapsuleCreatorHighSchool "/>
    <x v="2"/>
    <x v="2"/>
    <s v=" #TimeCapsule #HighSchoolNostalgia "/>
    <n v="26"/>
    <n v="48"/>
    <x v="30"/>
    <x v="113"/>
    <x v="1"/>
    <n v="2023"/>
    <n v="9"/>
    <n v="8"/>
    <x v="6"/>
  </r>
  <r>
    <s v="Accidentally walked into the wrong classroom on the first day. Classroom mix-up: Awkward start! "/>
    <s v=" Embarrassed "/>
    <x v="1"/>
    <d v="2023-09-09T17:30:00"/>
    <x v="487"/>
    <x v="28"/>
    <x v="27"/>
    <s v=" ClassroomBlunderHighSchool "/>
    <x v="3"/>
    <x v="0"/>
    <s v=" #FirstDayOops #HighSchoolEmbarrassment "/>
    <n v="16"/>
    <n v="32"/>
    <x v="21"/>
    <x v="112"/>
    <x v="0"/>
    <n v="2023"/>
    <n v="9"/>
    <n v="9"/>
    <x v="9"/>
  </r>
  <r>
    <s v="Trying out a new smoothie recipe for a healthy start to the week. Smoothie enthusiast: Level up! "/>
    <s v=" Excitement "/>
    <x v="0"/>
    <d v="2023-09-10T20:45:00"/>
    <x v="488"/>
    <x v="173"/>
    <x v="61"/>
    <s v=" SmoothieConnoisseurHighSchool "/>
    <x v="1"/>
    <x v="1"/>
    <s v=" #HealthyLiving #HighSchoolWellness "/>
    <n v="23"/>
    <n v="42"/>
    <x v="34"/>
    <x v="114"/>
    <x v="2"/>
    <n v="2023"/>
    <n v="9"/>
    <n v="10"/>
    <x v="13"/>
  </r>
  <r>
    <s v="Reflecting on the challenges of the school year. Feeling a bit overwhelmed with assignments. "/>
    <s v=" Sad "/>
    <x v="1"/>
    <d v="2023-09-11T15:45:00"/>
    <x v="489"/>
    <x v="39"/>
    <x v="2"/>
    <s v=" OverwhelmedHighSchoolStudent "/>
    <x v="3"/>
    <x v="0"/>
    <s v=" #SchoolChallenges #HighSchoolStruggles "/>
    <n v="15"/>
    <n v="28"/>
    <x v="36"/>
    <x v="112"/>
    <x v="0"/>
    <n v="2023"/>
    <n v="9"/>
    <n v="11"/>
    <x v="2"/>
  </r>
  <r>
    <s v="Encountered some mean-spirited comments online. Dealing with online hate is never easy. "/>
    <s v=" Hate "/>
    <x v="1"/>
    <d v="2023-09-12T12:30:00"/>
    <x v="490"/>
    <x v="0"/>
    <x v="0"/>
    <s v=" DealingWithHateHighSchool "/>
    <x v="1"/>
    <x v="1"/>
    <s v=" #OnlineHate #HighSchoolReality "/>
    <n v="18"/>
    <n v="36"/>
    <x v="15"/>
    <x v="113"/>
    <x v="1"/>
    <n v="2023"/>
    <n v="9"/>
    <n v="12"/>
    <x v="0"/>
  </r>
  <r>
    <s v="Had a bad day at school. Everything seems to be going wrong. "/>
    <s v=" Bad "/>
    <x v="1"/>
    <d v="2023-09-13T16:45:00"/>
    <x v="491"/>
    <x v="142"/>
    <x v="20"/>
    <s v=" ToughDayHighSchool "/>
    <x v="2"/>
    <x v="2"/>
    <s v=" #BadDay #HighSchoolBlues "/>
    <n v="20"/>
    <n v="40"/>
    <x v="2"/>
    <x v="114"/>
    <x v="2"/>
    <n v="2023"/>
    <n v="9"/>
    <n v="13"/>
    <x v="12"/>
  </r>
  <r>
    <s v="Feeling down after not making the sports team. Disappointment lingers. "/>
    <s v=" Sad "/>
    <x v="1"/>
    <d v="2023-09-14T18:20:00"/>
    <x v="492"/>
    <x v="3"/>
    <x v="3"/>
    <s v=" SportsTeamRejectionHighSchool "/>
    <x v="3"/>
    <x v="0"/>
    <s v=" #Disappointment #HighSchoolSports "/>
    <n v="17"/>
    <n v="34"/>
    <x v="19"/>
    <x v="112"/>
    <x v="0"/>
    <n v="2023"/>
    <n v="9"/>
    <n v="14"/>
    <x v="3"/>
  </r>
  <r>
    <s v="Witnessed a heated argument in the cafeteria. Unpleasant atmosphere at lunch. "/>
    <s v=" Hate "/>
    <x v="1"/>
    <d v="2023-09-15T14:15:00"/>
    <x v="493"/>
    <x v="163"/>
    <x v="67"/>
    <s v=" CafeteriaConflictHighSchool "/>
    <x v="1"/>
    <x v="1"/>
    <s v=" #CafeteriaDrama #HighSchoolTension "/>
    <n v="21"/>
    <n v="41"/>
    <x v="28"/>
    <x v="113"/>
    <x v="1"/>
    <n v="2023"/>
    <n v="9"/>
    <n v="15"/>
    <x v="6"/>
  </r>
  <r>
    <s v="Received a not-so-great grade on a major project. Academic frustration setting in. "/>
    <s v=" Bad "/>
    <x v="1"/>
    <d v="2023-09-16T17:30:00"/>
    <x v="494"/>
    <x v="91"/>
    <x v="27"/>
    <s v=" ProjectGradeDisappointmentHighSchool "/>
    <x v="2"/>
    <x v="2"/>
    <s v=" #AcademicFrustration #HighSchoolStress "/>
    <n v="19"/>
    <n v="38"/>
    <x v="20"/>
    <x v="114"/>
    <x v="2"/>
    <n v="2023"/>
    <n v="9"/>
    <n v="16"/>
    <x v="9"/>
  </r>
  <r>
    <s v="Dealing with a personal setback. Sometimes life throws unexpected challenges. "/>
    <s v=" Sad "/>
    <x v="1"/>
    <d v="2023-09-17T20:45:00"/>
    <x v="495"/>
    <x v="93"/>
    <x v="61"/>
    <s v=" PersonalSetbackHighSchool "/>
    <x v="3"/>
    <x v="0"/>
    <s v=" #LifeChallenges #HighSchoolStruggles "/>
    <n v="22"/>
    <n v="44"/>
    <x v="17"/>
    <x v="112"/>
    <x v="0"/>
    <n v="2023"/>
    <n v="9"/>
    <n v="17"/>
    <x v="13"/>
  </r>
  <r>
    <s v="Feeling lonely on a Saturday night. Sometimes solitude hits harder than expected. "/>
    <s v=" Sad "/>
    <x v="1"/>
    <d v="2023-09-18T22:00:00"/>
    <x v="496"/>
    <x v="145"/>
    <x v="70"/>
    <s v=" LonelySaturdayHighSchool "/>
    <x v="1"/>
    <x v="1"/>
    <s v=" #LonelyNights #HighSchoolEmotions "/>
    <n v="16"/>
    <n v="31"/>
    <x v="37"/>
    <x v="113"/>
    <x v="1"/>
    <n v="2023"/>
    <n v="9"/>
    <n v="18"/>
    <x v="16"/>
  </r>
  <r>
    <s v="Experiencing cyberbullying. Hateful messages online are disheartening. "/>
    <s v=" Hate "/>
    <x v="1"/>
    <d v="2023-09-19T15:15:00"/>
    <x v="497"/>
    <x v="19"/>
    <x v="10"/>
    <s v=" CyberbullyingVictimHighSchool "/>
    <x v="2"/>
    <x v="2"/>
    <s v=" #StopCyberbullying #HighSchoolReality "/>
    <n v="14"/>
    <n v="27"/>
    <x v="38"/>
    <x v="114"/>
    <x v="2"/>
    <n v="2023"/>
    <n v="9"/>
    <n v="19"/>
    <x v="2"/>
  </r>
  <r>
    <s v="Caught in a torrential rainstorm without an umbrella. Today's weather is just bad luck. "/>
    <s v=" Bad "/>
    <x v="1"/>
    <d v="2023-09-20T12:30:00"/>
    <x v="498"/>
    <x v="0"/>
    <x v="0"/>
    <s v=" RainyDayBluesHighSchool "/>
    <x v="3"/>
    <x v="0"/>
    <s v=" #BadLuck #HighSchoolWeather "/>
    <n v="18"/>
    <n v="35"/>
    <x v="8"/>
    <x v="112"/>
    <x v="0"/>
    <n v="2023"/>
    <n v="9"/>
    <n v="20"/>
    <x v="0"/>
  </r>
  <r>
    <s v="Missing an important event due to unforeseen circumstances. A day filled with sadness. "/>
    <s v=" Sad "/>
    <x v="1"/>
    <d v="2023-09-21T16:45:00"/>
    <x v="499"/>
    <x v="142"/>
    <x v="20"/>
    <s v=" MissedOpportunityHighSchool "/>
    <x v="1"/>
    <x v="1"/>
    <s v=" #MissedChances #HighSchoolRegret "/>
    <n v="20"/>
    <n v="39"/>
    <x v="35"/>
    <x v="113"/>
    <x v="1"/>
    <n v="2023"/>
    <n v="9"/>
    <n v="21"/>
    <x v="12"/>
  </r>
  <r>
    <s v="Dealing with unfounded rumors circulating about personal life. Rumors can be hurtful. "/>
    <s v=" Hate "/>
    <x v="1"/>
    <d v="2023-09-22T18:20:00"/>
    <x v="500"/>
    <x v="3"/>
    <x v="3"/>
    <s v=" RumorVictimHighSchool "/>
    <x v="2"/>
    <x v="2"/>
    <s v=" #RumorMills #HighSchoolDrama "/>
    <n v="23"/>
    <n v="46"/>
    <x v="23"/>
    <x v="114"/>
    <x v="2"/>
    <n v="2023"/>
    <n v="9"/>
    <n v="22"/>
    <x v="3"/>
  </r>
  <r>
    <s v="Got a flat tire on the way to an important meeting. Talk about a series of bad events! "/>
    <s v=" Bad "/>
    <x v="1"/>
    <d v="2023-09-23T14:15:00"/>
    <x v="501"/>
    <x v="163"/>
    <x v="67"/>
    <s v=" FlatTireWoesHighSchool "/>
    <x v="3"/>
    <x v="0"/>
    <s v=" #BadLuckDay #HighSchoolStruggles "/>
    <n v="25"/>
    <n v="50"/>
    <x v="5"/>
    <x v="112"/>
    <x v="0"/>
    <n v="2023"/>
    <n v="9"/>
    <n v="23"/>
    <x v="6"/>
  </r>
  <r>
    <s v="Feeling a sense of emptiness after a close friend moves away. Farewells are always sad. "/>
    <s v=" Sad "/>
    <x v="1"/>
    <d v="2023-09-24T17:30:00"/>
    <x v="502"/>
    <x v="91"/>
    <x v="27"/>
    <s v=" FriendMovingAwayHighSchool "/>
    <x v="1"/>
    <x v="1"/>
    <s v=" #SayingGoodbye #HighSchoolEmotions "/>
    <n v="21"/>
    <n v="42"/>
    <x v="22"/>
    <x v="113"/>
    <x v="1"/>
    <n v="2023"/>
    <n v="9"/>
    <n v="24"/>
    <x v="9"/>
  </r>
  <r>
    <s v="Facing rejection from a dream college. Disheartened but determined to explore other paths. "/>
    <s v=" Sad "/>
    <x v="1"/>
    <d v="2023-09-25T20:45:00"/>
    <x v="503"/>
    <x v="93"/>
    <x v="61"/>
    <s v=" CollegeRejectionHighSchool "/>
    <x v="2"/>
    <x v="2"/>
    <s v=" #CollegeDreams #HighSchoolJourney "/>
    <n v="19"/>
    <n v="37"/>
    <x v="32"/>
    <x v="114"/>
    <x v="2"/>
    <n v="2023"/>
    <n v="9"/>
    <n v="25"/>
    <x v="13"/>
  </r>
  <r>
    <s v="Encountering online toxicity during a gaming session. Hateful comments can ruin the fun. "/>
    <s v=" Hate "/>
    <x v="1"/>
    <d v="2023-09-26T14:15:00"/>
    <x v="504"/>
    <x v="104"/>
    <x v="67"/>
    <s v=" GamingToxicityHighSchool "/>
    <x v="3"/>
    <x v="0"/>
    <s v=" #OnlineGaming #HighSchoolGamer "/>
    <n v="16"/>
    <n v="32"/>
    <x v="21"/>
    <x v="112"/>
    <x v="0"/>
    <n v="2023"/>
    <n v="9"/>
    <n v="26"/>
    <x v="6"/>
  </r>
  <r>
    <s v="Having a bad hair day and feeling self-conscious. Bad hair days can affect confidence. "/>
    <s v=" Bad "/>
    <x v="1"/>
    <d v="2023-09-27T17:30:00"/>
    <x v="505"/>
    <x v="28"/>
    <x v="27"/>
    <s v=" BadHairDayBluesHighSchool "/>
    <x v="1"/>
    <x v="1"/>
    <s v=" #BadHairDay #HighSchoolConfidence "/>
    <n v="18"/>
    <n v="36"/>
    <x v="15"/>
    <x v="113"/>
    <x v="1"/>
    <n v="2023"/>
    <n v="9"/>
    <n v="27"/>
    <x v="9"/>
  </r>
  <r>
    <s v="Feeling a sense of despair after a major project failure. Hard work didn't pay off this time. "/>
    <s v=" Sad "/>
    <x v="1"/>
    <d v="2023-09-28T22:00:00"/>
    <x v="506"/>
    <x v="145"/>
    <x v="70"/>
    <s v=" ProjectFailureDespairHighSchool "/>
    <x v="2"/>
    <x v="2"/>
    <s v=" #ProjectStruggles #HighSchoolHardships "/>
    <n v="21"/>
    <n v="41"/>
    <x v="28"/>
    <x v="114"/>
    <x v="2"/>
    <n v="2023"/>
    <n v="9"/>
    <n v="28"/>
    <x v="16"/>
  </r>
  <r>
    <s v="Experiencing hate comments for expressing personal opinions. Online negativity prevails. "/>
    <s v=" Hate "/>
    <x v="1"/>
    <d v="2023-09-29T15:45:00"/>
    <x v="507"/>
    <x v="39"/>
    <x v="2"/>
    <s v=" OpinionsHateHighSchool "/>
    <x v="3"/>
    <x v="0"/>
    <s v=" #OnlineOpinions #HighSchoolCriticism "/>
    <n v="24"/>
    <n v="48"/>
    <x v="24"/>
    <x v="112"/>
    <x v="0"/>
    <n v="2023"/>
    <n v="9"/>
    <n v="29"/>
    <x v="2"/>
  </r>
  <r>
    <s v="Having a string of bad luck with constant technology malfunctions. Tech troubles galore! "/>
    <s v=" Bad "/>
    <x v="1"/>
    <d v="2023-09-30T18:20:00"/>
    <x v="508"/>
    <x v="3"/>
    <x v="3"/>
    <s v=" TechMalfunctionWoesHighSchool "/>
    <x v="1"/>
    <x v="1"/>
    <s v=" #TechIssues #HighSchoolTech "/>
    <n v="22"/>
    <n v="43"/>
    <x v="34"/>
    <x v="113"/>
    <x v="1"/>
    <n v="2023"/>
    <n v="9"/>
    <n v="30"/>
    <x v="3"/>
  </r>
  <r>
    <s v="Missing out on a long-anticipated event due to unexpected circumstances. A day filled with sadness. "/>
    <s v=" Sad "/>
    <x v="1"/>
    <d v="2023-10-01T14:15:00"/>
    <x v="509"/>
    <x v="163"/>
    <x v="67"/>
    <s v=" MissedEventBluesHighSchool "/>
    <x v="2"/>
    <x v="2"/>
    <s v=" #MissedMoments #HighSchoolRegret "/>
    <n v="20"/>
    <n v="39"/>
    <x v="35"/>
    <x v="114"/>
    <x v="2"/>
    <n v="2023"/>
    <n v="10"/>
    <n v="1"/>
    <x v="6"/>
  </r>
  <r>
    <s v="Trying out a new study technique for upcoming exams. Exploring different learning strategies. "/>
    <s v=" Neutral "/>
    <x v="2"/>
    <d v="2023-10-02T16:45:00"/>
    <x v="510"/>
    <x v="21"/>
    <x v="20"/>
    <s v=" StudyTechniqueExperimentHighSchool "/>
    <x v="1"/>
    <x v="1"/>
    <s v=" #StudyStrategies #HighSchoolExams "/>
    <n v="23"/>
    <n v="42"/>
    <x v="34"/>
    <x v="112"/>
    <x v="0"/>
    <n v="2023"/>
    <n v="10"/>
    <n v="2"/>
    <x v="12"/>
  </r>
  <r>
    <s v="Organizing a community cleanup event for a cleaner neighborhood. Promoting environmental awareness. "/>
    <s v=" Neutral "/>
    <x v="2"/>
    <d v="2023-10-03T12:30:00"/>
    <x v="511"/>
    <x v="135"/>
    <x v="0"/>
    <s v=" CommunityCleanupHighSchool "/>
    <x v="3"/>
    <x v="0"/>
    <s v=" #EnvironmentalEfforts #HighSchoolCommunity "/>
    <n v="26"/>
    <n v="50"/>
    <x v="39"/>
    <x v="113"/>
    <x v="1"/>
    <n v="2023"/>
    <n v="10"/>
    <n v="3"/>
    <x v="0"/>
  </r>
  <r>
    <s v="Sharing favorite book recommendations with classmates. Building a mini book club. "/>
    <s v=" Neutral "/>
    <x v="2"/>
    <d v="2023-10-04T18:20:00"/>
    <x v="512"/>
    <x v="3"/>
    <x v="3"/>
    <s v=" BookRecommendationsHighSchool "/>
    <x v="2"/>
    <x v="2"/>
    <s v=" #BookClub #HighSchoolReads "/>
    <n v="19"/>
    <n v="38"/>
    <x v="20"/>
    <x v="114"/>
    <x v="2"/>
    <n v="2023"/>
    <n v="10"/>
    <n v="4"/>
    <x v="3"/>
  </r>
  <r>
    <s v="Experimenting with a new recipe for a school bake sale. Baking adventures in the kitchen. "/>
    <s v=" Neutral "/>
    <x v="2"/>
    <d v="2023-10-05T14:15:00"/>
    <x v="179"/>
    <x v="163"/>
    <x v="67"/>
    <s v=" BakeSaleRecipeExperimentHighSchool "/>
    <x v="1"/>
    <x v="1"/>
    <s v=" #BakingAdventures #HighSchoolBakes "/>
    <n v="21"/>
    <n v="43"/>
    <x v="40"/>
    <x v="112"/>
    <x v="0"/>
    <n v="2023"/>
    <n v="10"/>
    <n v="5"/>
    <x v="6"/>
  </r>
  <r>
    <s v="Collaborating on a school project with peers. Teamwork makes the dream work. "/>
    <s v=" Neutral "/>
    <x v="2"/>
    <d v="2023-10-06T17:30:00"/>
    <x v="513"/>
    <x v="91"/>
    <x v="27"/>
    <s v=" SchoolProjectCollaborationHighSchool "/>
    <x v="3"/>
    <x v="0"/>
    <s v=" #Teamwork #HighSchoolProjects "/>
    <n v="18"/>
    <n v="36"/>
    <x v="15"/>
    <x v="113"/>
    <x v="1"/>
    <n v="2023"/>
    <n v="10"/>
    <n v="6"/>
    <x v="9"/>
  </r>
  <r>
    <s v="Attending a school club meeting to explore new interests. Dabbling in extracurricular activities. "/>
    <s v=" Neutral "/>
    <x v="2"/>
    <d v="2023-10-07T20:45:00"/>
    <x v="514"/>
    <x v="93"/>
    <x v="61"/>
    <s v=" ExtracurricularExplorationHighSchool "/>
    <x v="1"/>
    <x v="1"/>
    <s v=" #SchoolClubs #HighSchoolInterests "/>
    <n v="22"/>
    <n v="45"/>
    <x v="9"/>
    <x v="114"/>
    <x v="2"/>
    <n v="2023"/>
    <n v="10"/>
    <n v="7"/>
    <x v="13"/>
  </r>
  <r>
    <s v="Exploring a new part-time job opportunity for gaining work experience. Career development in progress. "/>
    <s v=" Neutral "/>
    <x v="2"/>
    <d v="2023-10-08T15:15:00"/>
    <x v="515"/>
    <x v="10"/>
    <x v="10"/>
    <s v=" PartTimeJobExplorationHighSchool "/>
    <x v="2"/>
    <x v="2"/>
    <s v=" #CareerDevelopment #HighSchoolJobs "/>
    <n v="24"/>
    <n v="48"/>
    <x v="24"/>
    <x v="112"/>
    <x v="0"/>
    <n v="2023"/>
    <n v="10"/>
    <n v="8"/>
    <x v="2"/>
  </r>
  <r>
    <s v="Attending a school assembly to stay informed about upcoming events and announcements. Staying connected with school activities. "/>
    <s v=" Neutral "/>
    <x v="2"/>
    <d v="2023-10-09T22:00:00"/>
    <x v="516"/>
    <x v="107"/>
    <x v="70"/>
    <s v=" SchoolAssemblyParticipationHighSchool "/>
    <x v="3"/>
    <x v="0"/>
    <s v=" #SchoolEvents #HighSchoolConnectivity "/>
    <n v="20"/>
    <n v="40"/>
    <x v="2"/>
    <x v="113"/>
    <x v="1"/>
    <n v="2023"/>
    <n v="10"/>
    <n v="9"/>
    <x v="16"/>
  </r>
  <r>
    <s v="Exploring a new hobby of photography during free time. Capturing moments through a lens. "/>
    <s v=" Neutral "/>
    <x v="2"/>
    <d v="2023-10-10T14:15:00"/>
    <x v="517"/>
    <x v="104"/>
    <x v="67"/>
    <s v=" PhotographyHobbyHighSchool "/>
    <x v="1"/>
    <x v="1"/>
    <s v=" #PhotographyJourney #HighSchoolHobbies "/>
    <n v="25"/>
    <n v="49"/>
    <x v="30"/>
    <x v="114"/>
    <x v="2"/>
    <n v="2023"/>
    <n v="10"/>
    <n v="10"/>
    <x v="6"/>
  </r>
  <r>
    <s v="Participating in a science fair to showcase a unique experiment. Sharing knowledge with peers. "/>
    <s v=" Neutral "/>
    <x v="2"/>
    <d v="2023-10-11T16:45:00"/>
    <x v="518"/>
    <x v="142"/>
    <x v="20"/>
    <s v=" ScienceFairParticipationHighSchool "/>
    <x v="2"/>
    <x v="2"/>
    <s v=" #ScienceFair #HighSchoolScience "/>
    <n v="19"/>
    <n v="37"/>
    <x v="32"/>
    <x v="112"/>
    <x v="0"/>
    <n v="2023"/>
    <n v="10"/>
    <n v="11"/>
    <x v="12"/>
  </r>
  <r>
    <s v="Attending a workshop on time management to enhance organizational skills. Striving for efficiency. "/>
    <s v=" Neutral "/>
    <x v="2"/>
    <d v="2023-10-12T18:20:00"/>
    <x v="230"/>
    <x v="3"/>
    <x v="3"/>
    <s v=" TimeManagementWorkshopHighSchool "/>
    <x v="3"/>
    <x v="0"/>
    <s v=" #EfficiencyGoals #HighSchoolSkills "/>
    <n v="23"/>
    <n v="44"/>
    <x v="9"/>
    <x v="113"/>
    <x v="1"/>
    <n v="2023"/>
    <n v="10"/>
    <n v="12"/>
    <x v="3"/>
  </r>
  <r>
    <s v="Volunteering at a local charity event to give back to the community. Contributing to social causes. "/>
    <s v=" Neutral "/>
    <x v="2"/>
    <d v="2023-10-13T12:30:00"/>
    <x v="519"/>
    <x v="135"/>
    <x v="0"/>
    <s v=" CharityEventVolunteerHighSchool "/>
    <x v="1"/>
    <x v="1"/>
    <s v=" #CommunityService #HighSchoolVolunteer "/>
    <n v="20"/>
    <n v="39"/>
    <x v="35"/>
    <x v="114"/>
    <x v="2"/>
    <n v="2023"/>
    <n v="10"/>
    <n v="13"/>
    <x v="0"/>
  </r>
  <r>
    <s v="Collaborating on a group project to promote teamwork and shared responsibilities. Group effort in action. "/>
    <s v=" Neutral "/>
    <x v="2"/>
    <d v="2023-10-14T17:30:00"/>
    <x v="520"/>
    <x v="91"/>
    <x v="27"/>
    <s v=" GroupProjectCollaborationHighSchool "/>
    <x v="2"/>
    <x v="2"/>
    <s v=" #TeamSpirit #HighSchoolProjects "/>
    <n v="18"/>
    <n v="35"/>
    <x v="8"/>
    <x v="112"/>
    <x v="0"/>
    <n v="2023"/>
    <n v="10"/>
    <n v="14"/>
    <x v="9"/>
  </r>
  <r>
    <s v="Participating in a debate club to enhance critical thinking and communication skills. Intellectual engagement in progress. "/>
    <s v=" Neutral "/>
    <x v="2"/>
    <d v="2023-10-15T20:45:00"/>
    <x v="521"/>
    <x v="93"/>
    <x v="61"/>
    <s v=" DebateClubParticipationHighSchool "/>
    <x v="3"/>
    <x v="0"/>
    <s v=" #DebateSkills #HighSchoolIntellect "/>
    <n v="22"/>
    <n v="43"/>
    <x v="34"/>
    <x v="113"/>
    <x v="1"/>
    <n v="2023"/>
    <n v="10"/>
    <n v="15"/>
    <x v="13"/>
  </r>
  <r>
    <s v="Celebrating a friend's birthday with a surprise party. Joyful moments and laughter all around! "/>
    <s v=" Happy "/>
    <x v="0"/>
    <d v="2023-10-16T15:45:00"/>
    <x v="522"/>
    <x v="2"/>
    <x v="2"/>
    <s v=" BirthdaySurpriseHighSchool "/>
    <x v="1"/>
    <x v="1"/>
    <s v=" #SurpriseParty #HighSchoolCelebration "/>
    <n v="27"/>
    <n v="52"/>
    <x v="33"/>
    <x v="114"/>
    <x v="2"/>
    <n v="2023"/>
    <n v="10"/>
    <n v="16"/>
    <x v="2"/>
  </r>
  <r>
    <s v="Successfully completing a challenging coding project. Excitement for overcoming coding hurdles! "/>
    <s v=" Happy "/>
    <x v="0"/>
    <d v="2023-10-17T12:30:00"/>
    <x v="523"/>
    <x v="135"/>
    <x v="0"/>
    <s v=" CodingSuccessHighSchool "/>
    <x v="3"/>
    <x v="0"/>
    <s v=" #CodingTriumph #HighSchoolTech "/>
    <n v="24"/>
    <n v="48"/>
    <x v="24"/>
    <x v="112"/>
    <x v="0"/>
    <n v="2023"/>
    <n v="10"/>
    <n v="17"/>
    <x v="0"/>
  </r>
  <r>
    <s v="Attending a school talent show to support classmates. Applauding the diverse talents on display! "/>
    <s v=" Happy "/>
    <x v="0"/>
    <d v="2023-10-18T16:45:00"/>
    <x v="524"/>
    <x v="21"/>
    <x v="20"/>
    <s v=" TalentShowSupportHighSchool "/>
    <x v="2"/>
    <x v="2"/>
    <s v=" #TalentShow #HighSchoolEntertainment "/>
    <n v="19"/>
    <n v="38"/>
    <x v="20"/>
    <x v="113"/>
    <x v="1"/>
    <n v="2023"/>
    <n v="10"/>
    <n v="18"/>
    <x v="12"/>
  </r>
  <r>
    <s v="Exploring a new hiking trail with friends over the weekend. Nature, laughter, and good vibes! "/>
    <s v=" Happy "/>
    <x v="0"/>
    <d v="2023-10-19T18:20:00"/>
    <x v="525"/>
    <x v="60"/>
    <x v="3"/>
    <s v=" WeekendHikeHighSchool "/>
    <x v="1"/>
    <x v="1"/>
    <s v=" #NatureAdventures #HighSchoolFriends "/>
    <n v="21"/>
    <n v="42"/>
    <x v="22"/>
    <x v="114"/>
    <x v="2"/>
    <n v="2023"/>
    <n v="10"/>
    <n v="19"/>
    <x v="3"/>
  </r>
  <r>
    <s v="Winning a friendly sports competition against rival schools. Victory celebrations in full swing! "/>
    <s v=" Happy "/>
    <x v="0"/>
    <d v="2023-10-20T14:15:00"/>
    <x v="526"/>
    <x v="104"/>
    <x v="67"/>
    <s v=" SportsVictoryHighSchool "/>
    <x v="3"/>
    <x v="0"/>
    <s v=" #SportsTriumph #HighSchoolAthletics "/>
    <n v="26"/>
    <n v="50"/>
    <x v="39"/>
    <x v="112"/>
    <x v="0"/>
    <n v="2023"/>
    <n v="10"/>
    <n v="20"/>
    <x v="6"/>
  </r>
  <r>
    <s v="Receiving a heartfelt letter from a pen pal in another country. Connecting across the globe! "/>
    <s v=" Happy "/>
    <x v="0"/>
    <d v="2023-10-21T17:30:00"/>
    <x v="527"/>
    <x v="28"/>
    <x v="27"/>
    <s v=" PenPalConnectionHighSchool "/>
    <x v="2"/>
    <x v="2"/>
    <s v=" #GlobalFriendship #HighSchoolCorrespondence "/>
    <n v="23"/>
    <n v="45"/>
    <x v="41"/>
    <x v="113"/>
    <x v="1"/>
    <n v="2023"/>
    <n v="10"/>
    <n v="21"/>
    <x v="9"/>
  </r>
  <r>
    <s v="Creating a beautiful mural with fellow art enthusiasts. The power of collaboration and creativity! "/>
    <s v=" Happy "/>
    <x v="0"/>
    <d v="2023-10-22T20:45:00"/>
    <x v="528"/>
    <x v="173"/>
    <x v="61"/>
    <s v=" MuralCreationHighSchool "/>
    <x v="1"/>
    <x v="1"/>
    <s v=" #ArtCollaboration #HighSchoolCreativity "/>
    <n v="22"/>
    <n v="43"/>
    <x v="34"/>
    <x v="114"/>
    <x v="2"/>
    <n v="2023"/>
    <n v="10"/>
    <n v="22"/>
    <x v="13"/>
  </r>
  <r>
    <s v="Participating in a school-wide art exhibition. Witnessing creativity and spreading positive vibes! "/>
    <s v=" Happy "/>
    <x v="0"/>
    <d v="2015-11-10T16:45:00"/>
    <x v="388"/>
    <x v="142"/>
    <x v="20"/>
    <s v=" ArtExhibitionJoyHighSchool "/>
    <x v="1"/>
    <x v="1"/>
    <s v=" #ArtisticExpression #HighSchoolCreativity "/>
    <n v="23"/>
    <n v="44"/>
    <x v="9"/>
    <x v="112"/>
    <x v="0"/>
    <n v="2015"/>
    <n v="11"/>
    <n v="10"/>
    <x v="12"/>
  </r>
  <r>
    <s v="Achieving a personal best in a track and field competition. The thrill of victory and self-improvement! "/>
    <s v=" Happy "/>
    <x v="0"/>
    <d v="2016-09-14T12:30:00"/>
    <x v="529"/>
    <x v="0"/>
    <x v="0"/>
    <s v=" TrackFieldSuccessHighSchool "/>
    <x v="3"/>
    <x v="0"/>
    <s v=" #AthleticAchievement #HighSchoolSports "/>
    <n v="26"/>
    <n v="51"/>
    <x v="42"/>
    <x v="113"/>
    <x v="1"/>
    <n v="2016"/>
    <n v="9"/>
    <n v="14"/>
    <x v="0"/>
  </r>
  <r>
    <s v="Collaborating on a science project that received recognition at a regional fair. Science triumphs and smiles! "/>
    <s v=" Happy "/>
    <x v="0"/>
    <d v="2017-08-18T18:20:00"/>
    <x v="345"/>
    <x v="3"/>
    <x v="3"/>
    <s v=" ScienceProjectSuccessHighSchool "/>
    <x v="2"/>
    <x v="2"/>
    <s v=" #ScienceFairWinner #HighSchoolScience "/>
    <n v="20"/>
    <n v="39"/>
    <x v="35"/>
    <x v="114"/>
    <x v="2"/>
    <n v="2017"/>
    <n v="8"/>
    <n v="18"/>
    <x v="3"/>
  </r>
  <r>
    <s v="Attending a surprise birthday party organized by friends. Surrounded by love, laughter, and good company! "/>
    <s v=" Happy "/>
    <x v="0"/>
    <d v="2018-06-22T14:15:00"/>
    <x v="530"/>
    <x v="104"/>
    <x v="67"/>
    <s v=" BirthdayPartyJoyHighSchool "/>
    <x v="1"/>
    <x v="1"/>
    <s v=" #SurpriseCelebration #HighSchoolFriendship "/>
    <n v="25"/>
    <n v="48"/>
    <x v="43"/>
    <x v="112"/>
    <x v="0"/>
    <n v="2018"/>
    <n v="6"/>
    <n v="22"/>
    <x v="6"/>
  </r>
  <r>
    <s v="Successfully fundraising for a school charity initiative. The joy of giving back to the community! "/>
    <s v=" Happy "/>
    <x v="0"/>
    <d v="2019-04-05T17:30:00"/>
    <x v="257"/>
    <x v="28"/>
    <x v="27"/>
    <s v=" CharityFundraisingTriumphHighSchool "/>
    <x v="3"/>
    <x v="0"/>
    <s v=" #CommunityGiving #HighSchoolPhilanthropy "/>
    <n v="22"/>
    <n v="42"/>
    <x v="40"/>
    <x v="113"/>
    <x v="1"/>
    <n v="2019"/>
    <n v="4"/>
    <n v="5"/>
    <x v="9"/>
  </r>
  <r>
    <s v="Participating in a multicultural festival, celebrating diversity with music, dance, and delicious food! "/>
    <s v=" Happy "/>
    <x v="0"/>
    <d v="2020-02-29T20:45:00"/>
    <x v="531"/>
    <x v="93"/>
    <x v="61"/>
    <s v=" MulticulturalFestivalJoyHighSchool "/>
    <x v="2"/>
    <x v="2"/>
    <s v=" #CulturalCelebration #HighSchoolUnity "/>
    <n v="21"/>
    <n v="43"/>
    <x v="40"/>
    <x v="114"/>
    <x v="2"/>
    <n v="2020"/>
    <n v="2"/>
    <n v="29"/>
    <x v="13"/>
  </r>
  <r>
    <s v="Organizing a virtual talent show during challenging times, bringing smiles to classmates' faces! "/>
    <s v=" Happy "/>
    <x v="0"/>
    <d v="2020-11-15T15:15:00"/>
    <x v="532"/>
    <x v="19"/>
    <x v="10"/>
    <s v=" VirtualTalentShowSuccessHighSchool "/>
    <x v="1"/>
    <x v="1"/>
    <s v=" #VirtualEntertainment #HighSchoolPositivity "/>
    <n v="24"/>
    <n v="47"/>
    <x v="44"/>
    <x v="112"/>
    <x v="0"/>
    <n v="2020"/>
    <n v="11"/>
    <n v="15"/>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x v="0"/>
    <x v="0"/>
    <n v="1"/>
    <d v="2023-01-15T12:30:00"/>
    <d v="2023-01-15T00:00:00"/>
    <x v="0"/>
    <x v="0"/>
    <s v=" User123      "/>
    <s v=" Twitter  "/>
    <x v="0"/>
    <s v=" #Nature #Park                            "/>
    <n v="15"/>
    <n v="30"/>
    <n v="45"/>
    <s v=" USA      "/>
    <x v="0"/>
  </r>
  <r>
    <x v="1"/>
    <x v="1"/>
    <n v="-1"/>
    <d v="2023-01-15T08:45:00"/>
    <d v="2023-01-15T00:00:00"/>
    <x v="1"/>
    <x v="1"/>
    <s v=" CommuterX    "/>
    <s v=" Twitter  "/>
    <x v="0"/>
    <s v=" #Traffic #Morning                        "/>
    <n v="5"/>
    <n v="10"/>
    <n v="15"/>
    <s v=" Canada   "/>
    <x v="1"/>
  </r>
  <r>
    <x v="0"/>
    <x v="0"/>
    <n v="1"/>
    <d v="2023-01-15T15:45:00"/>
    <d v="2023-01-15T00:00:00"/>
    <x v="2"/>
    <x v="2"/>
    <s v=" FitnessFan   "/>
    <s v=" Instagram "/>
    <x v="1"/>
    <s v=" #Fitness #Workout                        "/>
    <n v="20"/>
    <n v="40"/>
    <n v="60"/>
    <s v=" USA        "/>
    <x v="0"/>
  </r>
  <r>
    <x v="0"/>
    <x v="0"/>
    <n v="1"/>
    <d v="2023-01-15T18:20:00"/>
    <d v="2023-01-15T00:00:00"/>
    <x v="3"/>
    <x v="3"/>
    <s v=" AdventureX   "/>
    <s v=" Facebook "/>
    <x v="2"/>
    <s v=" #Travel #Adventure                       "/>
    <n v="8"/>
    <n v="15"/>
    <n v="23"/>
    <s v=" UK       "/>
    <x v="2"/>
  </r>
  <r>
    <x v="2"/>
    <x v="2"/>
    <n v="0"/>
    <d v="2023-01-15T19:55:00"/>
    <d v="2023-01-15T00:00:00"/>
    <x v="4"/>
    <x v="4"/>
    <s v=" ChefCook     "/>
    <s v=" Instagram "/>
    <x v="1"/>
    <s v=" #Cooking #Food                           "/>
    <n v="12"/>
    <n v="25"/>
    <n v="37"/>
    <s v=" Australia "/>
    <x v="3"/>
  </r>
  <r>
    <x v="0"/>
    <x v="0"/>
    <n v="1"/>
    <d v="2023-01-16T09:10:00"/>
    <d v="2023-01-16T00:00:00"/>
    <x v="5"/>
    <x v="5"/>
    <s v=" GratitudeNow "/>
    <s v=" Twitter  "/>
    <x v="0"/>
    <s v=" #Gratitude #PositiveVibes              "/>
    <n v="25"/>
    <n v="50"/>
    <n v="75"/>
    <s v=" India    "/>
    <x v="4"/>
  </r>
  <r>
    <x v="0"/>
    <x v="0"/>
    <n v="1"/>
    <d v="2023-01-16T14:45:00"/>
    <d v="2023-01-16T00:00:00"/>
    <x v="6"/>
    <x v="6"/>
    <s v=" RainyDays    "/>
    <s v=" Facebook "/>
    <x v="2"/>
    <s v=" #RainyDays #Cozy                         "/>
    <n v="10"/>
    <n v="20"/>
    <n v="30"/>
    <s v=" Canada   "/>
    <x v="1"/>
  </r>
  <r>
    <x v="0"/>
    <x v="0"/>
    <n v="1"/>
    <d v="2023-01-16T19:30:00"/>
    <d v="2023-01-16T00:00:00"/>
    <x v="7"/>
    <x v="7"/>
    <s v=" MovieBuff    "/>
    <s v=" Instagram "/>
    <x v="1"/>
    <s v=" #MovieNight #MustWatch                  "/>
    <n v="15"/>
    <n v="30"/>
    <n v="45"/>
    <s v=" USA    "/>
    <x v="0"/>
  </r>
  <r>
    <x v="1"/>
    <x v="1"/>
    <n v="-1"/>
    <d v="2023-01-17T08:00:00"/>
    <d v="2023-01-17T00:00:00"/>
    <x v="8"/>
    <x v="8"/>
    <s v=" DebateTalk   "/>
    <s v=" Twitter  "/>
    <x v="0"/>
    <s v=" #Politics #Debate                       "/>
    <n v="30"/>
    <n v="60"/>
    <n v="90"/>
    <s v=" USA      "/>
    <x v="0"/>
  </r>
  <r>
    <x v="2"/>
    <x v="2"/>
    <n v="0"/>
    <d v="2023-01-17T12:20:00"/>
    <d v="2023-01-17T00:00:00"/>
    <x v="9"/>
    <x v="9"/>
    <s v=" BeachLover   "/>
    <s v=" Facebook "/>
    <x v="2"/>
    <s v=" #Summer #BeachDays                      "/>
    <n v="18"/>
    <n v="35"/>
    <n v="53"/>
    <s v=" Australia "/>
    <x v="3"/>
  </r>
  <r>
    <x v="0"/>
    <x v="0"/>
    <n v="1"/>
    <d v="2023-01-17T15:15:00"/>
    <d v="2023-01-17T00:00:00"/>
    <x v="10"/>
    <x v="10"/>
    <s v=" BloggerX     "/>
    <s v=" Instagram "/>
    <x v="1"/>
    <s v=" #Blogging #NewPost                      "/>
    <n v="22"/>
    <n v="45"/>
    <n v="67"/>
    <s v="USA"/>
    <x v="0"/>
  </r>
  <r>
    <x v="1"/>
    <x v="1"/>
    <n v="-1"/>
    <d v="2023-01-18T10:30:00"/>
    <d v="2023-01-18T00:00:00"/>
    <x v="11"/>
    <x v="11"/>
    <s v=" WellnessCheck"/>
    <s v=" Twitter  "/>
    <x v="0"/>
    <s v=" #SickDay #Health                        "/>
    <n v="7"/>
    <n v="15"/>
    <n v="22"/>
    <s v=" Canada   "/>
    <x v="1"/>
  </r>
  <r>
    <x v="0"/>
    <x v="0"/>
    <n v="1"/>
    <d v="2023-01-18T14:50:00"/>
    <d v="2023-01-18T00:00:00"/>
    <x v="12"/>
    <x v="12"/>
    <s v=" UrbanExplorer"/>
    <s v=" Facebook "/>
    <x v="2"/>
    <s v=" #CityExplore #HiddenGems                "/>
    <n v="12"/>
    <n v="25"/>
    <n v="37"/>
    <s v=" UK       "/>
    <x v="2"/>
  </r>
  <r>
    <x v="0"/>
    <x v="0"/>
    <n v="1"/>
    <d v="2023-01-18T18:00:00"/>
    <d v="2023-01-18T00:00:00"/>
    <x v="13"/>
    <x v="13"/>
    <s v=" FitJourney   "/>
    <s v=" Instagram "/>
    <x v="1"/>
    <s v=" #NewYear #FitnessGoals                  "/>
    <n v="28"/>
    <n v="55"/>
    <n v="83"/>
    <s v=" USA        "/>
    <x v="0"/>
  </r>
  <r>
    <x v="2"/>
    <x v="2"/>
    <n v="0"/>
    <d v="2023-01-19T09:45:00"/>
    <d v="2023-01-19T00:00:00"/>
    <x v="14"/>
    <x v="14"/>
    <s v=" TechEnthusiast"/>
    <s v=" Twitter  "/>
    <x v="0"/>
    <s v=" #Tech #Innovation                       "/>
    <n v="15"/>
    <n v="30"/>
    <n v="45"/>
    <s v=" India    "/>
    <x v="4"/>
  </r>
  <r>
    <x v="0"/>
    <x v="0"/>
    <n v="1"/>
    <d v="2023-01-19T13:20:00"/>
    <d v="2023-01-19T00:00:00"/>
    <x v="15"/>
    <x v="15"/>
    <s v=" Reflections  "/>
    <s v=" Facebook "/>
    <x v="2"/>
    <s v=" #Reflection #Future                     "/>
    <n v="20"/>
    <n v="40"/>
    <n v="60"/>
    <s v=" USA      "/>
    <x v="0"/>
  </r>
  <r>
    <x v="0"/>
    <x v="0"/>
    <n v="1"/>
    <d v="2023-01-19T17:10:00"/>
    <d v="2023-01-19T00:00:00"/>
    <x v="16"/>
    <x v="16"/>
    <s v=" PetAdopter   "/>
    <s v=" Instagram "/>
    <x v="1"/>
    <s v=" #PetAdoption #FurryFriend               "/>
    <n v="15"/>
    <n v="30"/>
    <n v="45"/>
    <s v=" Canada    "/>
    <x v="1"/>
  </r>
  <r>
    <x v="0"/>
    <x v="0"/>
    <n v="1"/>
    <d v="2023-01-20T00:05:00"/>
    <d v="2023-01-20T00:00:00"/>
    <x v="17"/>
    <x v="17"/>
    <s v=" GamerX       "/>
    <s v=" Twitter  "/>
    <x v="0"/>
    <s v=" #Gaming #LateNight                      "/>
    <n v="18"/>
    <n v="35"/>
    <n v="53"/>
    <s v=" UK       "/>
    <x v="2"/>
  </r>
  <r>
    <x v="2"/>
    <x v="2"/>
    <n v="0"/>
    <d v="2023-01-20T11:30:00"/>
    <d v="2023-01-20T00:00:00"/>
    <x v="18"/>
    <x v="18"/>
    <s v=" TechConference"/>
    <s v=" Facebook "/>
    <x v="2"/>
    <s v=" #AI #TechConference                     "/>
    <n v="25"/>
    <n v="50"/>
    <n v="75"/>
    <s v="USA"/>
    <x v="0"/>
  </r>
  <r>
    <x v="1"/>
    <x v="1"/>
    <n v="-1"/>
    <d v="2023-01-20T15:15:00"/>
    <d v="2023-01-20T00:00:00"/>
    <x v="19"/>
    <x v="10"/>
    <s v=" WinterBlues  "/>
    <s v=" Instagram "/>
    <x v="1"/>
    <s v=" #WinterBlues #Mood                      "/>
    <n v="8"/>
    <n v="15"/>
    <n v="23"/>
    <s v=" USA       "/>
    <x v="0"/>
  </r>
  <r>
    <x v="0"/>
    <x v="0"/>
    <n v="1"/>
    <d v="2023-01-21T08:40:00"/>
    <d v="2023-01-21T00:00:00"/>
    <x v="20"/>
    <x v="19"/>
    <s v=" Bookworm     "/>
    <s v=" Twitter  "/>
    <x v="0"/>
    <s v=" #Reading #CoffeeTime                    "/>
    <n v="22"/>
    <n v="45"/>
    <n v="67"/>
    <s v=" India    "/>
    <x v="4"/>
  </r>
  <r>
    <x v="0"/>
    <x v="0"/>
    <n v="1"/>
    <d v="2023-01-21T13:20:00"/>
    <d v="2023-01-21T00:00:00"/>
    <x v="15"/>
    <x v="15"/>
    <s v=" VRExplorer   "/>
    <s v=" Facebook "/>
    <x v="2"/>
    <s v=" #VR #VirtualReality                     "/>
    <n v="15"/>
    <n v="30"/>
    <n v="45"/>
    <s v="USA"/>
    <x v="0"/>
  </r>
  <r>
    <x v="0"/>
    <x v="0"/>
    <n v="1"/>
    <d v="2023-01-21T16:45:00"/>
    <d v="2023-01-21T00:00:00"/>
    <x v="21"/>
    <x v="20"/>
    <s v=" ProductivityPro"/>
    <s v=" Instagram "/>
    <x v="1"/>
    <s v=" #Productivity #WorkFromHome           "/>
    <n v="30"/>
    <n v="60"/>
    <n v="90"/>
    <s v=" USA "/>
    <x v="0"/>
  </r>
  <r>
    <x v="0"/>
    <x v="0"/>
    <n v="1"/>
    <d v="2023-01-22T09:15:00"/>
    <d v="2023-01-22T00:00:00"/>
    <x v="22"/>
    <x v="21"/>
    <s v=" FitnessWarrior"/>
    <s v=" Twitter  "/>
    <x v="0"/>
    <s v=" #Fitness #ChallengeAccepted             "/>
    <n v="20"/>
    <n v="40"/>
    <n v="60"/>
    <s v=" UK       "/>
    <x v="2"/>
  </r>
  <r>
    <x v="0"/>
    <x v="0"/>
    <n v="1"/>
    <d v="2023-01-22T14:30:00"/>
    <d v="2023-01-22T00:00:00"/>
    <x v="23"/>
    <x v="22"/>
    <s v=" CareerMilestone"/>
    <s v=" Facebook "/>
    <x v="2"/>
    <s v=" #Career #Milestone                      "/>
    <n v="12"/>
    <n v="25"/>
    <n v="37"/>
    <s v=" Canada  "/>
    <x v="1"/>
  </r>
  <r>
    <x v="0"/>
    <x v="0"/>
    <n v="1"/>
    <d v="2023-01-22T12:00:00"/>
    <d v="2023-01-22T00:00:00"/>
    <x v="24"/>
    <x v="23"/>
    <s v=" BrunchBuddy  "/>
    <s v=" Instagram "/>
    <x v="1"/>
    <s v=" #Brunch #Friends                       "/>
    <n v="15"/>
    <n v="30"/>
    <n v="45"/>
    <s v=" UK "/>
    <x v="2"/>
  </r>
  <r>
    <x v="0"/>
    <x v="0"/>
    <n v="1"/>
    <d v="2023-01-23T16:20:00"/>
    <d v="2023-01-23T00:00:00"/>
    <x v="25"/>
    <x v="24"/>
    <s v=" LanguageLearner"/>
    <s v=" Facebook "/>
    <x v="2"/>
    <s v=" #LanguageLearning #PersonalGrowth       "/>
    <n v="25"/>
    <n v="50"/>
    <n v="75"/>
    <s v=" India     "/>
    <x v="4"/>
  </r>
  <r>
    <x v="0"/>
    <x v="0"/>
    <n v="1"/>
    <d v="2023-01-23T19:45:00"/>
    <d v="2023-01-23T00:00:00"/>
    <x v="26"/>
    <x v="25"/>
    <s v=" BookLover    "/>
    <s v=" Instagram "/>
    <x v="1"/>
    <s v=" #Reading #QuietTime                     "/>
    <n v="15"/>
    <n v="30"/>
    <n v="45"/>
    <s v=" Australia "/>
    <x v="3"/>
  </r>
  <r>
    <x v="0"/>
    <x v="0"/>
    <n v="1"/>
    <d v="2023-01-24T11:30:00"/>
    <d v="2023-01-24T00:00:00"/>
    <x v="18"/>
    <x v="18"/>
    <s v=" MentalHealthMatters"/>
    <s v=" Twitter  "/>
    <x v="0"/>
    <s v=" #MentalHealth #SelfCare                 "/>
    <n v="22"/>
    <n v="45"/>
    <n v="67"/>
    <s v=" USA      "/>
    <x v="0"/>
  </r>
  <r>
    <x v="0"/>
    <x v="0"/>
    <n v="1"/>
    <d v="2023-01-24T15:00:00"/>
    <d v="2023-01-24T00:00:00"/>
    <x v="27"/>
    <x v="26"/>
    <s v=" ArtistInAction"/>
    <s v=" Facebook "/>
    <x v="2"/>
    <s v=" #Art #PaintingInProgress             "/>
    <n v="12"/>
    <n v="25"/>
    <n v="37"/>
    <s v=" Canada "/>
    <x v="1"/>
  </r>
  <r>
    <x v="0"/>
    <x v="0"/>
    <n v="1"/>
    <d v="2023-01-24T17:30:00"/>
    <d v="2023-01-24T00:00:00"/>
    <x v="28"/>
    <x v="27"/>
    <s v=" RoadTripper  "/>
    <s v=" Instagram "/>
    <x v="1"/>
    <s v=" #RoadTrip #ScenicViews                  "/>
    <n v="18"/>
    <n v="35"/>
    <n v="53"/>
    <s v=" UK        "/>
    <x v="2"/>
  </r>
  <r>
    <x v="0"/>
    <x v="0"/>
    <n v="1"/>
    <d v="2023-01-25T18:00:00"/>
    <d v="2023-01-25T00:00:00"/>
    <x v="29"/>
    <x v="13"/>
    <s v=" SunsetWatcher"/>
    <s v=" Twitter  "/>
    <x v="0"/>
    <s v=" #TeaTime #Sunset                       "/>
    <n v="15"/>
    <n v="30"/>
    <n v="45"/>
    <s v=" India    "/>
    <x v="4"/>
  </r>
  <r>
    <x v="0"/>
    <x v="0"/>
    <n v="1"/>
    <d v="2023-01-25T13:15:00"/>
    <d v="2023-01-25T00:00:00"/>
    <x v="30"/>
    <x v="28"/>
    <s v=" CodeEnthusiast"/>
    <s v=" Facebook "/>
    <x v="2"/>
    <s v=" #Coding #Enthusiasm                   "/>
    <n v="30"/>
    <n v="60"/>
    <n v="90"/>
    <s v=" USA "/>
    <x v="0"/>
  </r>
  <r>
    <x v="0"/>
    <x v="0"/>
    <n v="1"/>
    <d v="2023-01-26T09:45:00"/>
    <d v="2023-01-26T00:00:00"/>
    <x v="31"/>
    <x v="14"/>
    <s v=" WorkshopAttendee"/>
    <s v=" Instagram "/>
    <x v="1"/>
    <s v=" #Inspiration #Workshop                  "/>
    <n v="25"/>
    <n v="50"/>
    <n v="75"/>
    <s v="USA"/>
    <x v="0"/>
  </r>
  <r>
    <x v="0"/>
    <x v="0"/>
    <n v="1"/>
    <d v="2023-01-26T14:20:00"/>
    <d v="2023-01-26T00:00:00"/>
    <x v="32"/>
    <x v="29"/>
    <s v=" WinterSports  "/>
    <s v=" Twitter  "/>
    <x v="0"/>
    <s v=" #WinterSports #Fun                     "/>
    <n v="15"/>
    <n v="30"/>
    <n v="45"/>
    <s v=" Canada   "/>
    <x v="1"/>
  </r>
  <r>
    <x v="0"/>
    <x v="0"/>
    <n v="1"/>
    <d v="2023-01-26T17:40:00"/>
    <d v="2023-01-26T00:00:00"/>
    <x v="33"/>
    <x v="30"/>
    <s v=" FamilyTime   "/>
    <s v=" Facebook "/>
    <x v="2"/>
    <s v=" #FamilyTime #Weekend                    "/>
    <n v="22"/>
    <n v="45"/>
    <n v="67"/>
    <s v=" UK        "/>
    <x v="2"/>
  </r>
  <r>
    <x v="0"/>
    <x v="0"/>
    <n v="1"/>
    <d v="2023-01-27T20:00:00"/>
    <d v="2023-01-27T00:00:00"/>
    <x v="34"/>
    <x v="31"/>
    <s v=" MusicLover   "/>
    <s v=" Instagram "/>
    <x v="1"/>
    <s v=" #Music #ConcertNight                  "/>
    <n v="18"/>
    <n v="35"/>
    <n v="53"/>
    <s v=" USA "/>
    <x v="0"/>
  </r>
  <r>
    <x v="0"/>
    <x v="0"/>
    <n v="1"/>
    <d v="2023-01-27T12:30:00"/>
    <d v="2023-01-27T00:00:00"/>
    <x v="0"/>
    <x v="0"/>
    <s v=" MindfulMoments"/>
    <s v=" Twitter  "/>
    <x v="0"/>
    <s v=" #Mindfulness #Meditation               "/>
    <n v="15"/>
    <n v="30"/>
    <n v="45"/>
    <s v=" India    "/>
    <x v="4"/>
  </r>
  <r>
    <x v="0"/>
    <x v="0"/>
    <n v="1"/>
    <d v="2023-01-27T16:10:00"/>
    <d v="2023-01-27T00:00:00"/>
    <x v="35"/>
    <x v="32"/>
    <s v=" DessertExplorer"/>
    <s v=" Facebook "/>
    <x v="2"/>
    <s v=" #Dessert #Cooking                      "/>
    <n v="12"/>
    <n v="25"/>
    <n v="37"/>
    <s v=" Canada "/>
    <x v="1"/>
  </r>
  <r>
    <x v="0"/>
    <x v="0"/>
    <n v="1"/>
    <d v="2023-01-28T09:00:00"/>
    <d v="2023-01-28T00:00:00"/>
    <x v="36"/>
    <x v="33"/>
    <s v=" GamingEnthusiast"/>
    <s v=" Instagram "/>
    <x v="1"/>
    <s v=" #Gaming #Tournament                     "/>
    <n v="30"/>
    <n v="60"/>
    <n v="90"/>
    <s v="USA"/>
    <x v="0"/>
  </r>
  <r>
    <x v="0"/>
    <x v="0"/>
    <n v="1"/>
    <d v="2023-01-28T14:45:00"/>
    <d v="2023-01-28T00:00:00"/>
    <x v="6"/>
    <x v="6"/>
    <s v=" GardenPlanner "/>
    <s v=" Twitter  "/>
    <x v="0"/>
    <s v=" #Gardening #Spring                     "/>
    <n v="25"/>
    <n v="50"/>
    <n v="75"/>
    <s v=" USA      "/>
    <x v="0"/>
  </r>
  <r>
    <x v="0"/>
    <x v="0"/>
    <n v="1"/>
    <d v="2023-01-28T19:30:00"/>
    <d v="2023-01-28T00:00:00"/>
    <x v="7"/>
    <x v="7"/>
    <s v=" BirthdayBash "/>
    <s v=" Facebook "/>
    <x v="2"/>
    <s v=" #Birthday #Celebration                  "/>
    <n v="15"/>
    <n v="30"/>
    <n v="45"/>
    <s v=" UK "/>
    <x v="2"/>
  </r>
  <r>
    <x v="0"/>
    <x v="0"/>
    <n v="1"/>
    <d v="2023-01-29T17:00:00"/>
    <d v="2023-01-29T00:00:00"/>
    <x v="37"/>
    <x v="34"/>
    <s v=" ProductivityWin"/>
    <s v=" Instagram "/>
    <x v="1"/>
    <s v=" #Accomplished #Success               "/>
    <n v="22"/>
    <n v="45"/>
    <n v="67"/>
    <s v=" India "/>
    <x v="4"/>
  </r>
  <r>
    <x v="0"/>
    <x v="0"/>
    <n v="1"/>
    <d v="2023-01-29T20:20:00"/>
    <d v="2023-01-29T00:00:00"/>
    <x v="38"/>
    <x v="35"/>
    <s v=" MovieNight   "/>
    <s v=" Twitter  "/>
    <x v="0"/>
    <s v=" #CozyNight #MovieTime                   "/>
    <n v="18"/>
    <n v="35"/>
    <n v="53"/>
    <s v=" Canada   "/>
    <x v="1"/>
  </r>
  <r>
    <x v="0"/>
    <x v="0"/>
    <n v="1"/>
    <d v="2023-01-30T11:30:00"/>
    <d v="2023-01-30T00:00:00"/>
    <x v="18"/>
    <x v="18"/>
    <s v=" ArtExplorer  "/>
    <s v=" Facebook "/>
    <x v="2"/>
    <s v=" #Art #GalleryExplore                    "/>
    <n v="15"/>
    <n v="30"/>
    <n v="45"/>
    <s v=" USA      "/>
    <x v="0"/>
  </r>
  <r>
    <x v="0"/>
    <x v="0"/>
    <n v="1"/>
    <d v="2023-01-30T15:45:00"/>
    <d v="2023-01-30T00:00:00"/>
    <x v="39"/>
    <x v="2"/>
    <s v=" BookwormX    "/>
    <s v=" Instagram "/>
    <x v="1"/>
    <s v=" #BookRelease #FavoriteAuthor           "/>
    <n v="12"/>
    <n v="25"/>
    <n v="37"/>
    <s v=" UK   "/>
    <x v="2"/>
  </r>
  <r>
    <x v="0"/>
    <x v="0"/>
    <n v="1"/>
    <d v="2023-01-30T18:30:00"/>
    <d v="2023-01-30T00:00:00"/>
    <x v="40"/>
    <x v="36"/>
    <s v=" VRMeetup     "/>
    <s v=" Twitter  "/>
    <x v="0"/>
    <s v=" #VRMeetup #VirtualReality               "/>
    <n v="28"/>
    <n v="55"/>
    <n v="83"/>
    <s v=" India    "/>
    <x v="4"/>
  </r>
  <r>
    <x v="0"/>
    <x v="0"/>
    <n v="1"/>
    <d v="2023-01-31T10:45:00"/>
    <d v="2023-01-31T00:00:00"/>
    <x v="41"/>
    <x v="37"/>
    <s v=" NatureLover  "/>
    <s v=" Facebook "/>
    <x v="2"/>
    <s v=" #Nature #Reflection                     "/>
    <n v="15"/>
    <n v="30"/>
    <n v="45"/>
    <s v=" Australia "/>
    <x v="3"/>
  </r>
  <r>
    <x v="0"/>
    <x v="0"/>
    <n v="1"/>
    <d v="2023-01-31T19:00:00"/>
    <d v="2023-01-31T00:00:00"/>
    <x v="42"/>
    <x v="38"/>
    <s v=" ChefAtHome   "/>
    <s v=" Instagram "/>
    <x v="1"/>
    <s v=" #Cooking #SpecialDinner                "/>
    <n v="20"/>
    <n v="40"/>
    <n v="60"/>
    <s v=" USA       "/>
    <x v="0"/>
  </r>
  <r>
    <x v="0"/>
    <x v="0"/>
    <n v="1"/>
    <d v="2023-01-31T16:20:00"/>
    <d v="2023-01-31T00:00:00"/>
    <x v="25"/>
    <x v="24"/>
    <s v=" OptimisticMindset"/>
    <s v=" Twitter  "/>
    <x v="0"/>
    <s v=" #Optimism #NewWeek                     "/>
    <n v="15"/>
    <n v="30"/>
    <n v="45"/>
    <s v=" Canada   "/>
    <x v="1"/>
  </r>
  <r>
    <x v="0"/>
    <x v="0"/>
    <n v="1"/>
    <d v="2023-02-01T08:00:00"/>
    <d v="2023-02-01T00:00:00"/>
    <x v="43"/>
    <x v="8"/>
    <s v=" FitnessChallenge"/>
    <s v=" Facebook "/>
    <x v="2"/>
    <s v=" #FitnessChallenge #NewBeginnings       "/>
    <n v="22"/>
    <n v="45"/>
    <n v="67"/>
    <s v=" UK         "/>
    <x v="2"/>
  </r>
  <r>
    <x v="0"/>
    <x v="0"/>
    <n v="1"/>
    <d v="2023-02-01T13:30:00"/>
    <d v="2023-02-01T00:00:00"/>
    <x v="44"/>
    <x v="39"/>
    <s v=" BikeExplorer  "/>
    <s v=" Instagram "/>
    <x v="1"/>
    <s v=" #BikeRide #ScenicTrails                "/>
    <n v="18"/>
    <n v="35"/>
    <n v="53"/>
    <s v=" USA     "/>
    <x v="0"/>
  </r>
  <r>
    <x v="3"/>
    <x v="1"/>
    <n v="-1"/>
    <d v="2023-02-11T09:30:00"/>
    <d v="2023-02-11T00:00:00"/>
    <x v="45"/>
    <x v="40"/>
    <s v=" SocialJustice   "/>
    <s v=" Twitter  "/>
    <x v="0"/>
    <s v=" #Injustice #Angry                            "/>
    <n v="20"/>
    <n v="40"/>
    <n v="60"/>
    <s v=" Canada     "/>
    <x v="1"/>
  </r>
  <r>
    <x v="4"/>
    <x v="1"/>
    <n v="-1"/>
    <d v="2023-02-11T21:15:00"/>
    <d v="2023-02-11T00:00:00"/>
    <x v="46"/>
    <x v="41"/>
    <s v=" ThrillerFan     "/>
    <s v=" Instagram "/>
    <x v="1"/>
    <s v=" #Fear #ThrillerMovie                         "/>
    <n v="15"/>
    <n v="30"/>
    <n v="45"/>
    <s v=" USA          "/>
    <x v="0"/>
  </r>
  <r>
    <x v="5"/>
    <x v="1"/>
    <n v="-1"/>
    <d v="2023-02-12T14:45:00"/>
    <d v="2023-02-12T00:00:00"/>
    <x v="47"/>
    <x v="6"/>
    <s v=" EmpathyFirst    "/>
    <s v=" Facebook "/>
    <x v="2"/>
    <s v=" #Sadness #NaturalDisaster                    "/>
    <n v="25"/>
    <n v="50"/>
    <n v="75"/>
    <s v=" India      "/>
    <x v="4"/>
  </r>
  <r>
    <x v="6"/>
    <x v="1"/>
    <n v="-1"/>
    <d v="2023-02-12T18:20:00"/>
    <d v="2023-02-12T00:00:00"/>
    <x v="3"/>
    <x v="3"/>
    <s v=" EcoAwareness    "/>
    <s v=" Twitter  "/>
    <x v="0"/>
    <s v=" #Disgust #Environment                        "/>
    <n v="18"/>
    <n v="35"/>
    <n v="53"/>
    <s v=" UK         "/>
    <x v="2"/>
  </r>
  <r>
    <x v="7"/>
    <x v="0"/>
    <n v="1"/>
    <d v="2023-02-13T10:00:00"/>
    <d v="2023-02-13T00:00:00"/>
    <x v="48"/>
    <x v="42"/>
    <s v=" ProudFriend     "/>
    <s v=" Instagram "/>
    <x v="1"/>
    <s v=" #Happiness #Celebration                   "/>
    <n v="30"/>
    <n v="60"/>
    <n v="90"/>
    <s v=" USA "/>
    <x v="0"/>
  </r>
  <r>
    <x v="8"/>
    <x v="0"/>
    <n v="1"/>
    <d v="2023-02-13T19:30:00"/>
    <d v="2023-02-13T00:00:00"/>
    <x v="7"/>
    <x v="7"/>
    <s v=" ComedyFan       "/>
    <s v=" Facebook "/>
    <x v="2"/>
    <s v=" #Joy #ComedyShow                             "/>
    <n v="22"/>
    <n v="45"/>
    <n v="67"/>
    <s v=" Canada    "/>
    <x v="1"/>
  </r>
  <r>
    <x v="9"/>
    <x v="0"/>
    <n v="1"/>
    <d v="2023-02-14T08:30:00"/>
    <d v="2023-02-14T00:00:00"/>
    <x v="49"/>
    <x v="43"/>
    <s v=" LoveSpreader    "/>
    <s v=" Twitter  "/>
    <x v="0"/>
    <s v=" #Love #SpreadLove                            "/>
    <n v="15"/>
    <n v="30"/>
    <n v="45"/>
    <s v=" Australia  "/>
    <x v="3"/>
  </r>
  <r>
    <x v="10"/>
    <x v="0"/>
    <n v="1"/>
    <d v="2023-02-14T14:20:00"/>
    <d v="2023-02-14T00:00:00"/>
    <x v="50"/>
    <x v="29"/>
    <s v=" AmusedSoul      "/>
    <s v=" Instagram "/>
    <x v="1"/>
    <s v=" #Amusement #FunTimes                         "/>
    <n v="18"/>
    <n v="35"/>
    <n v="53"/>
    <s v=" UK           "/>
    <x v="2"/>
  </r>
  <r>
    <x v="11"/>
    <x v="0"/>
    <n v="1"/>
    <d v="2023-02-14T19:45:00"/>
    <d v="2023-02-14T00:00:00"/>
    <x v="26"/>
    <x v="25"/>
    <s v=" BookLoverAgain  "/>
    <s v=" Facebook "/>
    <x v="2"/>
    <s v=" #Enjoyment #BookTime                         "/>
    <n v="25"/>
    <n v="50"/>
    <n v="75"/>
    <s v=" Canada       "/>
    <x v="1"/>
  </r>
  <r>
    <x v="12"/>
    <x v="2"/>
    <n v="0"/>
    <d v="2023-02-15T11:30:00"/>
    <d v="2023-02-15T00:00:00"/>
    <x v="18"/>
    <x v="18"/>
    <s v=" NatureAdmirer   "/>
    <s v=" Twitter  "/>
    <x v="0"/>
    <s v=" #Admiration #Nature                         "/>
    <n v="20"/>
    <n v="40"/>
    <n v="60"/>
    <s v=" USA       "/>
    <x v="0"/>
  </r>
  <r>
    <x v="13"/>
    <x v="0"/>
    <n v="1"/>
    <d v="2023-02-15T16:00:00"/>
    <d v="2023-02-15T00:00:00"/>
    <x v="51"/>
    <x v="44"/>
    <s v=" AffectionSender "/>
    <s v=" Instagram "/>
    <x v="1"/>
    <s v=" #Affection #PositiveVibes                   "/>
    <n v="15"/>
    <n v="30"/>
    <n v="45"/>
    <s v="USA"/>
    <x v="0"/>
  </r>
  <r>
    <x v="14"/>
    <x v="0"/>
    <n v="1"/>
    <d v="2023-02-15T20:30:00"/>
    <d v="2023-02-15T00:00:00"/>
    <x v="52"/>
    <x v="45"/>
    <s v=" AweStruck       "/>
    <s v=" Facebook "/>
    <x v="2"/>
    <s v=" #Awe #Breathtaking                          "/>
    <n v="22"/>
    <n v="45"/>
    <n v="67"/>
    <s v=" Australia   "/>
    <x v="3"/>
  </r>
  <r>
    <x v="15"/>
    <x v="1"/>
    <n v="-1"/>
    <d v="2023-02-16T09:00:00"/>
    <d v="2023-02-16T00:00:00"/>
    <x v="53"/>
    <x v="33"/>
    <s v=" FoodieGoneWrong "/>
    <s v=" Twitter  "/>
    <x v="0"/>
    <s v=" #Disappointed #BadService                   "/>
    <n v="18"/>
    <n v="35"/>
    <n v="53"/>
    <s v=" India      "/>
    <x v="4"/>
  </r>
  <r>
    <x v="16"/>
    <x v="2"/>
    <n v="0"/>
    <d v="2023-02-16T14:45:00"/>
    <d v="2023-02-16T00:00:00"/>
    <x v="47"/>
    <x v="6"/>
    <s v=" HappySurprise   "/>
    <s v=" Instagram "/>
    <x v="1"/>
    <s v=" #Surprise #Gift                              "/>
    <n v="25"/>
    <n v="50"/>
    <n v="75"/>
    <s v=" USA          "/>
    <x v="0"/>
  </r>
  <r>
    <x v="17"/>
    <x v="0"/>
    <n v="1"/>
    <d v="2023-02-16T18:20:00"/>
    <d v="2023-02-16T00:00:00"/>
    <x v="3"/>
    <x v="3"/>
    <s v=" AcceptanceSeeker"/>
    <s v=" Facebook "/>
    <x v="2"/>
    <s v=" #Acceptance #Challenges                     "/>
    <n v="15"/>
    <n v="30"/>
    <n v="45"/>
    <s v=" Canada     "/>
    <x v="1"/>
  </r>
  <r>
    <x v="18"/>
    <x v="0"/>
    <n v="1"/>
    <d v="2023-02-17T10:45:00"/>
    <d v="2023-02-17T00:00:00"/>
    <x v="54"/>
    <x v="37"/>
    <s v=" PetAdorer       "/>
    <s v=" Twitter  "/>
    <x v="0"/>
    <s v=" #Adoration #PetLove                         "/>
    <n v="22"/>
    <n v="45"/>
    <n v="67"/>
    <s v=" UK        "/>
    <x v="2"/>
  </r>
  <r>
    <x v="19"/>
    <x v="2"/>
    <n v="0"/>
    <d v="2023-02-17T07:30:00"/>
    <d v="2023-02-17T00:00:00"/>
    <x v="55"/>
    <x v="46"/>
    <s v=" AdventureAwaits  "/>
    <s v=" Instagram "/>
    <x v="1"/>
    <s v=" #Anticipation #Adventure                    "/>
    <n v="20"/>
    <n v="40"/>
    <n v="60"/>
    <s v="USA"/>
    <x v="0"/>
  </r>
  <r>
    <x v="20"/>
    <x v="1"/>
    <n v="-1"/>
    <d v="2023-02-17T15:00:00"/>
    <d v="2023-02-17T00:00:00"/>
    <x v="27"/>
    <x v="26"/>
    <s v=" LearnFromBitter "/>
    <s v=" Facebook "/>
    <x v="2"/>
    <s v=" #BitterLesson #Growth                      "/>
    <n v="18"/>
    <n v="35"/>
    <n v="53"/>
    <s v=" USA       "/>
    <x v="0"/>
  </r>
  <r>
    <x v="21"/>
    <x v="0"/>
    <n v="1"/>
    <d v="2023-02-18T09:30:00"/>
    <d v="2023-02-18T00:00:00"/>
    <x v="56"/>
    <x v="40"/>
    <s v=" ZenMaster       "/>
    <s v=" Twitter  "/>
    <x v="0"/>
    <s v=" #Calmness #PeacefulMind                    "/>
    <n v="15"/>
    <n v="30"/>
    <n v="45"/>
    <s v=" India     "/>
    <x v="4"/>
  </r>
  <r>
    <x v="22"/>
    <x v="2"/>
    <n v="0"/>
    <d v="2023-02-18T14:20:00"/>
    <d v="2023-02-18T00:00:00"/>
    <x v="50"/>
    <x v="29"/>
    <s v=" ConfusedMind    "/>
    <s v=" Instagram "/>
    <x v="1"/>
    <s v=" #Confusion #DecisionMaking                 "/>
    <n v="25"/>
    <n v="50"/>
    <n v="75"/>
    <s v=" UK   "/>
    <x v="2"/>
  </r>
  <r>
    <x v="23"/>
    <x v="0"/>
    <n v="1"/>
    <d v="2023-02-18T18:45:00"/>
    <d v="2023-02-18T00:00:00"/>
    <x v="57"/>
    <x v="47"/>
    <s v=" VacationDreamer "/>
    <s v=" Facebook "/>
    <x v="2"/>
    <s v=" #Excitement #TravelPlans                   "/>
    <n v="22"/>
    <n v="45"/>
    <n v="67"/>
    <s v=" Canada    "/>
    <x v="1"/>
  </r>
  <r>
    <x v="24"/>
    <x v="0"/>
    <n v="1"/>
    <d v="2023-02-19T11:30:00"/>
    <d v="2023-02-19T00:00:00"/>
    <x v="18"/>
    <x v="18"/>
    <s v=" KindnessPrevails"/>
    <s v=" Twitter  "/>
    <x v="0"/>
    <s v=" #Kindness #Humanity                        "/>
    <n v="20"/>
    <n v="40"/>
    <n v="60"/>
    <s v=" USA       "/>
    <x v="0"/>
  </r>
  <r>
    <x v="25"/>
    <x v="0"/>
    <n v="1"/>
    <d v="2023-02-19T16:00:00"/>
    <d v="2023-02-19T00:00:00"/>
    <x v="51"/>
    <x v="44"/>
    <s v=" PersonalAchiever"/>
    <s v=" Instagram "/>
    <x v="1"/>
    <s v=" #Pride #Milestone                           "/>
    <n v="30"/>
    <n v="60"/>
    <n v="90"/>
    <s v=" Australia    "/>
    <x v="3"/>
  </r>
  <r>
    <x v="26"/>
    <x v="1"/>
    <n v="-1"/>
    <d v="2023-02-19T19:45:00"/>
    <d v="2023-02-19T00:00:00"/>
    <x v="58"/>
    <x v="25"/>
    <s v=" ReflectiveSelf  "/>
    <s v=" Facebook "/>
    <x v="2"/>
    <s v=" #Shame #Injustice                           "/>
    <n v="15"/>
    <n v="30"/>
    <n v="45"/>
    <s v=" India      "/>
    <x v="4"/>
  </r>
  <r>
    <x v="3"/>
    <x v="1"/>
    <n v="-1"/>
    <d v="2023-02-20T09:30:00"/>
    <d v="2023-02-20T00:00:00"/>
    <x v="56"/>
    <x v="40"/>
    <s v=" AngryDebater    "/>
    <s v=" Twitter  "/>
    <x v="0"/>
    <s v=" #Anger #Argument                             "/>
    <n v="20"/>
    <n v="40"/>
    <n v="60"/>
    <s v=" Canada     "/>
    <x v="1"/>
  </r>
  <r>
    <x v="4"/>
    <x v="1"/>
    <n v="-1"/>
    <d v="2023-02-20T21:15:00"/>
    <d v="2023-02-20T00:00:00"/>
    <x v="59"/>
    <x v="41"/>
    <s v=" FearfulDreamer  "/>
    <s v=" Instagram "/>
    <x v="1"/>
    <s v=" #Fear #Unknown                               "/>
    <n v="15"/>
    <n v="30"/>
    <n v="45"/>
    <s v=" USA          "/>
    <x v="0"/>
  </r>
  <r>
    <x v="5"/>
    <x v="1"/>
    <n v="-1"/>
    <d v="2023-02-21T14:45:00"/>
    <d v="2023-02-21T00:00:00"/>
    <x v="6"/>
    <x v="6"/>
    <s v=" FarewellHeart   "/>
    <s v=" Facebook "/>
    <x v="2"/>
    <s v=" #Sadness #Farewell                          "/>
    <n v="25"/>
    <n v="50"/>
    <n v="75"/>
    <s v=" India      "/>
    <x v="4"/>
  </r>
  <r>
    <x v="6"/>
    <x v="1"/>
    <n v="-1"/>
    <d v="2023-02-21T18:20:00"/>
    <d v="2023-02-21T00:00:00"/>
    <x v="60"/>
    <x v="3"/>
    <s v=" AntiCorruption  "/>
    <s v=" Twitter  "/>
    <x v="0"/>
    <s v=" #Disgust #Corruption                         "/>
    <n v="18"/>
    <n v="35"/>
    <n v="53"/>
    <s v=" UK         "/>
    <x v="2"/>
  </r>
  <r>
    <x v="7"/>
    <x v="0"/>
    <n v="1"/>
    <d v="2023-02-22T10:00:00"/>
    <d v="2023-02-22T00:00:00"/>
    <x v="61"/>
    <x v="42"/>
    <s v=" NewParentJoy    "/>
    <s v=" Instagram "/>
    <x v="1"/>
    <s v=" #Happiness #NewFamilyMember                 "/>
    <n v="30"/>
    <n v="60"/>
    <n v="90"/>
    <s v=" UK           "/>
    <x v="2"/>
  </r>
  <r>
    <x v="8"/>
    <x v="0"/>
    <n v="1"/>
    <d v="2023-02-22T19:30:00"/>
    <d v="2023-02-22T00:00:00"/>
    <x v="62"/>
    <x v="7"/>
    <s v=" StandUpFan      "/>
    <s v=" Facebook "/>
    <x v="2"/>
    <s v=" #Joy #StandUpComedy                         "/>
    <n v="22"/>
    <n v="45"/>
    <n v="67"/>
    <s v=" Canada    "/>
    <x v="1"/>
  </r>
  <r>
    <x v="9"/>
    <x v="0"/>
    <n v="1"/>
    <d v="2023-02-23T08:30:00"/>
    <d v="2023-02-23T00:00:00"/>
    <x v="63"/>
    <x v="43"/>
    <s v=" LoveSender      "/>
    <s v=" Twitter  "/>
    <x v="0"/>
    <s v=" #Love #SpreadLove                            "/>
    <n v="15"/>
    <n v="30"/>
    <n v="45"/>
    <s v=" Australia  "/>
    <x v="3"/>
  </r>
  <r>
    <x v="10"/>
    <x v="0"/>
    <n v="1"/>
    <d v="2023-02-23T14:20:00"/>
    <d v="2023-02-23T00:00:00"/>
    <x v="32"/>
    <x v="29"/>
    <s v=" PetAmuser       "/>
    <s v=" Instagram "/>
    <x v="1"/>
    <s v=" #Amusement #PetAntics                       "/>
    <n v="18"/>
    <n v="35"/>
    <n v="53"/>
    <s v=" UK           "/>
    <x v="2"/>
  </r>
  <r>
    <x v="11"/>
    <x v="0"/>
    <n v="1"/>
    <d v="2023-02-23T19:45:00"/>
    <d v="2023-02-23T00:00:00"/>
    <x v="58"/>
    <x v="25"/>
    <s v=" TravelExplorer  "/>
    <s v=" Facebook "/>
    <x v="2"/>
    <s v=" #Enjoyment #Travel                           "/>
    <n v="25"/>
    <n v="50"/>
    <n v="75"/>
    <s v=" USA "/>
    <x v="0"/>
  </r>
  <r>
    <x v="12"/>
    <x v="2"/>
    <n v="0"/>
    <d v="2023-02-24T11:30:00"/>
    <d v="2023-02-24T00:00:00"/>
    <x v="64"/>
    <x v="18"/>
    <s v=" CharityAdmirer  "/>
    <s v=" Twitter  "/>
    <x v="0"/>
    <s v=" #Admiration #Volunteers                     "/>
    <n v="20"/>
    <n v="40"/>
    <n v="60"/>
    <s v=" USA        "/>
    <x v="0"/>
  </r>
  <r>
    <x v="13"/>
    <x v="0"/>
    <n v="1"/>
    <d v="2023-02-24T16:00:00"/>
    <d v="2023-02-24T00:00:00"/>
    <x v="65"/>
    <x v="44"/>
    <s v=" FamilyLover     "/>
    <s v=" Instagram "/>
    <x v="1"/>
    <s v=" #Affection #FamilyLove                      "/>
    <n v="15"/>
    <n v="30"/>
    <n v="45"/>
    <s v="USA"/>
    <x v="0"/>
  </r>
  <r>
    <x v="14"/>
    <x v="0"/>
    <n v="1"/>
    <d v="2023-02-24T20:30:00"/>
    <d v="2023-02-24T00:00:00"/>
    <x v="66"/>
    <x v="45"/>
    <s v=" Stargazer       "/>
    <s v=" Facebook "/>
    <x v="2"/>
    <s v=" #Awe #StarryNight                        "/>
    <n v="22"/>
    <n v="45"/>
    <n v="67"/>
    <s v=" Australia "/>
    <x v="3"/>
  </r>
  <r>
    <x v="15"/>
    <x v="1"/>
    <n v="-1"/>
    <d v="2023-02-25T09:00:00"/>
    <d v="2023-02-25T00:00:00"/>
    <x v="36"/>
    <x v="33"/>
    <s v=" ProjectStruggle "/>
    <s v=" Twitter  "/>
    <x v="0"/>
    <s v=" #Disappointed #Project                     "/>
    <n v="18"/>
    <n v="35"/>
    <n v="53"/>
    <s v=" India      "/>
    <x v="4"/>
  </r>
  <r>
    <x v="16"/>
    <x v="2"/>
    <n v="0"/>
    <d v="2023-02-25T14:45:00"/>
    <d v="2023-02-25T00:00:00"/>
    <x v="6"/>
    <x v="6"/>
    <s v=" JoyfulReunion   "/>
    <s v=" Instagram "/>
    <x v="1"/>
    <s v=" #Surprise #OldFriends                       "/>
    <n v="25"/>
    <n v="50"/>
    <n v="75"/>
    <s v=" USA          "/>
    <x v="0"/>
  </r>
  <r>
    <x v="17"/>
    <x v="0"/>
    <n v="1"/>
    <d v="2023-02-25T18:20:00"/>
    <d v="2023-02-25T00:00:00"/>
    <x v="60"/>
    <x v="3"/>
    <s v=" LifeAcceptance  "/>
    <s v=" Facebook "/>
    <x v="2"/>
    <s v=" #Acceptance #LifeJourney                   "/>
    <n v="15"/>
    <n v="30"/>
    <n v="45"/>
    <s v=" Canada     "/>
    <x v="1"/>
  </r>
  <r>
    <x v="18"/>
    <x v="0"/>
    <n v="1"/>
    <d v="2023-02-26T10:45:00"/>
    <d v="2023-02-26T00:00:00"/>
    <x v="41"/>
    <x v="37"/>
    <s v=" PuppyAdmirer    "/>
    <s v=" Twitter  "/>
    <x v="0"/>
    <s v=" #Adoration #PuppyLove                       "/>
    <n v="22"/>
    <n v="45"/>
    <n v="67"/>
    <s v=" UK         "/>
    <x v="2"/>
  </r>
  <r>
    <x v="19"/>
    <x v="2"/>
    <n v="0"/>
    <d v="2023-02-26T07:30:00"/>
    <d v="2023-02-26T00:00:00"/>
    <x v="67"/>
    <x v="46"/>
    <s v=" MovieBuff2      "/>
    <s v=" Instagram "/>
    <x v="1"/>
    <s v=" #Anticipation #MovieRelease                 "/>
    <n v="20"/>
    <n v="40"/>
    <n v="60"/>
    <s v=" Australia    "/>
    <x v="3"/>
  </r>
  <r>
    <x v="20"/>
    <x v="1"/>
    <n v="-1"/>
    <d v="2023-02-26T15:00:00"/>
    <d v="2023-02-26T00:00:00"/>
    <x v="68"/>
    <x v="26"/>
    <s v=" CustomerWoes    "/>
    <s v=" Facebook "/>
    <x v="2"/>
    <s v=" #BitterExperience #CustomerService         "/>
    <n v="18"/>
    <n v="35"/>
    <n v="53"/>
    <s v=" USA       "/>
    <x v="0"/>
  </r>
  <r>
    <x v="21"/>
    <x v="0"/>
    <n v="1"/>
    <d v="2023-02-27T09:30:00"/>
    <d v="2023-02-27T00:00:00"/>
    <x v="45"/>
    <x v="40"/>
    <s v=" CalmSoul        "/>
    <s v=" Twitter  "/>
    <x v="0"/>
    <s v=" #Calmness #InnerPeace                      "/>
    <n v="15"/>
    <n v="30"/>
    <n v="45"/>
    <s v=" India     "/>
    <x v="4"/>
  </r>
  <r>
    <x v="22"/>
    <x v="2"/>
    <n v="0"/>
    <d v="2023-02-27T14:20:00"/>
    <d v="2023-02-27T00:00:00"/>
    <x v="32"/>
    <x v="29"/>
    <s v=" ConfusedMind2   "/>
    <s v=" Instagram "/>
    <x v="1"/>
    <s v=" #Confusion #MakingSense                    "/>
    <n v="25"/>
    <n v="50"/>
    <n v="75"/>
    <s v=" UK   "/>
    <x v="2"/>
  </r>
  <r>
    <x v="23"/>
    <x v="0"/>
    <n v="1"/>
    <d v="2023-02-27T18:45:00"/>
    <d v="2023-02-27T00:00:00"/>
    <x v="69"/>
    <x v="47"/>
    <s v=" BirthdayExcite  "/>
    <s v=" Facebook "/>
    <x v="2"/>
    <s v=" #Excitement #SurpriseParty                 "/>
    <n v="22"/>
    <n v="45"/>
    <n v="67"/>
    <s v=" Canada "/>
    <x v="1"/>
  </r>
  <r>
    <x v="24"/>
    <x v="0"/>
    <n v="1"/>
    <d v="2023-02-28T11:30:00"/>
    <d v="2023-02-28T00:00:00"/>
    <x v="64"/>
    <x v="18"/>
    <s v=" KindnessObserver"/>
    <s v=" Twitter  "/>
    <x v="0"/>
    <s v=" #Kindness #ActsOfKindness                  "/>
    <n v="20"/>
    <n v="40"/>
    <n v="60"/>
    <s v=" USA       "/>
    <x v="0"/>
  </r>
  <r>
    <x v="25"/>
    <x v="0"/>
    <n v="1"/>
    <d v="2023-02-28T16:00:00"/>
    <d v="2023-02-28T00:00:00"/>
    <x v="65"/>
    <x v="44"/>
    <s v=" FitAchiever     "/>
    <s v=" Instagram "/>
    <x v="1"/>
    <s v=" #Pride #FitnessChallengeCompleted          "/>
    <n v="30"/>
    <n v="60"/>
    <n v="90"/>
    <s v=" UK            "/>
    <x v="2"/>
  </r>
  <r>
    <x v="26"/>
    <x v="1"/>
    <n v="-1"/>
    <d v="2023-02-28T19:45:00"/>
    <d v="2023-02-28T00:00:00"/>
    <x v="26"/>
    <x v="25"/>
    <s v=" ReflectiveSelf2 "/>
    <s v=" Facebook "/>
    <x v="2"/>
    <s v=" #Shame #Injustice                           "/>
    <n v="15"/>
    <n v="30"/>
    <n v="45"/>
    <s v=" India     "/>
    <x v="4"/>
  </r>
  <r>
    <x v="17"/>
    <x v="0"/>
    <n v="1"/>
    <d v="2023-03-01T10:45:00"/>
    <d v="2023-03-01T00:00:00"/>
    <x v="54"/>
    <x v="37"/>
    <s v=" DiversityLover  "/>
    <s v=" Twitter  "/>
    <x v="0"/>
    <s v=" #Acceptance #Diversity                      "/>
    <n v="22"/>
    <n v="45"/>
    <n v="67"/>
    <s v=" Australia "/>
    <x v="3"/>
  </r>
  <r>
    <x v="23"/>
    <x v="0"/>
    <n v="1"/>
    <d v="2023-03-01T13:30:00"/>
    <d v="2023-03-01T00:00:00"/>
    <x v="44"/>
    <x v="39"/>
    <s v=" BookwormJoy     "/>
    <s v=" Instagram "/>
    <x v="1"/>
    <s v=" #Excitement #BookTime                       "/>
    <n v="18"/>
    <n v="35"/>
    <n v="53"/>
    <s v=" USA          "/>
    <x v="0"/>
  </r>
  <r>
    <x v="20"/>
    <x v="1"/>
    <n v="-1"/>
    <d v="2023-03-01T17:45:00"/>
    <d v="2023-03-01T00:00:00"/>
    <x v="70"/>
    <x v="48"/>
    <s v=" WorkplaceWoes   "/>
    <s v=" Twitter  "/>
    <x v="0"/>
    <s v=" #Bitter #Unfairness                         "/>
    <n v="15"/>
    <n v="30"/>
    <n v="45"/>
    <s v=" Canada    "/>
    <x v="1"/>
  </r>
  <r>
    <x v="21"/>
    <x v="0"/>
    <n v="1"/>
    <d v="2023-03-02T18:00:00"/>
    <d v="2023-03-02T00:00:00"/>
    <x v="29"/>
    <x v="13"/>
    <s v=" MindfulMe       "/>
    <s v=" Facebook "/>
    <x v="2"/>
    <s v=" #Calmness #Mindfulness                      "/>
    <n v="15"/>
    <n v="30"/>
    <n v="45"/>
    <s v=" UK        "/>
    <x v="2"/>
  </r>
  <r>
    <x v="27"/>
    <x v="2"/>
    <n v="0"/>
    <d v="2023-03-02T13:15:00"/>
    <d v="2023-03-02T00:00:00"/>
    <x v="30"/>
    <x v="28"/>
    <s v=" ConfusedMind3   "/>
    <s v=" Instagram "/>
    <x v="1"/>
    <s v=" #Confusion #LifeChoices                     "/>
    <n v="30"/>
    <n v="60"/>
    <n v="90"/>
    <s v=" USA   "/>
    <x v="0"/>
  </r>
  <r>
    <x v="28"/>
    <x v="0"/>
    <n v="1"/>
    <d v="2023-03-02T16:45:00"/>
    <d v="2023-03-02T00:00:00"/>
    <x v="21"/>
    <x v="20"/>
    <s v=" RoadTripper2    "/>
    <s v=" Twitter  "/>
    <x v="0"/>
    <s v=" #Excitement #WeekendAdventure               "/>
    <n v="25"/>
    <n v="50"/>
    <n v="75"/>
    <s v=" India     "/>
    <x v="4"/>
  </r>
  <r>
    <x v="24"/>
    <x v="0"/>
    <n v="1"/>
    <d v="2023-03-03T11:30:00"/>
    <d v="2023-03-03T00:00:00"/>
    <x v="18"/>
    <x v="18"/>
    <s v=" KindnessPrevails2"/>
    <s v=" Facebook "/>
    <x v="2"/>
    <s v=" #Kindness #HumanityRestored                 "/>
    <n v="22"/>
    <n v="45"/>
    <n v="67"/>
    <s v=" USA       "/>
    <x v="0"/>
  </r>
  <r>
    <x v="25"/>
    <x v="0"/>
    <n v="1"/>
    <d v="2023-03-03T14:30:00"/>
    <d v="2023-03-03T00:00:00"/>
    <x v="23"/>
    <x v="22"/>
    <s v=" GoalAchiever    "/>
    <s v=" Instagram "/>
    <x v="1"/>
    <s v=" #Pride #Accomplishments                     "/>
    <n v="12"/>
    <n v="25"/>
    <n v="37"/>
    <s v=" Canada "/>
    <x v="1"/>
  </r>
  <r>
    <x v="29"/>
    <x v="1"/>
    <n v="-1"/>
    <d v="2023-03-03T12:00:00"/>
    <d v="2023-03-03T00:00:00"/>
    <x v="24"/>
    <x v="23"/>
    <s v=" ReflectiveSelf3 "/>
    <s v=" Twitter  "/>
    <x v="0"/>
    <s v=" #Shame #Integrity                           "/>
    <n v="15"/>
    <n v="30"/>
    <n v="45"/>
    <s v=" UK        "/>
    <x v="2"/>
  </r>
  <r>
    <x v="30"/>
    <x v="0"/>
    <n v="1"/>
    <d v="2010-05-15T15:30:00"/>
    <d v="2010-05-15T00:00:00"/>
    <x v="71"/>
    <x v="49"/>
    <s v=" NostalgiaFan    "/>
    <s v=" Twitter  "/>
    <x v="0"/>
    <s v=" #Elation #Memories                             "/>
    <n v="20"/>
    <n v="40"/>
    <n v="60"/>
    <s v=" Canada    "/>
    <x v="1"/>
  </r>
  <r>
    <x v="31"/>
    <x v="0"/>
    <n v="1"/>
    <d v="2021-08-10T21:15:00"/>
    <d v="2021-08-10T00:00:00"/>
    <x v="46"/>
    <x v="41"/>
    <s v=" SportsFanatic   "/>
    <s v=" Instagram "/>
    <x v="1"/>
    <s v=" #Euphoria #Victory                             "/>
    <n v="15"/>
    <n v="30"/>
    <n v="45"/>
    <s v=" USA      "/>
    <x v="0"/>
  </r>
  <r>
    <x v="32"/>
    <x v="0"/>
    <n v="1"/>
    <d v="2011-06-20T14:45:00"/>
    <d v="2011-06-20T00:00:00"/>
    <x v="6"/>
    <x v="6"/>
    <s v=" NatureLover2    "/>
    <s v=" Facebook "/>
    <x v="2"/>
    <s v=" #Contentment #Nature                           "/>
    <n v="25"/>
    <n v="50"/>
    <n v="75"/>
    <s v=" India       "/>
    <x v="4"/>
  </r>
  <r>
    <x v="33"/>
    <x v="0"/>
    <n v="1"/>
    <d v="2022-02-12T18:20:00"/>
    <d v="2022-02-12T00:00:00"/>
    <x v="60"/>
    <x v="3"/>
    <s v=" ZenMaster2      "/>
    <s v=" Twitter  "/>
    <x v="0"/>
    <s v=" #Serenity #Meditation                          "/>
    <n v="18"/>
    <n v="35"/>
    <n v="53"/>
    <s v=" UK          "/>
    <x v="2"/>
  </r>
  <r>
    <x v="34"/>
    <x v="0"/>
    <n v="1"/>
    <d v="2012-11-25T10:00:00"/>
    <d v="2012-11-25T00:00:00"/>
    <x v="48"/>
    <x v="42"/>
    <s v=" ThankfulHeart   "/>
    <s v=" Instagram "/>
    <x v="1"/>
    <s v=" #Gratitude #Blessed                            "/>
    <n v="30"/>
    <n v="60"/>
    <n v="90"/>
    <s v=" Australia   "/>
    <x v="3"/>
  </r>
  <r>
    <x v="35"/>
    <x v="0"/>
    <n v="1"/>
    <d v="2013-04-05T19:30:00"/>
    <d v="2013-04-05T00:00:00"/>
    <x v="62"/>
    <x v="7"/>
    <s v=" OptimisticSoul  "/>
    <s v=" Facebook "/>
    <x v="2"/>
    <s v=" #Hope #Optimism                                "/>
    <n v="22"/>
    <n v="45"/>
    <n v="67"/>
    <s v=" USA      "/>
    <x v="0"/>
  </r>
  <r>
    <x v="36"/>
    <x v="0"/>
    <n v="1"/>
    <d v="2014-09-14T08:30:00"/>
    <d v="2014-09-14T00:00:00"/>
    <x v="63"/>
    <x v="43"/>
    <s v=" CommunityLeader "/>
    <s v=" Twitter  "/>
    <x v="0"/>
    <s v=" #Empowerment #Community                        "/>
    <n v="15"/>
    <n v="30"/>
    <n v="45"/>
    <s v=" UK       "/>
    <x v="2"/>
  </r>
  <r>
    <x v="37"/>
    <x v="0"/>
    <n v="1"/>
    <d v="2015-07-18T14:20:00"/>
    <d v="2015-07-18T00:00:00"/>
    <x v="50"/>
    <x v="29"/>
    <s v=" CharitySupporter"/>
    <s v=" Instagram "/>
    <x v="1"/>
    <s v=" #Compassion #CharityEvent                   "/>
    <n v="18"/>
    <n v="35"/>
    <n v="53"/>
    <s v=" Canada "/>
    <x v="1"/>
  </r>
  <r>
    <x v="38"/>
    <x v="0"/>
    <n v="1"/>
    <d v="2016-02-23T19:45:00"/>
    <d v="2016-02-23T00:00:00"/>
    <x v="26"/>
    <x v="25"/>
    <s v=" LovingHeart     "/>
    <s v=" Facebook "/>
    <x v="2"/>
    <s v=" #Tenderness #FamilyTime                       "/>
    <n v="25"/>
    <n v="50"/>
    <n v="75"/>
    <s v=" UK          "/>
    <x v="2"/>
  </r>
  <r>
    <x v="39"/>
    <x v="0"/>
    <n v="1"/>
    <d v="2017-10-30T11:30:00"/>
    <d v="2017-10-30T00:00:00"/>
    <x v="18"/>
    <x v="18"/>
    <s v=" ExcitementFan   "/>
    <s v=" Twitter  "/>
    <x v="0"/>
    <s v=" #Arousal #Excitement                           "/>
    <n v="20"/>
    <n v="40"/>
    <n v="60"/>
    <s v=" Australia "/>
    <x v="3"/>
  </r>
  <r>
    <x v="40"/>
    <x v="0"/>
    <n v="1"/>
    <d v="2018-06-15T16:00:00"/>
    <d v="2018-06-15T00:00:00"/>
    <x v="51"/>
    <x v="44"/>
    <s v=" ProjectEnthusiast"/>
    <s v=" Instagram "/>
    <x v="1"/>
    <s v=" #Enthusiasm #NewProject                       "/>
    <n v="15"/>
    <n v="30"/>
    <n v="45"/>
    <s v=" USA  "/>
    <x v="0"/>
  </r>
  <r>
    <x v="41"/>
    <x v="0"/>
    <n v="1"/>
    <d v="2019-03-28T18:20:00"/>
    <d v="2019-03-28T00:00:00"/>
    <x v="60"/>
    <x v="3"/>
    <s v=" MilestoneAchiever"/>
    <s v=" Facebook "/>
    <x v="2"/>
    <s v=" #Fulfillment #Milestone                       "/>
    <n v="22"/>
    <n v="45"/>
    <n v="67"/>
    <s v=" India     "/>
    <x v="4"/>
  </r>
  <r>
    <x v="42"/>
    <x v="0"/>
    <n v="1"/>
    <d v="2019-11-11T15:00:00"/>
    <d v="2019-11-11T00:00:00"/>
    <x v="27"/>
    <x v="26"/>
    <s v=" HistoryLover    "/>
    <s v=" Twitter  "/>
    <x v="0"/>
    <s v=" #Reverence #History                           "/>
    <n v="18"/>
    <n v="35"/>
    <n v="53"/>
    <s v=" UK      "/>
    <x v="2"/>
  </r>
  <r>
    <x v="30"/>
    <x v="0"/>
    <n v="1"/>
    <d v="2020-04-02T09:30:00"/>
    <d v="2020-04-02T00:00:00"/>
    <x v="56"/>
    <x v="40"/>
    <s v=" JoyfulReunion2  "/>
    <s v=" Instagram "/>
    <x v="1"/>
    <s v=" #Elation #OldFriends                          "/>
    <n v="25"/>
    <n v="50"/>
    <n v="75"/>
    <s v=" Canada      "/>
    <x v="1"/>
  </r>
  <r>
    <x v="31"/>
    <x v="0"/>
    <n v="1"/>
    <d v="2021-06-19T14:45:00"/>
    <d v="2021-06-19T00:00:00"/>
    <x v="6"/>
    <x v="6"/>
    <s v=" MusicEnthusiast "/>
    <s v=" Facebook "/>
    <x v="2"/>
    <s v=" #Euphoria #LiveMusic                          "/>
    <n v="15"/>
    <n v="30"/>
    <n v="45"/>
    <s v=" USA "/>
    <x v="0"/>
  </r>
  <r>
    <x v="32"/>
    <x v="0"/>
    <n v="1"/>
    <d v="2010-08-15T10:00:00"/>
    <d v="2010-08-15T00:00:00"/>
    <x v="61"/>
    <x v="42"/>
    <s v=" SimpleJoys      "/>
    <s v=" Twitter  "/>
    <x v="0"/>
    <s v=" #Contentment #SundayMood                      "/>
    <n v="30"/>
    <n v="60"/>
    <n v="90"/>
    <s v=" Australia "/>
    <x v="3"/>
  </r>
  <r>
    <x v="33"/>
    <x v="0"/>
    <n v="1"/>
    <d v="2011-09-22T19:30:00"/>
    <d v="2011-09-22T00:00:00"/>
    <x v="7"/>
    <x v="7"/>
    <s v=" BookLover3      "/>
    <s v=" Instagram "/>
    <x v="1"/>
    <s v=" #Serenity #BookTime                           "/>
    <n v="22"/>
    <n v="45"/>
    <n v="67"/>
    <s v=" UK          "/>
    <x v="2"/>
  </r>
  <r>
    <x v="34"/>
    <x v="0"/>
    <n v="1"/>
    <d v="2012-03-10T08:30:00"/>
    <d v="2012-03-10T00:00:00"/>
    <x v="63"/>
    <x v="43"/>
    <s v=" SupportiveFriend"/>
    <s v=" Facebook "/>
    <x v="2"/>
    <s v=" #Gratitude #Supportive                        "/>
    <n v="15"/>
    <n v="30"/>
    <n v="45"/>
    <s v=" India     "/>
    <x v="4"/>
  </r>
  <r>
    <x v="35"/>
    <x v="0"/>
    <n v="1"/>
    <d v="2013-12-05T16:00:00"/>
    <d v="2013-12-05T00:00:00"/>
    <x v="65"/>
    <x v="44"/>
    <s v=" JourneyOptimist "/>
    <s v=" Twitter  "/>
    <x v="0"/>
    <s v=" #Hope #NewBeginnings                          "/>
    <n v="18"/>
    <n v="35"/>
    <n v="53"/>
    <s v=" Canada    "/>
    <x v="1"/>
  </r>
  <r>
    <x v="36"/>
    <x v="0"/>
    <n v="1"/>
    <d v="2014-07-20T11:30:00"/>
    <d v="2014-07-20T00:00:00"/>
    <x v="18"/>
    <x v="18"/>
    <s v=" GrowthSeeker    "/>
    <s v=" Instagram "/>
    <x v="1"/>
    <s v=" #Empowerment #PersonalGrowth                  "/>
    <n v="25"/>
    <n v="50"/>
    <n v="75"/>
    <s v="USA"/>
    <x v="0"/>
  </r>
  <r>
    <x v="37"/>
    <x v="0"/>
    <n v="1"/>
    <d v="2015-12-22T14:20:00"/>
    <d v="2015-12-22T00:00:00"/>
    <x v="32"/>
    <x v="29"/>
    <s v=" HolidayHelper   "/>
    <s v=" Facebook "/>
    <x v="2"/>
    <s v=" #Compassion #HolidaySupport                   "/>
    <n v="18"/>
    <n v="35"/>
    <n v="53"/>
    <s v=" USA      "/>
    <x v="0"/>
  </r>
  <r>
    <x v="38"/>
    <x v="0"/>
    <n v="1"/>
    <d v="2016-02-10T19:45:00"/>
    <d v="2016-02-10T00:00:00"/>
    <x v="58"/>
    <x v="25"/>
    <s v=" WinterWarmth    "/>
    <s v=" Twitter  "/>
    <x v="0"/>
    <s v=" #Tenderness #CozyEvening                     "/>
    <n v="25"/>
    <n v="50"/>
    <n v="75"/>
    <s v=" UK       "/>
    <x v="2"/>
  </r>
  <r>
    <x v="39"/>
    <x v="0"/>
    <n v="1"/>
    <d v="2017-04-30T11:30:00"/>
    <d v="2017-04-30T00:00:00"/>
    <x v="64"/>
    <x v="18"/>
    <s v=" AdventureAwaits "/>
    <s v=" Instagram "/>
    <x v="1"/>
    <s v=" #Arousal #AdventureTime                       "/>
    <n v="20"/>
    <n v="40"/>
    <n v="60"/>
    <s v=" Australia "/>
    <x v="3"/>
  </r>
  <r>
    <x v="40"/>
    <x v="0"/>
    <n v="1"/>
    <d v="2018-09-15T16:00:00"/>
    <d v="2018-09-15T00:00:00"/>
    <x v="51"/>
    <x v="44"/>
    <s v=" CreativeSpirit  "/>
    <s v=" Facebook "/>
    <x v="2"/>
    <s v=" #Enthusiasm #Creativity                       "/>
    <n v="15"/>
    <n v="30"/>
    <n v="45"/>
    <s v=" Canada    "/>
    <x v="1"/>
  </r>
  <r>
    <x v="41"/>
    <x v="0"/>
    <n v="1"/>
    <d v="2019-06-28T18:20:00"/>
    <d v="2019-06-28T00:00:00"/>
    <x v="60"/>
    <x v="3"/>
    <s v=" FitnessAchiever "/>
    <s v=" Twitter  "/>
    <x v="0"/>
    <s v=" #Fulfillment #FitnessGoals                   "/>
    <n v="22"/>
    <n v="45"/>
    <n v="67"/>
    <s v=" India     "/>
    <x v="4"/>
  </r>
  <r>
    <x v="42"/>
    <x v="0"/>
    <n v="1"/>
    <d v="2020-11-11T15:00:00"/>
    <d v="2020-11-11T00:00:00"/>
    <x v="27"/>
    <x v="26"/>
    <s v=" ArtAppreciator  "/>
    <s v=" Instagram "/>
    <x v="1"/>
    <s v=" #Reverence #ArtAppreciation                  "/>
    <n v="18"/>
    <n v="35"/>
    <n v="53"/>
    <s v=" UK        "/>
    <x v="2"/>
  </r>
  <r>
    <x v="30"/>
    <x v="0"/>
    <n v="1"/>
    <d v="2021-03-02T09:30:00"/>
    <d v="2021-03-02T00:00:00"/>
    <x v="56"/>
    <x v="40"/>
    <s v=" GoalAchiever2   "/>
    <s v=" Facebook "/>
    <x v="2"/>
    <s v=" #Elation #PersonalAchievement                "/>
    <n v="25"/>
    <n v="50"/>
    <n v="75"/>
    <s v=" USA      "/>
    <x v="0"/>
  </r>
  <r>
    <x v="30"/>
    <x v="0"/>
    <n v="1"/>
    <d v="2012-02-18T14:30:00"/>
    <d v="2012-02-18T00:00:00"/>
    <x v="72"/>
    <x v="22"/>
    <s v=" UrbanExplorer2  "/>
    <s v=" Twitter  "/>
    <x v="0"/>
    <s v=" #Elation #HiddenGem                            "/>
    <n v="20"/>
    <n v="40"/>
    <n v="60"/>
    <s v=" USA      "/>
    <x v="0"/>
  </r>
  <r>
    <x v="31"/>
    <x v="0"/>
    <n v="1"/>
    <d v="2018-11-05T21:45:00"/>
    <d v="2018-11-05T00:00:00"/>
    <x v="73"/>
    <x v="50"/>
    <s v=" BirthdayJoy     "/>
    <s v=" Instagram "/>
    <x v="1"/>
    <s v=" #Euphoria #BirthdaySurprise                   "/>
    <n v="15"/>
    <n v="30"/>
    <n v="45"/>
    <s v=" UK   "/>
    <x v="2"/>
  </r>
  <r>
    <x v="32"/>
    <x v="0"/>
    <n v="1"/>
    <d v="2015-09-12T13:20:00"/>
    <d v="2015-09-12T00:00:00"/>
    <x v="15"/>
    <x v="15"/>
    <s v=" HomeChef        "/>
    <s v=" Facebook "/>
    <x v="2"/>
    <s v=" #Contentment #HomeCooking                     "/>
    <n v="25"/>
    <n v="50"/>
    <n v="75"/>
    <s v=" India    "/>
    <x v="4"/>
  </r>
  <r>
    <x v="33"/>
    <x v="0"/>
    <n v="1"/>
    <d v="2016-07-30T18:10:00"/>
    <d v="2016-07-30T00:00:00"/>
    <x v="74"/>
    <x v="51"/>
    <s v=" MusicLover4     "/>
    <s v=" Twitter  "/>
    <x v="0"/>
    <s v=" #Serenity #PeacefulMelody                    "/>
    <n v="18"/>
    <n v="35"/>
    <n v="53"/>
    <s v=" Canada      "/>
    <x v="1"/>
  </r>
  <r>
    <x v="34"/>
    <x v="0"/>
    <n v="1"/>
    <d v="2013-04-20T10:30:00"/>
    <d v="2013-04-20T00:00:00"/>
    <x v="11"/>
    <x v="11"/>
    <s v=" CommunityLove   "/>
    <s v=" Instagram "/>
    <x v="1"/>
    <s v=" #Gratitude #CommunitySupport                   "/>
    <n v="30"/>
    <n v="60"/>
    <n v="90"/>
    <s v=" USA "/>
    <x v="0"/>
  </r>
  <r>
    <x v="35"/>
    <x v="0"/>
    <n v="1"/>
    <d v="2017-12-08T19:15:00"/>
    <d v="2017-12-08T00:00:00"/>
    <x v="75"/>
    <x v="52"/>
    <s v=" EntrepreneurHope"/>
    <s v=" Facebook "/>
    <x v="2"/>
    <s v=" #Hope #BusinessVenture                        "/>
    <n v="22"/>
    <n v="45"/>
    <n v="67"/>
    <s v=" Canada    "/>
    <x v="1"/>
  </r>
  <r>
    <x v="36"/>
    <x v="0"/>
    <n v="1"/>
    <d v="2014-06-03T08:20:00"/>
    <d v="2014-06-03T00:00:00"/>
    <x v="76"/>
    <x v="53"/>
    <s v=" MentorEmpower   "/>
    <s v=" Twitter  "/>
    <x v="0"/>
    <s v=" #Empowerment #Mentorship                      "/>
    <n v="15"/>
    <n v="30"/>
    <n v="45"/>
    <s v=" UK       "/>
    <x v="2"/>
  </r>
  <r>
    <x v="43"/>
    <x v="0"/>
    <n v="1"/>
    <d v="2019-01-15T14:50:00"/>
    <d v="2019-01-15T00:00:00"/>
    <x v="12"/>
    <x v="12"/>
    <s v=" KindnessInAction"/>
    <s v=" Instagram "/>
    <x v="1"/>
    <s v=" #Compassion #CommunityKindness               "/>
    <n v="18"/>
    <n v="35"/>
    <n v="53"/>
    <s v=" Australia "/>
    <x v="3"/>
  </r>
  <r>
    <x v="38"/>
    <x v="0"/>
    <n v="1"/>
    <d v="2016-12-25T19:30:00"/>
    <d v="2016-12-25T00:00:00"/>
    <x v="62"/>
    <x v="7"/>
    <s v=" LoveExpress     "/>
    <s v=" Facebook "/>
    <x v="2"/>
    <s v=" #Tenderness #LoveNote                         "/>
    <n v="25"/>
    <n v="50"/>
    <n v="75"/>
    <s v=" UK          "/>
    <x v="2"/>
  </r>
  <r>
    <x v="39"/>
    <x v="0"/>
    <n v="1"/>
    <d v="2018-03-10T09:45:00"/>
    <d v="2018-03-10T00:00:00"/>
    <x v="14"/>
    <x v="14"/>
    <s v=" TravelExcitement"/>
    <s v=" Twitter  "/>
    <x v="0"/>
    <s v=" #Arousal #TravelAdventure                     "/>
    <n v="20"/>
    <n v="40"/>
    <n v="60"/>
    <s v=" India    "/>
    <x v="4"/>
  </r>
  <r>
    <x v="40"/>
    <x v="0"/>
    <n v="1"/>
    <d v="2020-09-17T16:30:00"/>
    <d v="2020-09-17T00:00:00"/>
    <x v="77"/>
    <x v="54"/>
    <s v=" ArtisticSpirit  "/>
    <s v=" Instagram "/>
    <x v="1"/>
    <s v=" #Enthusiasm #ArtisticProject                 "/>
    <n v="15"/>
    <n v="30"/>
    <n v="45"/>
    <s v=" USA       "/>
    <x v="0"/>
  </r>
  <r>
    <x v="44"/>
    <x v="0"/>
    <n v="1"/>
    <d v="2011-08-28T18:45:00"/>
    <d v="2011-08-28T00:00:00"/>
    <x v="57"/>
    <x v="47"/>
    <s v=" HelperHeart     "/>
    <s v=" Facebook "/>
    <x v="2"/>
    <s v=" #Fulfillment #HelpingOthers                  "/>
    <n v="22"/>
    <n v="45"/>
    <n v="67"/>
    <s v=" Canada    "/>
    <x v="1"/>
  </r>
  <r>
    <x v="45"/>
    <x v="0"/>
    <n v="1"/>
    <d v="2017-11-01T15:30:00"/>
    <d v="2017-11-01T00:00:00"/>
    <x v="78"/>
    <x v="49"/>
    <s v=" HistoryBuff     "/>
    <s v=" Twitter  "/>
    <x v="0"/>
    <s v=" #Reverence #HistoricalSite                   "/>
    <n v="18"/>
    <n v="35"/>
    <n v="53"/>
    <s v=" Australia "/>
    <x v="3"/>
  </r>
  <r>
    <x v="30"/>
    <x v="0"/>
    <n v="1"/>
    <d v="2019-06-15T10:00:00"/>
    <d v="2019-06-15T00:00:00"/>
    <x v="61"/>
    <x v="42"/>
    <s v=" FitnessAchiever2"/>
    <s v=" Instagram "/>
    <x v="1"/>
    <s v=" #Elation #FitnessMilestone                   "/>
    <n v="25"/>
    <n v="50"/>
    <n v="75"/>
    <s v=" UK           "/>
    <x v="2"/>
  </r>
  <r>
    <x v="31"/>
    <x v="0"/>
    <n v="1"/>
    <d v="2022-04-03T11:45:00"/>
    <d v="2022-04-03T00:00:00"/>
    <x v="79"/>
    <x v="55"/>
    <s v=" ProductLaunchJoy"/>
    <s v=" Facebook "/>
    <x v="2"/>
    <s v=" #Euphoria #ProductLaunchSuccess              "/>
    <n v="15"/>
    <n v="30"/>
    <n v="45"/>
    <s v=" USA       "/>
    <x v="0"/>
  </r>
  <r>
    <x v="32"/>
    <x v="0"/>
    <n v="1"/>
    <d v="2010-11-12T20:20:00"/>
    <d v="2010-11-12T00:00:00"/>
    <x v="80"/>
    <x v="35"/>
    <s v=" LovingEmbrace   "/>
    <s v=" Twitter  "/>
    <x v="0"/>
    <s v=" #Contentment #Love                             "/>
    <n v="30"/>
    <n v="60"/>
    <n v="90"/>
    <s v=" India    "/>
    <x v="4"/>
  </r>
  <r>
    <x v="33"/>
    <x v="0"/>
    <n v="1"/>
    <d v="2011-07-22T18:30:00"/>
    <d v="2011-07-22T00:00:00"/>
    <x v="40"/>
    <x v="36"/>
    <s v=" SunsetWatcher2  "/>
    <s v=" Instagram "/>
    <x v="1"/>
    <s v=" #Serenity #SunsetViews                       "/>
    <n v="22"/>
    <n v="45"/>
    <n v="67"/>
    <s v=" Canada     "/>
    <x v="1"/>
  </r>
  <r>
    <x v="34"/>
    <x v="0"/>
    <n v="1"/>
    <d v="2012-03-30T11:20:00"/>
    <d v="2012-03-30T00:00:00"/>
    <x v="81"/>
    <x v="56"/>
    <s v=" JoyfulHeart2    "/>
    <s v=" Facebook "/>
    <x v="2"/>
    <s v=" #Gratitude #SmallJoys                        "/>
    <n v="15"/>
    <n v="30"/>
    <n v="45"/>
    <s v=" Australia   "/>
    <x v="3"/>
  </r>
  <r>
    <x v="35"/>
    <x v="0"/>
    <n v="1"/>
    <d v="2013-10-05T16:40:00"/>
    <d v="2013-10-05T00:00:00"/>
    <x v="82"/>
    <x v="57"/>
    <s v=" GrowthOptimist  "/>
    <s v=" Twitter  "/>
    <x v="0"/>
    <s v=" #Hope #PersonalDevelopment                    "/>
    <n v="18"/>
    <n v="35"/>
    <n v="53"/>
    <s v=" UK       "/>
    <x v="2"/>
  </r>
  <r>
    <x v="36"/>
    <x v="0"/>
    <n v="1"/>
    <d v="2014-07-10T13:15:00"/>
    <d v="2014-07-10T00:00:00"/>
    <x v="83"/>
    <x v="28"/>
    <s v=" SkillEmpower    "/>
    <s v=" Instagram "/>
    <x v="1"/>
    <s v=" #Empowerment #SkillBuilding                   "/>
    <n v="25"/>
    <n v="50"/>
    <n v="75"/>
    <s v=" India   "/>
    <x v="4"/>
  </r>
  <r>
    <x v="37"/>
    <x v="0"/>
    <n v="1"/>
    <d v="2015-12-18T14:20:00"/>
    <d v="2015-12-18T00:00:00"/>
    <x v="32"/>
    <x v="29"/>
    <s v=" CharityVolunteer"/>
    <s v=" Facebook "/>
    <x v="2"/>
    <s v=" #Compassion #VolunteerWork                   "/>
    <n v="18"/>
    <n v="35"/>
    <n v="53"/>
    <s v=" USA      "/>
    <x v="0"/>
  </r>
  <r>
    <x v="38"/>
    <x v="0"/>
    <n v="1"/>
    <d v="2016-02-10T19:45:00"/>
    <d v="2016-02-10T00:00:00"/>
    <x v="58"/>
    <x v="25"/>
    <s v=" PetLove         "/>
    <s v=" Twitter  "/>
    <x v="0"/>
    <s v=" #Tenderness #PetLove                          "/>
    <n v="25"/>
    <n v="50"/>
    <n v="75"/>
    <s v=" Canada   "/>
    <x v="1"/>
  </r>
  <r>
    <x v="39"/>
    <x v="0"/>
    <n v="1"/>
    <d v="2017-09-25T11:30:00"/>
    <d v="2017-09-25T00:00:00"/>
    <x v="64"/>
    <x v="18"/>
    <s v=" FestivalFan     "/>
    <s v=" Instagram "/>
    <x v="1"/>
    <s v=" #Arousal #FestivalExcitement               "/>
    <n v="20"/>
    <n v="40"/>
    <n v="60"/>
    <s v=" UK "/>
    <x v="2"/>
  </r>
  <r>
    <x v="40"/>
    <x v="0"/>
    <n v="1"/>
    <d v="2018-04-15T16:00:00"/>
    <d v="2018-04-15T00:00:00"/>
    <x v="65"/>
    <x v="44"/>
    <s v=" DIYEnthusiast   "/>
    <s v=" Facebook "/>
    <x v="2"/>
    <s v=" #Enthusiasm #HomeImprovement                 "/>
    <n v="15"/>
    <n v="30"/>
    <n v="45"/>
    <s v=" Australia   "/>
    <x v="3"/>
  </r>
  <r>
    <x v="44"/>
    <x v="0"/>
    <n v="1"/>
    <d v="2019-11-28T18:20:00"/>
    <d v="2019-11-28T00:00:00"/>
    <x v="3"/>
    <x v="3"/>
    <s v=" PuzzleMaster    "/>
    <s v=" Twitter  "/>
    <x v="0"/>
    <s v=" #Fulfillment #PuzzleChallenge                "/>
    <n v="22"/>
    <n v="45"/>
    <n v="67"/>
    <s v=" India    "/>
    <x v="4"/>
  </r>
  <r>
    <x v="45"/>
    <x v="0"/>
    <n v="1"/>
    <d v="2020-05-11T15:00:00"/>
    <d v="2020-05-11T00:00:00"/>
    <x v="27"/>
    <x v="26"/>
    <s v=" NatureAdmirer   "/>
    <s v=" Instagram "/>
    <x v="1"/>
    <s v=" #Reverence #NatureExploration                "/>
    <n v="18"/>
    <n v="35"/>
    <n v="53"/>
    <s v=" USA        "/>
    <x v="0"/>
  </r>
  <r>
    <x v="46"/>
    <x v="0"/>
    <n v="1"/>
    <d v="2021-02-05T09:30:00"/>
    <d v="2021-02-05T00:00:00"/>
    <x v="45"/>
    <x v="40"/>
    <s v=" ChildhoodJoy    "/>
    <s v=" Facebook "/>
    <x v="2"/>
    <s v=" #Elation #FriendshipReunion                  "/>
    <n v="25"/>
    <n v="50"/>
    <n v="75"/>
    <s v=" Canada      "/>
    <x v="1"/>
  </r>
  <r>
    <x v="47"/>
    <x v="1"/>
    <n v="-1"/>
    <d v="2021-03-10T08:30:00"/>
    <d v="2021-03-10T00:00:00"/>
    <x v="49"/>
    <x v="43"/>
    <s v=" StrugglingSoul    "/>
    <s v=" Twitter  "/>
    <x v="0"/>
    <s v=" #Despair #Struggle                              "/>
    <n v="5"/>
    <n v="10"/>
    <n v="15"/>
    <s v=" USA          "/>
    <x v="0"/>
  </r>
  <r>
    <x v="48"/>
    <x v="1"/>
    <n v="-1"/>
    <d v="2022-07-05T15:45:00"/>
    <d v="2022-07-05T00:00:00"/>
    <x v="2"/>
    <x v="2"/>
    <s v=" MourningHeart     "/>
    <s v=" Instagram "/>
    <x v="1"/>
    <s v=" #Grief #Loss                                   "/>
    <n v="8"/>
    <n v="15"/>
    <n v="23"/>
    <s v=" Canada          "/>
    <x v="1"/>
  </r>
  <r>
    <x v="49"/>
    <x v="1"/>
    <n v="-1"/>
    <d v="2019-11-18T21:20:00"/>
    <d v="2019-11-18T00:00:00"/>
    <x v="84"/>
    <x v="58"/>
    <s v=" SolitarySoul      "/>
    <s v=" Facebook "/>
    <x v="2"/>
    <s v=" #Loneliness #Isolation                         "/>
    <n v="10"/>
    <n v="20"/>
    <n v="30"/>
    <s v=" UK           "/>
    <x v="2"/>
  </r>
  <r>
    <x v="50"/>
    <x v="1"/>
    <n v="-1"/>
    <d v="2020-08-12T11:30:00"/>
    <d v="2020-08-12T00:00:00"/>
    <x v="64"/>
    <x v="18"/>
    <s v=" EnviousObserver   "/>
    <s v=" Twitter  "/>
    <x v="0"/>
    <s v=" #Jealousy #Envy                               "/>
    <n v="12"/>
    <n v="25"/>
    <n v="37"/>
    <s v=" India        "/>
    <x v="4"/>
  </r>
  <r>
    <x v="51"/>
    <x v="1"/>
    <n v="-1"/>
    <d v="2018-05-22T14:45:00"/>
    <d v="2018-05-22T00:00:00"/>
    <x v="6"/>
    <x v="6"/>
    <s v=" BitterHeart       "/>
    <s v=" Instagram "/>
    <x v="1"/>
    <s v=" #Resentment #Bitterness                       "/>
    <n v="7"/>
    <n v="15"/>
    <n v="22"/>
    <s v=" Australia     "/>
    <x v="3"/>
  </r>
  <r>
    <x v="52"/>
    <x v="1"/>
    <n v="-1"/>
    <d v="2017-01-30T16:10:00"/>
    <d v="2017-01-30T00:00:00"/>
    <x v="35"/>
    <x v="32"/>
    <s v=" BlockedGoals      "/>
    <s v=" Facebook "/>
    <x v="2"/>
    <s v=" #Frustration #Obstacles                       "/>
    <n v="10"/>
    <n v="20"/>
    <n v="30"/>
    <s v=" USA          "/>
    <x v="0"/>
  </r>
  <r>
    <x v="53"/>
    <x v="1"/>
    <n v="-1"/>
    <d v="2016-09-28T19:45:00"/>
    <d v="2016-09-28T00:00:00"/>
    <x v="26"/>
    <x v="25"/>
    <s v=" BoredMind         "/>
    <s v=" Twitter  "/>
    <x v="0"/>
    <s v=" #Boredom #LackOfInterest                     "/>
    <n v="8"/>
    <n v="15"/>
    <n v="23"/>
    <s v=" Canada        "/>
    <x v="1"/>
  </r>
  <r>
    <x v="54"/>
    <x v="1"/>
    <n v="-1"/>
    <d v="2019-04-15T09:00:00"/>
    <d v="2019-04-15T00:00:00"/>
    <x v="36"/>
    <x v="33"/>
    <s v=" WorriedMind       "/>
    <s v=" Instagram "/>
    <x v="1"/>
    <s v=" #Anxiety #Worry                               "/>
    <n v="12"/>
    <n v="25"/>
    <n v="37"/>
    <s v=" UK           "/>
    <x v="2"/>
  </r>
  <r>
    <x v="55"/>
    <x v="1"/>
    <n v="-1"/>
    <d v="2021-12-03T18:30:00"/>
    <d v="2021-12-03T00:00:00"/>
    <x v="85"/>
    <x v="36"/>
    <s v=" FearfulSoul       "/>
    <s v=" Facebook "/>
    <x v="2"/>
    <s v=" #Intimidation #Fear                           "/>
    <n v="15"/>
    <n v="30"/>
    <n v="45"/>
    <s v=" India        "/>
    <x v="4"/>
  </r>
  <r>
    <x v="56"/>
    <x v="1"/>
    <n v="-1"/>
    <d v="2020-06-20T14:20:00"/>
    <d v="2020-06-20T00:00:00"/>
    <x v="32"/>
    <x v="29"/>
    <s v=" OverwhelmedHeart  "/>
    <s v=" Twitter  "/>
    <x v="0"/>
    <s v=" #Helplessness #Overwhelmed                    "/>
    <n v="8"/>
    <n v="15"/>
    <n v="23"/>
    <s v=" Australia    "/>
    <x v="3"/>
  </r>
  <r>
    <x v="57"/>
    <x v="1"/>
    <n v="-1"/>
    <d v="2018-11-07T11:30:00"/>
    <d v="2018-11-07T00:00:00"/>
    <x v="64"/>
    <x v="18"/>
    <s v=" CovetousMind     "/>
    <s v=" Instagram "/>
    <x v="1"/>
    <s v=" #Envy #Desire                                "/>
    <n v="10"/>
    <n v="20"/>
    <n v="30"/>
    <s v=" Canada        "/>
    <x v="1"/>
  </r>
  <r>
    <x v="58"/>
    <x v="1"/>
    <n v="-1"/>
    <d v="2017-08-25T16:00:00"/>
    <d v="2017-08-25T00:00:00"/>
    <x v="51"/>
    <x v="44"/>
    <s v=" RemorsefulSoul   "/>
    <s v=" Facebook "/>
    <x v="2"/>
    <s v=" #Regret #MissedChances                       "/>
    <n v="12"/>
    <n v="25"/>
    <n v="37"/>
    <s v=" UK           "/>
    <x v="2"/>
  </r>
  <r>
    <x v="59"/>
    <x v="1"/>
    <n v="-1"/>
    <d v="2019-02-11T09:45:00"/>
    <d v="2019-02-11T00:00:00"/>
    <x v="14"/>
    <x v="14"/>
    <s v=" DisgustedHeart   "/>
    <s v=" Twitter  "/>
    <x v="0"/>
    <s v=" #Disgust #Injustice                          "/>
    <n v="7"/>
    <n v="15"/>
    <n v="22"/>
    <s v=" India        "/>
    <x v="4"/>
  </r>
  <r>
    <x v="60"/>
    <x v="1"/>
    <n v="-1"/>
    <d v="2016-04-02T20:20:00"/>
    <d v="2016-04-02T00:00:00"/>
    <x v="80"/>
    <x v="35"/>
    <s v=" HopelessHeart    "/>
    <s v=" Instagram "/>
    <x v="1"/>
    <s v=" #Despair #Hopeless                           "/>
    <n v="10"/>
    <n v="20"/>
    <n v="30"/>
    <s v=" USA          "/>
    <x v="0"/>
  </r>
  <r>
    <x v="48"/>
    <x v="1"/>
    <n v="-1"/>
    <d v="2015-10-18T15:30:00"/>
    <d v="2015-10-18T00:00:00"/>
    <x v="71"/>
    <x v="49"/>
    <s v=" TearfulSoul      "/>
    <s v=" Facebook "/>
    <x v="2"/>
    <s v=" #Grief #Tears                                "/>
    <n v="12"/>
    <n v="25"/>
    <n v="37"/>
    <s v=" Canada        "/>
    <x v="1"/>
  </r>
  <r>
    <x v="61"/>
    <x v="1"/>
    <n v="-1"/>
    <d v="2019-07-12T18:10:00"/>
    <d v="2019-07-12T00:00:00"/>
    <x v="86"/>
    <x v="51"/>
    <s v=" IsolatedMind     "/>
    <s v=" Twitter  "/>
    <x v="0"/>
    <s v=" #Loneliness #SeekingConnection              "/>
    <n v="15"/>
    <n v="30"/>
    <n v="45"/>
    <s v=" UK            "/>
    <x v="2"/>
  </r>
  <r>
    <x v="50"/>
    <x v="1"/>
    <n v="-1"/>
    <d v="2018-06-03T16:30:00"/>
    <d v="2018-06-03T00:00:00"/>
    <x v="87"/>
    <x v="54"/>
    <s v=" SelfDoubt        "/>
    <s v=" Instagram "/>
    <x v="1"/>
    <s v=" #Jealousy #Insecurity                       "/>
    <n v="8"/>
    <n v="15"/>
    <n v="23"/>
    <s v=" India         "/>
    <x v="4"/>
  </r>
  <r>
    <x v="51"/>
    <x v="1"/>
    <n v="-1"/>
    <d v="2022-01-15T12:00:00"/>
    <d v="2022-01-15T00:00:00"/>
    <x v="24"/>
    <x v="23"/>
    <s v=" BrokenTrust      "/>
    <s v=" Facebook "/>
    <x v="2"/>
    <s v=" #Resentment #BrokenTrust                     "/>
    <n v="10"/>
    <n v="20"/>
    <n v="30"/>
    <s v=" Australia    "/>
    <x v="3"/>
  </r>
  <r>
    <x v="62"/>
    <x v="1"/>
    <n v="-1"/>
    <d v="2017-04-10T14:45:00"/>
    <d v="2017-04-10T00:00:00"/>
    <x v="47"/>
    <x v="6"/>
    <s v=" ExplosiveMind    "/>
    <s v=" Twitter  "/>
    <x v="0"/>
    <s v=" #Frustration #EmotionalOutburst             "/>
    <n v="12"/>
    <n v="25"/>
    <n v="37"/>
    <s v=" USA          "/>
    <x v="0"/>
  </r>
  <r>
    <x v="53"/>
    <x v="1"/>
    <n v="-1"/>
    <d v="2016-11-28T19:00:00"/>
    <d v="2016-11-28T00:00:00"/>
    <x v="88"/>
    <x v="38"/>
    <s v=" MundaneHeart     "/>
    <s v=" Instagram "/>
    <x v="1"/>
    <s v=" #Boredom #Monotony                          "/>
    <n v="7"/>
    <n v="15"/>
    <n v="22"/>
    <s v=" Canada        "/>
    <x v="1"/>
  </r>
  <r>
    <x v="63"/>
    <x v="1"/>
    <n v="-1"/>
    <d v="2018-09-05T09:30:00"/>
    <d v="2018-09-05T00:00:00"/>
    <x v="45"/>
    <x v="40"/>
    <s v=" RestlessMind     "/>
    <s v=" Facebook "/>
    <x v="2"/>
    <s v=" #Anxiety #Restlessness                      "/>
    <n v="10"/>
    <n v="20"/>
    <n v="30"/>
    <s v=" UK            "/>
    <x v="2"/>
  </r>
  <r>
    <x v="64"/>
    <x v="1"/>
    <n v="-1"/>
    <d v="2021-10-22T18:30:00"/>
    <d v="2021-10-22T00:00:00"/>
    <x v="85"/>
    <x v="36"/>
    <s v=" FearfulJourney   "/>
    <s v=" Twitter  "/>
    <x v="0"/>
    <s v=" #Intimidation #FacingFear                   "/>
    <n v="15"/>
    <n v="30"/>
    <n v="45"/>
    <s v=" India         "/>
    <x v="4"/>
  </r>
  <r>
    <x v="65"/>
    <x v="1"/>
    <n v="-1"/>
    <d v="2019-05-08T14:20:00"/>
    <d v="2019-05-08T00:00:00"/>
    <x v="50"/>
    <x v="29"/>
    <s v=" OverwhelmedSoul  "/>
    <s v=" Instagram "/>
    <x v="1"/>
    <s v=" #Helplessness #Struggling                   "/>
    <n v="8"/>
    <n v="15"/>
    <n v="23"/>
    <s v=" Australia    "/>
    <x v="3"/>
  </r>
  <r>
    <x v="57"/>
    <x v="1"/>
    <n v="-1"/>
    <d v="2017-03-20T11:30:00"/>
    <d v="2017-03-20T00:00:00"/>
    <x v="18"/>
    <x v="18"/>
    <s v=" GreenEyedMonster "/>
    <s v=" Facebook "/>
    <x v="2"/>
    <s v=" #Envy #Success                              "/>
    <n v="10"/>
    <n v="20"/>
    <n v="30"/>
    <s v=" Canada        "/>
    <x v="1"/>
  </r>
  <r>
    <x v="58"/>
    <x v="1"/>
    <n v="-1"/>
    <d v="2018-12-15T16:00:00"/>
    <d v="2018-12-15T00:00:00"/>
    <x v="65"/>
    <x v="44"/>
    <s v=" RegretfulMind    "/>
    <s v=" Twitter  "/>
    <x v="0"/>
    <s v=" #Regret #PastChoices                        "/>
    <n v="12"/>
    <n v="25"/>
    <n v="37"/>
    <s v=" USA          "/>
    <x v="0"/>
  </r>
  <r>
    <x v="59"/>
    <x v="1"/>
    <n v="-1"/>
    <d v="2016-07-01T09:45:00"/>
    <d v="2016-07-01T00:00:00"/>
    <x v="31"/>
    <x v="14"/>
    <s v=" CorruptedHeart   "/>
    <s v=" Instagram "/>
    <x v="1"/>
    <s v=" #Disgust #Corruption                        "/>
    <n v="7"/>
    <n v="15"/>
    <n v="22"/>
    <s v=" UK            "/>
    <x v="2"/>
  </r>
  <r>
    <x v="47"/>
    <x v="1"/>
    <n v="-1"/>
    <d v="2020-08-20T20:20:00"/>
    <d v="2020-08-20T00:00:00"/>
    <x v="38"/>
    <x v="35"/>
    <s v=" DrowningSoul     "/>
    <s v=" Facebook "/>
    <x v="2"/>
    <s v=" #Despair #DarkDays                          "/>
    <n v="10"/>
    <n v="20"/>
    <n v="30"/>
    <s v=" India         "/>
    <x v="4"/>
  </r>
  <r>
    <x v="48"/>
    <x v="1"/>
    <n v="-1"/>
    <d v="2021-02-25T15:30:00"/>
    <d v="2021-02-25T00:00:00"/>
    <x v="78"/>
    <x v="49"/>
    <s v=" StormyHeart      "/>
    <s v=" Twitter  "/>
    <x v="0"/>
    <s v=" #Grief #EmotionalStorm                      "/>
    <n v="12"/>
    <n v="25"/>
    <n v="37"/>
    <s v=" Canada        "/>
    <x v="1"/>
  </r>
  <r>
    <x v="61"/>
    <x v="1"/>
    <n v="-1"/>
    <d v="2019-09-12T18:10:00"/>
    <d v="2019-09-12T00:00:00"/>
    <x v="86"/>
    <x v="51"/>
    <s v=" EchoingSoul     "/>
    <s v=" Instagram "/>
    <x v="1"/>
    <s v=" #Loneliness #YearningForConnection         "/>
    <n v="15"/>
    <n v="30"/>
    <n v="45"/>
    <s v=" Australia     "/>
    <x v="3"/>
  </r>
  <r>
    <x v="66"/>
    <x v="1"/>
    <n v="-1"/>
    <d v="2018-08-05T16:30:00"/>
    <d v="2018-08-05T00:00:00"/>
    <x v="77"/>
    <x v="54"/>
    <s v=" PoisonedMind    "/>
    <s v=" Facebook "/>
    <x v="2"/>
    <s v=" #Jealousy #Resentment                       "/>
    <n v="8"/>
    <n v="15"/>
    <n v="23"/>
    <s v=" USA           "/>
    <x v="0"/>
  </r>
  <r>
    <x v="51"/>
    <x v="1"/>
    <n v="-1"/>
    <d v="2017-01-12T12:00:00"/>
    <d v="2017-01-12T00:00:00"/>
    <x v="89"/>
    <x v="23"/>
    <s v=" UnforgivingSoul  "/>
    <s v=" Twitter  "/>
    <x v="0"/>
    <s v=" #Resentment #Unforgiving                    "/>
    <n v="10"/>
    <n v="20"/>
    <n v="30"/>
    <s v=" India         "/>
    <x v="4"/>
  </r>
  <r>
    <x v="52"/>
    <x v="1"/>
    <n v="-1"/>
    <d v="2022-04-05T14:45:00"/>
    <d v="2022-04-05T00:00:00"/>
    <x v="6"/>
    <x v="6"/>
    <s v=" ThunderingMind   "/>
    <s v=" Instagram "/>
    <x v="1"/>
    <s v=" #Frustration #EmotionalOutburst            "/>
    <n v="12"/>
    <n v="25"/>
    <n v="37"/>
    <s v=" UK            "/>
    <x v="2"/>
  </r>
  <r>
    <x v="53"/>
    <x v="1"/>
    <n v="-1"/>
    <d v="2021-10-02T19:00:00"/>
    <d v="2021-10-02T00:00:00"/>
    <x v="42"/>
    <x v="38"/>
    <s v=" StagnantHeart    "/>
    <s v=" Facebook "/>
    <x v="2"/>
    <s v=" #Boredom #Stagnation                        "/>
    <n v="7"/>
    <n v="15"/>
    <n v="22"/>
    <s v=" Canada        "/>
    <x v="1"/>
  </r>
  <r>
    <x v="67"/>
    <x v="2"/>
    <n v="0"/>
    <d v="2023-04-15T10:15:00"/>
    <d v="2023-04-15T00:00:00"/>
    <x v="90"/>
    <x v="59"/>
    <s v=" InquisitiveMind   "/>
    <s v=" Twitter  "/>
    <x v="0"/>
    <s v=" #Curiosity #Learning                        "/>
    <n v="15"/>
    <n v="30"/>
    <n v="45"/>
    <s v=" USA          "/>
    <x v="0"/>
  </r>
  <r>
    <x v="68"/>
    <x v="2"/>
    <n v="0"/>
    <d v="2022-11-28T17:30:00"/>
    <d v="2022-11-28T00:00:00"/>
    <x v="91"/>
    <x v="27"/>
    <s v=" ApatheticObserver "/>
    <s v=" Instagram "/>
    <x v="1"/>
    <s v=" #Indifference #DigitalOverload              "/>
    <n v="7"/>
    <n v="15"/>
    <n v="22"/>
    <s v=" Canada          "/>
    <x v="1"/>
  </r>
  <r>
    <x v="69"/>
    <x v="2"/>
    <n v="0"/>
    <d v="2020-04-02T09:45:00"/>
    <d v="2020-04-02T00:00:00"/>
    <x v="14"/>
    <x v="14"/>
    <s v=" SeekingClarity    "/>
    <s v=" Facebook "/>
    <x v="2"/>
    <s v=" #Confusion #LifePuzzle                     "/>
    <n v="10"/>
    <n v="20"/>
    <n v="30"/>
    <s v=" UK           "/>
    <x v="2"/>
  </r>
  <r>
    <x v="70"/>
    <x v="2"/>
    <n v="0"/>
    <d v="2021-08-10T14:00:00"/>
    <d v="2021-08-10T00:00:00"/>
    <x v="92"/>
    <x v="60"/>
    <s v=" EmotionallyDistant "/>
    <s v=" Twitter  "/>
    <x v="0"/>
    <s v=" #Numbness #EmotionalShield                 "/>
    <n v="8"/>
    <n v="15"/>
    <n v="23"/>
    <s v=" India        "/>
    <x v="4"/>
  </r>
  <r>
    <x v="71"/>
    <x v="1"/>
    <n v="-1"/>
    <d v="2019-06-18T20:45:00"/>
    <d v="2019-06-18T00:00:00"/>
    <x v="93"/>
    <x v="61"/>
    <s v=" SunsetDreamer     "/>
    <s v=" Instagram "/>
    <x v="1"/>
    <s v=" #Melancholy #SunsetMoments                 "/>
    <n v="12"/>
    <n v="25"/>
    <n v="37"/>
    <s v=" Australia     "/>
    <x v="3"/>
  </r>
  <r>
    <x v="72"/>
    <x v="2"/>
    <n v="0"/>
    <d v="2018-02-05T15:15:00"/>
    <d v="2018-02-05T00:00:00"/>
    <x v="19"/>
    <x v="10"/>
    <s v=" MemoryLaneTraveler "/>
    <s v=" Facebook "/>
    <x v="2"/>
    <s v=" #Nostalgia #MemoryLane                     "/>
    <n v="10"/>
    <n v="20"/>
    <n v="30"/>
    <s v=" USA          "/>
    <x v="0"/>
  </r>
  <r>
    <x v="73"/>
    <x v="2"/>
    <n v="0"/>
    <d v="2022-05-30T11:30:00"/>
    <d v="2022-05-30T00:00:00"/>
    <x v="64"/>
    <x v="18"/>
    <s v=" MixedFeelings     "/>
    <s v=" Twitter  "/>
    <x v="0"/>
    <s v=" #Ambivalence #UncertainChoices             "/>
    <n v="12"/>
    <n v="25"/>
    <n v="37"/>
    <s v=" Canada        "/>
    <x v="1"/>
  </r>
  <r>
    <x v="74"/>
    <x v="0"/>
    <n v="1"/>
    <d v="2023-01-10T16:20:00"/>
    <d v="2023-01-10T00:00:00"/>
    <x v="94"/>
    <x v="24"/>
    <s v=" ZenLifestyle      "/>
    <s v=" Instagram "/>
    <x v="1"/>
    <s v=" #Acceptance #LifeJourney                   "/>
    <n v="15"/>
    <n v="30"/>
    <n v="45"/>
    <s v=" UK           "/>
    <x v="2"/>
  </r>
  <r>
    <x v="75"/>
    <x v="0"/>
    <n v="1"/>
    <d v="2020-09-18T13:45:00"/>
    <d v="2020-09-18T00:00:00"/>
    <x v="95"/>
    <x v="62"/>
    <s v=" ResilientSpirit   "/>
    <s v=" Facebook "/>
    <x v="2"/>
    <s v=" #Determination #AchieveTheImpossible       "/>
    <n v="10"/>
    <n v="20"/>
    <n v="30"/>
    <s v=" India        "/>
    <x v="4"/>
  </r>
  <r>
    <x v="76"/>
    <x v="0"/>
    <n v="1"/>
    <d v="2021-07-03T19:00:00"/>
    <d v="2021-07-03T00:00:00"/>
    <x v="88"/>
    <x v="38"/>
    <s v=" NatureSoul        "/>
    <s v=" Twitter  "/>
    <x v="0"/>
    <s v=" #Serenity #NatureRetreat                   "/>
    <n v="12"/>
    <n v="25"/>
    <n v="37"/>
    <s v=" Australia    "/>
    <x v="3"/>
  </r>
  <r>
    <x v="67"/>
    <x v="2"/>
    <n v="0"/>
    <d v="2022-10-08T08:15:00"/>
    <d v="2022-10-08T00:00:00"/>
    <x v="96"/>
    <x v="63"/>
    <s v=" EternalLearner    "/>
    <s v=" Instagram "/>
    <x v="1"/>
    <s v=" #Curiosity #KnowledgeQuest                "/>
    <n v="20"/>
    <n v="40"/>
    <n v="60"/>
    <s v=" USA          "/>
    <x v="0"/>
  </r>
  <r>
    <x v="68"/>
    <x v="2"/>
    <n v="0"/>
    <d v="2023-03-22T16:30:00"/>
    <d v="2023-03-22T00:00:00"/>
    <x v="77"/>
    <x v="54"/>
    <s v=" AloofObserver     "/>
    <s v=" Facebook "/>
    <x v="2"/>
    <s v=" #Indifference #FloatingThroughLife        "/>
    <n v="10"/>
    <n v="20"/>
    <n v="30"/>
    <s v=" Canada        "/>
    <x v="1"/>
  </r>
  <r>
    <x v="69"/>
    <x v="2"/>
    <n v="0"/>
    <d v="2021-05-15T11:45:00"/>
    <d v="2021-05-15T00:00:00"/>
    <x v="97"/>
    <x v="55"/>
    <s v=" ThoughtExplorer   "/>
    <s v=" Twitter  "/>
    <x v="0"/>
    <s v=" #Confusion #ThoughtLabyrinth              "/>
    <n v="15"/>
    <n v="30"/>
    <n v="45"/>
    <s v=" UK            "/>
    <x v="2"/>
  </r>
  <r>
    <x v="70"/>
    <x v="2"/>
    <n v="0"/>
    <d v="2019-12-28T14:30:00"/>
    <d v="2019-12-28T00:00:00"/>
    <x v="72"/>
    <x v="22"/>
    <s v=" StoicSoul         "/>
    <s v=" Instagram "/>
    <x v="1"/>
    <s v=" #Numbness #StoicFacade                    "/>
    <n v="8"/>
    <n v="15"/>
    <n v="23"/>
    <s v=" Australia     "/>
    <x v="3"/>
  </r>
  <r>
    <x v="71"/>
    <x v="1"/>
    <n v="-1"/>
    <d v="2020-03-01T19:00:00"/>
    <d v="2020-03-01T00:00:00"/>
    <x v="42"/>
    <x v="38"/>
    <s v=" DreamerInSilence  "/>
    <s v=" Facebook "/>
    <x v="2"/>
    <s v=" #Melancholy #WhispersInTheBreeze         "/>
    <n v="12"/>
    <n v="25"/>
    <n v="37"/>
    <s v=" India         "/>
    <x v="4"/>
  </r>
  <r>
    <x v="72"/>
    <x v="2"/>
    <n v="0"/>
    <d v="2018-07-10T15:45:00"/>
    <d v="2018-07-10T00:00:00"/>
    <x v="2"/>
    <x v="2"/>
    <s v=" JournalKeeper     "/>
    <s v=" Twitter  "/>
    <x v="0"/>
    <s v=" #Nostalgia #JournalMoments               "/>
    <n v="10"/>
    <n v="20"/>
    <n v="30"/>
    <s v=" Canada        "/>
    <x v="1"/>
  </r>
  <r>
    <x v="73"/>
    <x v="2"/>
    <n v="0"/>
    <d v="2022-01-05T10:30:00"/>
    <d v="2022-01-05T00:00:00"/>
    <x v="11"/>
    <x v="11"/>
    <s v=" ThreadWeaver      "/>
    <s v=" Instagram "/>
    <x v="1"/>
    <s v=" #Ambivalence #ConflictingFeelings        "/>
    <n v="12"/>
    <n v="25"/>
    <n v="37"/>
    <s v=" UK            "/>
    <x v="2"/>
  </r>
  <r>
    <x v="74"/>
    <x v="0"/>
    <n v="1"/>
    <d v="2021-08-20T16:20:00"/>
    <d v="2021-08-20T00:00:00"/>
    <x v="94"/>
    <x v="24"/>
    <s v=" SelfLoveAdvocate  "/>
    <s v=" Facebook "/>
    <x v="2"/>
    <s v=" #Acceptance #SelfLoveJourney              "/>
    <n v="15"/>
    <n v="30"/>
    <n v="45"/>
    <s v=" Australia    "/>
    <x v="3"/>
  </r>
  <r>
    <x v="75"/>
    <x v="0"/>
    <n v="1"/>
    <d v="2019-11-03T13:45:00"/>
    <d v="2019-11-03T00:00:00"/>
    <x v="95"/>
    <x v="62"/>
    <s v=" DreamChaser       "/>
    <s v=" Twitter  "/>
    <x v="0"/>
    <s v=" #Determination #DreamsIntoReality        "/>
    <n v="18"/>
    <n v="35"/>
    <n v="53"/>
    <s v=" USA          "/>
    <x v="0"/>
  </r>
  <r>
    <x v="76"/>
    <x v="0"/>
    <n v="1"/>
    <d v="2020-04-12T19:30:00"/>
    <d v="2020-04-12T00:00:00"/>
    <x v="62"/>
    <x v="7"/>
    <s v=" OceanSoul         "/>
    <s v=" Instagram "/>
    <x v="1"/>
    <s v=" #Serenity #OceanRetreat                   "/>
    <n v="25"/>
    <n v="50"/>
    <n v="75"/>
    <s v=" Canada        "/>
    <x v="1"/>
  </r>
  <r>
    <x v="67"/>
    <x v="2"/>
    <n v="0"/>
    <d v="2022-04-15T08:45:00"/>
    <d v="2022-04-15T00:00:00"/>
    <x v="98"/>
    <x v="1"/>
    <s v=" HorizonExplorer   "/>
    <s v=" Facebook "/>
    <x v="2"/>
    <s v=" #Curiosity #NewHorizons                  "/>
    <n v="22"/>
    <n v="45"/>
    <n v="67"/>
    <s v=" India         "/>
    <x v="4"/>
  </r>
  <r>
    <x v="68"/>
    <x v="2"/>
    <n v="0"/>
    <d v="2023-02-10T17:00:00"/>
    <d v="2023-02-10T00:00:00"/>
    <x v="37"/>
    <x v="34"/>
    <s v=" NonchalantSpirit  "/>
    <s v=" Twitter  "/>
    <x v="0"/>
    <s v=" #Indifference #DriftingThroughLife       "/>
    <n v="9"/>
    <n v="18"/>
    <n v="27"/>
    <s v=" UK            "/>
    <x v="2"/>
  </r>
  <r>
    <x v="69"/>
    <x v="2"/>
    <n v="0"/>
    <d v="2020-08-05T12:15:00"/>
    <d v="2020-08-05T00:00:00"/>
    <x v="99"/>
    <x v="64"/>
    <s v=" ComplexThinker    "/>
    <s v=" Instagram "/>
    <x v="1"/>
    <s v=" #Confusion #PerplexedMind                "/>
    <n v="14"/>
    <n v="28"/>
    <n v="42"/>
    <s v=" Australia    "/>
    <x v="3"/>
  </r>
  <r>
    <x v="70"/>
    <x v="2"/>
    <n v="0"/>
    <d v="2021-12-01T15:30:00"/>
    <d v="2021-12-01T00:00:00"/>
    <x v="71"/>
    <x v="49"/>
    <s v=" ShieldedHeart     "/>
    <s v=" Facebook "/>
    <x v="2"/>
    <s v=" #Numbness #EmotionalShield               "/>
    <n v="10"/>
    <n v="20"/>
    <n v="30"/>
    <s v=" USA          "/>
    <x v="0"/>
  </r>
  <r>
    <x v="71"/>
    <x v="1"/>
    <n v="-1"/>
    <d v="2019-03-25T21:00:00"/>
    <d v="2019-03-25T00:00:00"/>
    <x v="100"/>
    <x v="65"/>
    <s v=" SymphonySoul      "/>
    <s v=" Twitter  "/>
    <x v="0"/>
    <s v=" #Melancholy #WistfulHeart                "/>
    <n v="13"/>
    <n v="26"/>
    <n v="39"/>
    <s v=" Canada        "/>
    <x v="1"/>
  </r>
  <r>
    <x v="72"/>
    <x v="2"/>
    <n v="0"/>
    <d v="2017-06-18T14:45:00"/>
    <d v="2017-06-18T00:00:00"/>
    <x v="6"/>
    <x v="6"/>
    <s v=" YearbookExplorer  "/>
    <s v=" Instagram "/>
    <x v="1"/>
    <s v=" #Nostalgia #YearbookMemories            "/>
    <n v="12"/>
    <n v="25"/>
    <n v="37"/>
    <s v=" India         "/>
    <x v="4"/>
  </r>
  <r>
    <x v="73"/>
    <x v="2"/>
    <n v="0"/>
    <d v="2022-07-08T11:30:00"/>
    <d v="2022-07-08T00:00:00"/>
    <x v="18"/>
    <x v="18"/>
    <s v=" DecisiveDilemma   "/>
    <s v=" Facebook "/>
    <x v="2"/>
    <s v=" #Ambivalence #ShadesOfUncertainty       "/>
    <n v="15"/>
    <n v="30"/>
    <n v="45"/>
    <s v=" Australia    "/>
    <x v="3"/>
  </r>
  <r>
    <x v="74"/>
    <x v="0"/>
    <n v="1"/>
    <d v="2023-05-15T16:20:00"/>
    <d v="2023-05-15T00:00:00"/>
    <x v="25"/>
    <x v="24"/>
    <s v=" ImperfectHarmony  "/>
    <s v=" Twitter  "/>
    <x v="0"/>
    <s v=" #Acceptance #ImperfectJourney            "/>
    <n v="18"/>
    <n v="36"/>
    <n v="54"/>
    <s v=" Canada        "/>
    <x v="1"/>
  </r>
  <r>
    <x v="75"/>
    <x v="0"/>
    <n v="1"/>
    <d v="2021-09-10T14:45:00"/>
    <d v="2021-09-10T00:00:00"/>
    <x v="47"/>
    <x v="6"/>
    <s v=" VisionarySpirit   "/>
    <s v=" Instagram "/>
    <x v="1"/>
    <s v=" #Determination #UnparalleledHeights      "/>
    <n v="20"/>
    <n v="40"/>
    <n v="60"/>
    <s v=" UK            "/>
    <x v="2"/>
  </r>
  <r>
    <x v="76"/>
    <x v="0"/>
    <n v="1"/>
    <d v="2020-02-28T18:30:00"/>
    <d v="2020-02-28T00:00:00"/>
    <x v="85"/>
    <x v="36"/>
    <s v=" ForestDreamer     "/>
    <s v=" Facebook "/>
    <x v="2"/>
    <s v=" #Serenity #NatureWhispers                "/>
    <n v="25"/>
    <n v="50"/>
    <n v="75"/>
    <s v=" USA          "/>
    <x v="0"/>
  </r>
  <r>
    <x v="68"/>
    <x v="2"/>
    <n v="0"/>
    <d v="2023-03-10T16:30:00"/>
    <d v="2023-03-10T00:00:00"/>
    <x v="77"/>
    <x v="54"/>
    <s v=" SilentSpectator   "/>
    <s v=" Instagram "/>
    <x v="1"/>
    <s v=" #Indifference #SilentObserver            "/>
    <n v="9"/>
    <n v="18"/>
    <n v="27"/>
    <s v=" India         "/>
    <x v="4"/>
  </r>
  <r>
    <x v="69"/>
    <x v="2"/>
    <n v="0"/>
    <d v="2021-05-02T11:45:00"/>
    <d v="2021-05-02T00:00:00"/>
    <x v="79"/>
    <x v="55"/>
    <s v=" MazeNavigator     "/>
    <s v=" Facebook "/>
    <x v="2"/>
    <s v=" #Confusion #ThoughtLabyrinth              "/>
    <n v="14"/>
    <n v="28"/>
    <n v="42"/>
    <s v=" Australia    "/>
    <x v="3"/>
  </r>
  <r>
    <x v="70"/>
    <x v="2"/>
    <n v="0"/>
    <d v="2019-10-18T14:30:00"/>
    <d v="2019-10-18T00:00:00"/>
    <x v="23"/>
    <x v="22"/>
    <s v=" ResilientFortress "/>
    <s v=" Twitter  "/>
    <x v="0"/>
    <s v=" #Numbness #StoicResilience               "/>
    <n v="11"/>
    <n v="22"/>
    <n v="33"/>
    <s v=" UK            "/>
    <x v="2"/>
  </r>
  <r>
    <x v="71"/>
    <x v="1"/>
    <n v="-1"/>
    <d v="2020-01-05T20:00:00"/>
    <d v="2020-01-05T00:00:00"/>
    <x v="34"/>
    <x v="31"/>
    <s v=" CanvasDreamer     "/>
    <s v=" Instagram "/>
    <x v="1"/>
    <s v=" #Melancholy #BittersweetMemories         "/>
    <n v="13"/>
    <n v="26"/>
    <n v="39"/>
    <s v=" USA          "/>
    <x v="0"/>
  </r>
  <r>
    <x v="72"/>
    <x v="2"/>
    <n v="0"/>
    <d v="2018-08-10T15:45:00"/>
    <d v="2018-08-10T00:00:00"/>
    <x v="39"/>
    <x v="2"/>
    <s v=" DiaryExplorer     "/>
    <s v=" Facebook "/>
    <x v="2"/>
    <s v=" #Nostalgia #DiaryJourney                 "/>
    <n v="12"/>
    <n v="25"/>
    <n v="37"/>
    <s v=" Canada        "/>
    <x v="1"/>
  </r>
  <r>
    <x v="73"/>
    <x v="2"/>
    <n v="0"/>
    <d v="2022-01-15T10:30:00"/>
    <d v="2022-01-15T00:00:00"/>
    <x v="11"/>
    <x v="11"/>
    <s v=" CrossroadsTraveler "/>
    <s v=" Twitter  "/>
    <x v="0"/>
    <s v=" #Ambivalence #ConflictingEmotions        "/>
    <n v="15"/>
    <n v="30"/>
    <n v="45"/>
    <s v=" India         "/>
    <x v="4"/>
  </r>
  <r>
    <x v="74"/>
    <x v="0"/>
    <n v="1"/>
    <d v="2021-07-20T16:20:00"/>
    <d v="2021-07-20T00:00:00"/>
    <x v="25"/>
    <x v="24"/>
    <s v=" MosaicDreamer     "/>
    <s v=" Instagram "/>
    <x v="1"/>
    <s v=" #Acceptance #BeautifulChaos              "/>
    <n v="18"/>
    <n v="36"/>
    <n v="54"/>
    <s v=" Australia     "/>
    <x v="3"/>
  </r>
  <r>
    <x v="75"/>
    <x v="0"/>
    <n v="1"/>
    <d v="2019-12-03T13:45:00"/>
    <d v="2019-12-03T00:00:00"/>
    <x v="95"/>
    <x v="62"/>
    <s v=" PathfinderSpirit  "/>
    <s v=" Facebook "/>
    <x v="2"/>
    <s v=" #Determination #ExtraordinaryPath        "/>
    <n v="20"/>
    <n v="40"/>
    <n v="60"/>
    <s v=" USA          "/>
    <x v="0"/>
  </r>
  <r>
    <x v="76"/>
    <x v="0"/>
    <n v="1"/>
    <d v="2020-04-12T19:30:00"/>
    <d v="2020-04-12T00:00:00"/>
    <x v="62"/>
    <x v="7"/>
    <s v=" RaindropHarmony   "/>
    <s v=" Twitter  "/>
    <x v="0"/>
    <s v=" #Serenity #RaindropMelody                "/>
    <n v="25"/>
    <n v="50"/>
    <n v="75"/>
    <s v=" Canada        "/>
    <x v="1"/>
  </r>
  <r>
    <x v="67"/>
    <x v="2"/>
    <n v="0"/>
    <d v="2022-05-08T08:45:00"/>
    <d v="2022-05-08T00:00:00"/>
    <x v="1"/>
    <x v="1"/>
    <s v=" SeekerOfUnknowns  "/>
    <s v=" Instagram "/>
    <x v="1"/>
    <s v=" #Curiosity #SeekerOfKnowledge            "/>
    <n v="22"/>
    <n v="45"/>
    <n v="67"/>
    <s v=" UK            "/>
    <x v="2"/>
  </r>
  <r>
    <x v="68"/>
    <x v="2"/>
    <n v="0"/>
    <d v="2023-02-22T17:00:00"/>
    <d v="2023-02-22T00:00:00"/>
    <x v="37"/>
    <x v="34"/>
    <s v=" NonchalantWanderer"/>
    <s v=" Facebook "/>
    <x v="2"/>
    <s v=" #Indifference #DriftingThroughLife       "/>
    <n v="9"/>
    <n v="18"/>
    <n v="27"/>
    <s v=" India         "/>
    <x v="4"/>
  </r>
  <r>
    <x v="69"/>
    <x v="2"/>
    <n v="0"/>
    <d v="2020-06-05T12:15:00"/>
    <d v="2020-06-05T00:00:00"/>
    <x v="101"/>
    <x v="64"/>
    <s v=" ShadowedSeeker    "/>
    <s v=" Twitter  "/>
    <x v="0"/>
    <s v=" #Confusion #LabyrinthOfThoughts          "/>
    <n v="14"/>
    <n v="28"/>
    <n v="42"/>
    <s v=" Australia    "/>
    <x v="3"/>
  </r>
  <r>
    <x v="70"/>
    <x v="2"/>
    <n v="0"/>
    <d v="2021-11-30T15:30:00"/>
    <d v="2021-11-30T00:00:00"/>
    <x v="78"/>
    <x v="49"/>
    <s v=" TurbulentShield   "/>
    <s v=" Instagram "/>
    <x v="1"/>
    <s v=" #Numbness #EmotionalStorms               "/>
    <n v="10"/>
    <n v="20"/>
    <n v="30"/>
    <s v=" Canada        "/>
    <x v="1"/>
  </r>
  <r>
    <x v="71"/>
    <x v="1"/>
    <n v="-1"/>
    <d v="2019-02-25T21:00:00"/>
    <d v="2019-02-25T00:00:00"/>
    <x v="100"/>
    <x v="65"/>
    <s v=" WistfulPainter    "/>
    <s v=" Facebook "/>
    <x v="2"/>
    <s v=" #Melancholy #WistfulYearning             "/>
    <n v="13"/>
    <n v="26"/>
    <n v="39"/>
    <s v=" UK            "/>
    <x v="2"/>
  </r>
  <r>
    <x v="72"/>
    <x v="2"/>
    <n v="0"/>
    <d v="2017-05-18T14:45:00"/>
    <d v="2017-05-18T00:00:00"/>
    <x v="47"/>
    <x v="6"/>
    <s v=" TaleWeaver        "/>
    <s v=" Twitter  "/>
    <x v="0"/>
    <s v=" #Nostalgia #PhotoAlbumStories            "/>
    <n v="12"/>
    <n v="25"/>
    <n v="37"/>
    <s v=" USA          "/>
    <x v="0"/>
  </r>
  <r>
    <x v="73"/>
    <x v="2"/>
    <n v="0"/>
    <d v="2022-08-05T11:30:00"/>
    <d v="2022-08-05T00:00:00"/>
    <x v="18"/>
    <x v="18"/>
    <s v=" CrossroadsExplorer"/>
    <s v=" Instagram "/>
    <x v="1"/>
    <s v=" #Ambivalence #CrossroadsConfusion        "/>
    <n v="15"/>
    <n v="30"/>
    <n v="45"/>
    <s v=" Canada        "/>
    <x v="1"/>
  </r>
  <r>
    <x v="74"/>
    <x v="0"/>
    <n v="1"/>
    <d v="2023-06-15T16:20:00"/>
    <d v="2023-06-15T00:00:00"/>
    <x v="94"/>
    <x v="24"/>
    <s v=" MosaicArtist      "/>
    <s v=" Facebook "/>
    <x v="2"/>
    <s v=" #Acceptance #UnpredictableArt            "/>
    <n v="18"/>
    <n v="36"/>
    <n v="54"/>
    <s v=" Australia    "/>
    <x v="3"/>
  </r>
  <r>
    <x v="75"/>
    <x v="0"/>
    <n v="1"/>
    <d v="2021-10-10T14:45:00"/>
    <d v="2021-10-10T00:00:00"/>
    <x v="47"/>
    <x v="6"/>
    <s v=" DreamSculptor     "/>
    <s v=" Twitter  "/>
    <x v="0"/>
    <s v=" #Determination #SculptingDreams          "/>
    <n v="20"/>
    <n v="40"/>
    <n v="60"/>
    <s v=" UK            "/>
    <x v="2"/>
  </r>
  <r>
    <x v="76"/>
    <x v="0"/>
    <n v="1"/>
    <d v="2020-05-12T19:30:00"/>
    <d v="2020-05-12T00:00:00"/>
    <x v="62"/>
    <x v="7"/>
    <s v=" MoonlitSoul       "/>
    <s v=" Instagram "/>
    <x v="1"/>
    <s v=" #Serenity #MoonlitPeace                  "/>
    <n v="25"/>
    <n v="50"/>
    <n v="75"/>
    <s v=" USA          "/>
    <x v="0"/>
  </r>
  <r>
    <x v="67"/>
    <x v="2"/>
    <n v="0"/>
    <d v="2022-12-01T09:15:00"/>
    <d v="2022-12-01T00:00:00"/>
    <x v="22"/>
    <x v="21"/>
    <s v=" FearlessExplorer  "/>
    <s v=" Facebook "/>
    <x v="2"/>
    <s v=" #Curiosity #FearlessExplorer              "/>
    <n v="22"/>
    <n v="44"/>
    <n v="66"/>
    <s v=" India         "/>
    <x v="4"/>
  </r>
  <r>
    <x v="77"/>
    <x v="2"/>
    <n v="0"/>
    <d v="2021-11-30T15:30:00"/>
    <d v="2021-11-30T00:00:00"/>
    <x v="78"/>
    <x v="49"/>
    <s v=" TurbulentShield "/>
    <s v=" Instagram "/>
    <x v="1"/>
    <s v=" #Numbness #EmotionalStorms "/>
    <n v="10"/>
    <n v="20"/>
    <n v="30"/>
    <s v=" Canada "/>
    <x v="1"/>
  </r>
  <r>
    <x v="78"/>
    <x v="0"/>
    <n v="1"/>
    <d v="2018-07-12T17:45:00"/>
    <d v="2018-07-12T00:00:00"/>
    <x v="102"/>
    <x v="48"/>
    <s v=" JoyfulDancer "/>
    <s v=" Twitter "/>
    <x v="0"/>
    <s v=" #Zest #CarefreeSpirit "/>
    <n v="15"/>
    <n v="30"/>
    <n v="45"/>
    <s v=" USA "/>
    <x v="0"/>
  </r>
  <r>
    <x v="79"/>
    <x v="0"/>
    <n v="1"/>
    <d v="2020-09-05T20:10:00"/>
    <d v="2020-09-05T00:00:00"/>
    <x v="103"/>
    <x v="66"/>
    <s v=" SereneBasker "/>
    <s v=" Facebook "/>
    <x v="2"/>
    <s v=" #Contentment #GoldenGlow "/>
    <n v="18"/>
    <n v="36"/>
    <n v="54"/>
    <s v=" Australia "/>
    <x v="3"/>
  </r>
  <r>
    <x v="80"/>
    <x v="0"/>
    <n v="1"/>
    <d v="2022-04-18T08:00:00"/>
    <d v="2022-04-18T00:00:00"/>
    <x v="8"/>
    <x v="8"/>
    <s v=" DreamPainter "/>
    <s v=" Instagram "/>
    <x v="1"/>
    <s v=" #Hopeful #CanvasOfDreams "/>
    <n v="12"/>
    <n v="24"/>
    <n v="36"/>
    <s v=" India "/>
    <x v="4"/>
  </r>
  <r>
    <x v="81"/>
    <x v="2"/>
    <n v="0"/>
    <d v="2019-12-10T12:20:00"/>
    <d v="2019-12-10T00:00:00"/>
    <x v="9"/>
    <x v="9"/>
    <s v=" OakAchiever "/>
    <s v=" Twitter "/>
    <x v="0"/>
    <s v=" #Proud #BranchesOfAchievement "/>
    <n v="25"/>
    <n v="50"/>
    <n v="75"/>
    <s v=" Canada "/>
    <x v="1"/>
  </r>
  <r>
    <x v="82"/>
    <x v="0"/>
    <n v="1"/>
    <d v="2023-02-28T09:45:00"/>
    <d v="2023-02-28T00:00:00"/>
    <x v="14"/>
    <x v="14"/>
    <s v=" HeartGardener "/>
    <s v=" Facebook "/>
    <x v="2"/>
    <s v=" #Grateful #BlossomingConnection "/>
    <n v="20"/>
    <n v="40"/>
    <n v="60"/>
    <s v=" USA "/>
    <x v="0"/>
  </r>
  <r>
    <x v="83"/>
    <x v="2"/>
    <n v="0"/>
    <d v="2018-04-03T14:15:00"/>
    <d v="2018-04-03T00:00:00"/>
    <x v="104"/>
    <x v="67"/>
    <s v=" ThreadWeaver "/>
    <s v=" Instagram "/>
    <x v="1"/>
    <s v=" #Empathetic #TapestryOfUnderstanding "/>
    <n v="15"/>
    <n v="30"/>
    <n v="45"/>
    <s v=" UK "/>
    <x v="2"/>
  </r>
  <r>
    <x v="84"/>
    <x v="0"/>
    <n v="1"/>
    <d v="2022-06-20T10:30:00"/>
    <d v="2022-06-20T00:00:00"/>
    <x v="11"/>
    <x v="11"/>
    <s v=" CloudCaretaker "/>
    <s v=" Twitter "/>
    <x v="0"/>
    <s v=" #Compassionate #ShowerOfEmpathy "/>
    <n v="18"/>
    <n v="36"/>
    <n v="54"/>
    <s v=" Australia "/>
    <x v="3"/>
  </r>
  <r>
    <x v="85"/>
    <x v="0"/>
    <n v="1"/>
    <d v="2020-07-08T18:00:00"/>
    <d v="2020-07-08T00:00:00"/>
    <x v="13"/>
    <x v="13"/>
    <s v=" RainDancer "/>
    <s v=" Facebook "/>
    <x v="2"/>
    <s v=" #Playful #DanceInTheRain "/>
    <n v="22"/>
    <n v="44"/>
    <n v="66"/>
    <s v=" Canada "/>
    <x v="1"/>
  </r>
  <r>
    <x v="86"/>
    <x v="0"/>
    <n v="1"/>
    <d v="2021-08-15T11:10:00"/>
    <d v="2021-08-15T00:00:00"/>
    <x v="105"/>
    <x v="68"/>
    <s v=" SkyPainter "/>
    <s v=" Instagram "/>
    <x v="1"/>
    <s v=" #FreeSpirit #PaintingTheSky "/>
    <n v="20"/>
    <n v="40"/>
    <n v="60"/>
    <s v=" India "/>
    <x v="4"/>
  </r>
  <r>
    <x v="87"/>
    <x v="0"/>
    <n v="1"/>
    <d v="2019-10-25T16:50:00"/>
    <d v="2019-10-25T00:00:00"/>
    <x v="106"/>
    <x v="69"/>
    <s v=" PhoenixExplorer "/>
    <s v=" Twitter "/>
    <x v="0"/>
    <s v=" #Inspired #CreativePhoenix "/>
    <n v="15"/>
    <n v="30"/>
    <n v="45"/>
    <s v=" UK "/>
    <x v="2"/>
  </r>
  <r>
    <x v="80"/>
    <x v="0"/>
    <n v="1"/>
    <d v="2023-10-05T07:30:00"/>
    <d v="2023-10-05T00:00:00"/>
    <x v="55"/>
    <x v="46"/>
    <s v=" SunriseNavigator "/>
    <s v=" Facebook "/>
    <x v="2"/>
    <s v=" #Hopeful #SunriseOfPossibilities "/>
    <n v="12"/>
    <n v="24"/>
    <n v="36"/>
    <s v=" USA "/>
    <x v="0"/>
  </r>
  <r>
    <x v="88"/>
    <x v="0"/>
    <n v="1"/>
    <d v="2022-02-15T13:15:00"/>
    <d v="2022-02-15T00:00:00"/>
    <x v="30"/>
    <x v="28"/>
    <s v=" SandStrider "/>
    <s v=" Instagram "/>
    <x v="1"/>
    <s v=" #Confident #FootprintsOfAssuredness "/>
    <n v="25"/>
    <n v="50"/>
    <n v="75"/>
    <s v=" Australia "/>
    <x v="3"/>
  </r>
  <r>
    <x v="89"/>
    <x v="0"/>
    <n v="1"/>
    <d v="2021-05-08T22:00:00"/>
    <d v="2021-05-08T00:00:00"/>
    <x v="107"/>
    <x v="70"/>
    <s v=" NightSerenader "/>
    <s v=" Twitter "/>
    <x v="0"/>
    <s v=" #Serenity #MoonlitSerenade "/>
    <n v="13"/>
    <n v="26"/>
    <n v="39"/>
    <s v=" Canada "/>
    <x v="1"/>
  </r>
  <r>
    <x v="90"/>
    <x v="2"/>
    <n v="0"/>
    <d v="2020-11-29T14:45:00"/>
    <d v="2020-11-29T00:00:00"/>
    <x v="6"/>
    <x v="6"/>
    <s v=" KnowledgeSeeker "/>
    <s v=" Instagram "/>
    <x v="1"/>
    <s v=" #Curiosity #LabyrinthOfQuestions "/>
    <n v="17"/>
    <n v="34"/>
    <n v="51"/>
    <s v=" USA "/>
    <x v="0"/>
  </r>
  <r>
    <x v="91"/>
    <x v="2"/>
    <n v="0"/>
    <d v="2019-09-14T10:20:00"/>
    <d v="2019-09-14T00:00:00"/>
    <x v="108"/>
    <x v="71"/>
    <s v=" BreezeWaltzer "/>
    <s v=" Facebook "/>
    <x v="2"/>
    <s v=" #Ambivalence #AutumnWaltz "/>
    <n v="14"/>
    <n v="28"/>
    <n v="42"/>
    <s v=" UK "/>
    <x v="2"/>
  </r>
  <r>
    <x v="82"/>
    <x v="0"/>
    <n v="1"/>
    <d v="2022-03-12T19:55:00"/>
    <d v="2022-03-12T00:00:00"/>
    <x v="109"/>
    <x v="4"/>
    <s v=" StarNavigator "/>
    <s v=" Twitter "/>
    <x v="0"/>
    <s v=" #Grateful #GuidingStar "/>
    <n v="19"/>
    <n v="38"/>
    <n v="57"/>
    <s v=" Australia "/>
    <x v="3"/>
  </r>
  <r>
    <x v="78"/>
    <x v="0"/>
    <n v="1"/>
    <d v="2023-03-30T16:30:00"/>
    <d v="2023-03-30T00:00:00"/>
    <x v="77"/>
    <x v="54"/>
    <s v=" MeadowSprinter "/>
    <s v=" Instagram "/>
    <x v="1"/>
    <s v=" #Zest #FieldsOfEnthusiasm "/>
    <n v="16"/>
    <n v="32"/>
    <n v="48"/>
    <s v=" India "/>
    <x v="4"/>
  </r>
  <r>
    <x v="84"/>
    <x v="0"/>
    <n v="1"/>
    <d v="2021-07-01T12:10:00"/>
    <d v="2021-07-01T00:00:00"/>
    <x v="110"/>
    <x v="72"/>
    <s v=" RainNurturer "/>
    <s v=" Facebook "/>
    <x v="2"/>
    <s v=" #Compassionate #TearsOfEmpathy "/>
    <n v="21"/>
    <n v="42"/>
    <n v="63"/>
    <s v=" Canada "/>
    <x v="1"/>
  </r>
  <r>
    <x v="81"/>
    <x v="2"/>
    <n v="0"/>
    <d v="2020-01-05T08:45:00"/>
    <d v="2020-01-05T00:00:00"/>
    <x v="1"/>
    <x v="1"/>
    <s v=" PeakConqueror "/>
    <s v=" Twitter "/>
    <x v="0"/>
    <s v=" #Proud #ScalingPeaks "/>
    <n v="23"/>
    <n v="46"/>
    <n v="69"/>
    <s v=" USA "/>
    <x v="0"/>
  </r>
  <r>
    <x v="80"/>
    <x v="0"/>
    <n v="1"/>
    <d v="2022-07-17T06:15:00"/>
    <d v="2022-07-17T00:00:00"/>
    <x v="111"/>
    <x v="73"/>
    <s v=" DawnGardener "/>
    <s v=" Instagram "/>
    <x v="1"/>
    <s v=" #Hopeful #SeedsOfOptimism "/>
    <n v="14"/>
    <n v="28"/>
    <n v="42"/>
    <s v=" UK "/>
    <x v="2"/>
  </r>
  <r>
    <x v="85"/>
    <x v="0"/>
    <n v="1"/>
    <d v="2018-08-22T17:20:00"/>
    <d v="2018-08-22T00:00:00"/>
    <x v="112"/>
    <x v="74"/>
    <s v=" CarnivalDreamer "/>
    <s v=" Facebook "/>
    <x v="2"/>
    <s v=" #Playful #CarnivalEscapade "/>
    <n v="24"/>
    <n v="48"/>
    <n v="72"/>
    <s v=" Australia "/>
    <x v="3"/>
  </r>
  <r>
    <x v="87"/>
    <x v="0"/>
    <n v="1"/>
    <d v="2021-12-08T14:30:00"/>
    <d v="2021-12-08T00:00:00"/>
    <x v="23"/>
    <x v="22"/>
    <s v=" SkyArtist "/>
    <s v=" Twitter "/>
    <x v="0"/>
    <s v=" #Inspired #CloudsOfCreativity "/>
    <n v="18"/>
    <n v="36"/>
    <n v="54"/>
    <s v=" India "/>
    <x v="4"/>
  </r>
  <r>
    <x v="79"/>
    <x v="0"/>
    <n v="1"/>
    <d v="2019-04-27T09:50:00"/>
    <d v="2019-04-27T00:00:00"/>
    <x v="113"/>
    <x v="75"/>
    <s v=" RiverNavigator "/>
    <s v=" Instagram "/>
    <x v="1"/>
    <s v=" #Contentment #TranquilWaters "/>
    <n v="20"/>
    <n v="40"/>
    <n v="60"/>
    <s v=" Canada "/>
    <x v="1"/>
  </r>
  <r>
    <x v="83"/>
    <x v="2"/>
    <n v="0"/>
    <d v="2023-09-03T21:40:00"/>
    <d v="2023-09-03T00:00:00"/>
    <x v="114"/>
    <x v="76"/>
    <s v=" LanternWanderer "/>
    <s v=" Facebook "/>
    <x v="2"/>
    <s v=" #Empathetic #LanternOfCompassion "/>
    <n v="16"/>
    <n v="32"/>
    <n v="48"/>
    <s v=" USA "/>
    <x v="0"/>
  </r>
  <r>
    <x v="86"/>
    <x v="0"/>
    <n v="1"/>
    <d v="2020-06-10T10:05:00"/>
    <d v="2020-06-10T00:00:00"/>
    <x v="115"/>
    <x v="77"/>
    <s v=" DreamSoarer "/>
    <s v=" Twitter "/>
    <x v="0"/>
    <s v=" #FreeSpirit #WingsOfDreams "/>
    <n v="22"/>
    <n v="44"/>
    <n v="66"/>
    <s v=" UK "/>
    <x v="2"/>
  </r>
  <r>
    <x v="82"/>
    <x v="0"/>
    <n v="1"/>
    <d v="2022-04-01T18:30:00"/>
    <d v="2022-04-01T00:00:00"/>
    <x v="40"/>
    <x v="36"/>
    <s v=" SunsetAdmirer "/>
    <s v=" Instagram "/>
    <x v="1"/>
    <s v=" #Grateful #GoldenHues "/>
    <n v="19"/>
    <n v="38"/>
    <n v="57"/>
    <s v=" Australia "/>
    <x v="3"/>
  </r>
  <r>
    <x v="88"/>
    <x v="0"/>
    <n v="1"/>
    <d v="2021-01-15T13:00:00"/>
    <d v="2021-01-15T00:00:00"/>
    <x v="116"/>
    <x v="78"/>
    <s v=" DanceStrider "/>
    <s v=" Facebook "/>
    <x v="2"/>
    <s v=" #Confident #DanceOfLife "/>
    <n v="23"/>
    <n v="46"/>
    <n v="69"/>
    <s v=" Canada "/>
    <x v="1"/>
  </r>
  <r>
    <x v="80"/>
    <x v="0"/>
    <n v="1"/>
    <d v="2023-05-06T07:20:00"/>
    <d v="2023-05-06T00:00:00"/>
    <x v="117"/>
    <x v="79"/>
    <s v=" WindWhisperer "/>
    <s v=" Twitter "/>
    <x v="0"/>
    <s v=" #Hopeful #BrighterTomorrows "/>
    <n v="15"/>
    <n v="30"/>
    <n v="45"/>
    <s v=" India "/>
    <x v="4"/>
  </r>
  <r>
    <x v="85"/>
    <x v="0"/>
    <n v="1"/>
    <d v="2019-11-18T15:15:00"/>
    <d v="2019-11-18T00:00:00"/>
    <x v="10"/>
    <x v="10"/>
    <s v=" JugglingArtist "/>
    <s v=" Instagram "/>
    <x v="1"/>
    <s v=" #Playful #JugglingResponsibilities "/>
    <n v="25"/>
    <n v="50"/>
    <n v="75"/>
    <s v=" USA "/>
    <x v="0"/>
  </r>
  <r>
    <x v="87"/>
    <x v="0"/>
    <n v="1"/>
    <d v="2020-08-29T20:45:00"/>
    <d v="2020-08-29T00:00:00"/>
    <x v="93"/>
    <x v="61"/>
    <s v=" StarStoryteller "/>
    <s v=" Facebook "/>
    <x v="2"/>
    <s v=" #Inspired #TalesToTheStars "/>
    <n v="14"/>
    <n v="28"/>
    <n v="42"/>
    <s v=" UK "/>
    <x v="2"/>
  </r>
  <r>
    <x v="80"/>
    <x v="0"/>
    <n v="1"/>
    <d v="2022-10-30T11:40:00"/>
    <d v="2022-10-30T00:00:00"/>
    <x v="118"/>
    <x v="80"/>
    <s v=" WaveNavigator "/>
    <s v=" Twitter "/>
    <x v="0"/>
    <s v=" #Hopeful #SailorOfDreams "/>
    <n v="17"/>
    <n v="34"/>
    <n v="51"/>
    <s v=" Australia "/>
    <x v="3"/>
  </r>
  <r>
    <x v="84"/>
    <x v="0"/>
    <n v="1"/>
    <d v="2021-07-01T12:10:00"/>
    <d v="2021-07-01T00:00:00"/>
    <x v="110"/>
    <x v="72"/>
    <s v=" RainNurturer "/>
    <s v=" Instagram "/>
    <x v="1"/>
    <s v=" #Compassionate #TearsOfEmpathy "/>
    <n v="21"/>
    <n v="42"/>
    <n v="63"/>
    <s v=" Canada "/>
    <x v="1"/>
  </r>
  <r>
    <x v="81"/>
    <x v="2"/>
    <n v="0"/>
    <d v="2020-01-05T08:45:00"/>
    <d v="2020-01-05T00:00:00"/>
    <x v="1"/>
    <x v="1"/>
    <s v=" PeakConqueror "/>
    <s v=" Twitter "/>
    <x v="0"/>
    <s v=" #Proud #ScalingPeaks "/>
    <n v="23"/>
    <n v="46"/>
    <n v="69"/>
    <s v=" USA "/>
    <x v="0"/>
  </r>
  <r>
    <x v="80"/>
    <x v="0"/>
    <n v="1"/>
    <d v="2022-07-17T06:15:00"/>
    <d v="2022-07-17T00:00:00"/>
    <x v="111"/>
    <x v="73"/>
    <s v=" DawnGardener "/>
    <s v=" Instagram "/>
    <x v="1"/>
    <s v=" #Hopeful #SeedsOfOptimism "/>
    <n v="14"/>
    <n v="28"/>
    <n v="42"/>
    <s v=" UK "/>
    <x v="2"/>
  </r>
  <r>
    <x v="85"/>
    <x v="0"/>
    <n v="1"/>
    <d v="2018-08-22T17:20:00"/>
    <d v="2018-08-22T00:00:00"/>
    <x v="112"/>
    <x v="74"/>
    <s v=" CarnivalDreamer "/>
    <s v=" Facebook "/>
    <x v="2"/>
    <s v=" #Playful #CarnivalEscapade "/>
    <n v="24"/>
    <n v="48"/>
    <n v="72"/>
    <s v=" Australia "/>
    <x v="3"/>
  </r>
  <r>
    <x v="87"/>
    <x v="0"/>
    <n v="1"/>
    <d v="2021-12-08T14:30:00"/>
    <d v="2021-12-08T00:00:00"/>
    <x v="23"/>
    <x v="22"/>
    <s v=" SkyArtist "/>
    <s v=" Twitter "/>
    <x v="0"/>
    <s v=" #Inspired #CloudsOfCreativity "/>
    <n v="18"/>
    <n v="36"/>
    <n v="54"/>
    <s v=" India "/>
    <x v="4"/>
  </r>
  <r>
    <x v="79"/>
    <x v="0"/>
    <n v="1"/>
    <d v="2019-04-27T09:50:00"/>
    <d v="2019-04-27T00:00:00"/>
    <x v="113"/>
    <x v="75"/>
    <s v=" RiverNavigator "/>
    <s v=" Instagram "/>
    <x v="1"/>
    <s v=" #Contentment #TranquilWaters "/>
    <n v="20"/>
    <n v="40"/>
    <n v="60"/>
    <s v=" Canada "/>
    <x v="1"/>
  </r>
  <r>
    <x v="83"/>
    <x v="2"/>
    <n v="0"/>
    <d v="2023-09-03T21:40:00"/>
    <d v="2023-09-03T00:00:00"/>
    <x v="114"/>
    <x v="76"/>
    <s v=" LanternWanderer "/>
    <s v=" Facebook "/>
    <x v="2"/>
    <s v=" #Empathetic #LanternOfCompassion "/>
    <n v="16"/>
    <n v="32"/>
    <n v="48"/>
    <s v=" USA "/>
    <x v="0"/>
  </r>
  <r>
    <x v="86"/>
    <x v="0"/>
    <n v="1"/>
    <d v="2020-06-10T10:05:00"/>
    <d v="2020-06-10T00:00:00"/>
    <x v="115"/>
    <x v="77"/>
    <s v=" DreamSoarer "/>
    <s v=" Twitter "/>
    <x v="0"/>
    <s v=" #FreeSpirit #WingsOfDreams "/>
    <n v="22"/>
    <n v="44"/>
    <n v="66"/>
    <s v=" UK "/>
    <x v="2"/>
  </r>
  <r>
    <x v="82"/>
    <x v="0"/>
    <n v="1"/>
    <d v="2022-04-01T18:30:00"/>
    <d v="2022-04-01T00:00:00"/>
    <x v="40"/>
    <x v="36"/>
    <s v=" SunsetAdmirer "/>
    <s v=" Instagram "/>
    <x v="1"/>
    <s v=" #Grateful #GoldenHues "/>
    <n v="19"/>
    <n v="38"/>
    <n v="57"/>
    <s v=" Australia "/>
    <x v="3"/>
  </r>
  <r>
    <x v="88"/>
    <x v="0"/>
    <n v="1"/>
    <d v="2021-01-15T13:00:00"/>
    <d v="2021-01-15T00:00:00"/>
    <x v="116"/>
    <x v="78"/>
    <s v=" DanceStrider "/>
    <s v=" Facebook "/>
    <x v="2"/>
    <s v=" #Confident #DanceOfLife "/>
    <n v="23"/>
    <n v="46"/>
    <n v="69"/>
    <s v=" Canada "/>
    <x v="1"/>
  </r>
  <r>
    <x v="80"/>
    <x v="0"/>
    <n v="1"/>
    <d v="2023-05-06T07:20:00"/>
    <d v="2023-05-06T00:00:00"/>
    <x v="117"/>
    <x v="79"/>
    <s v=" WindWhisperer "/>
    <s v=" Twitter "/>
    <x v="0"/>
    <s v=" #Hopeful #BrighterTomorrows "/>
    <n v="15"/>
    <n v="30"/>
    <n v="45"/>
    <s v=" India "/>
    <x v="4"/>
  </r>
  <r>
    <x v="85"/>
    <x v="0"/>
    <n v="1"/>
    <d v="2019-11-18T15:15:00"/>
    <d v="2019-11-18T00:00:00"/>
    <x v="10"/>
    <x v="10"/>
    <s v=" JugglingArtist "/>
    <s v=" Instagram "/>
    <x v="1"/>
    <s v=" #Playful #JugglingResponsibilities "/>
    <n v="25"/>
    <n v="50"/>
    <n v="75"/>
    <s v=" USA "/>
    <x v="0"/>
  </r>
  <r>
    <x v="87"/>
    <x v="0"/>
    <n v="1"/>
    <d v="2020-08-29T20:45:00"/>
    <d v="2020-08-29T00:00:00"/>
    <x v="93"/>
    <x v="61"/>
    <s v=" StarStoryteller "/>
    <s v=" Facebook "/>
    <x v="2"/>
    <s v=" #Inspired #TalesToTheStars "/>
    <n v="14"/>
    <n v="28"/>
    <n v="42"/>
    <s v=" UK "/>
    <x v="2"/>
  </r>
  <r>
    <x v="80"/>
    <x v="0"/>
    <n v="1"/>
    <d v="2022-10-30T11:40:00"/>
    <d v="2022-10-30T00:00:00"/>
    <x v="118"/>
    <x v="80"/>
    <s v=" WaveNavigator "/>
    <s v=" Twitter "/>
    <x v="0"/>
    <s v=" #Hopeful #SailorOfDreams "/>
    <n v="17"/>
    <n v="34"/>
    <n v="51"/>
    <s v=" Australia "/>
    <x v="3"/>
  </r>
  <r>
    <x v="84"/>
    <x v="0"/>
    <n v="1"/>
    <d v="2021-07-01T12:10:00"/>
    <d v="2021-07-01T00:00:00"/>
    <x v="110"/>
    <x v="72"/>
    <s v=" RainNurturer "/>
    <s v=" Instagram "/>
    <x v="1"/>
    <s v=" #Compassionate #TearsOfEmpathy "/>
    <n v="21"/>
    <n v="42"/>
    <n v="63"/>
    <s v=" Canada "/>
    <x v="1"/>
  </r>
  <r>
    <x v="81"/>
    <x v="2"/>
    <n v="0"/>
    <d v="2020-01-05T08:45:00"/>
    <d v="2020-01-05T00:00:00"/>
    <x v="1"/>
    <x v="1"/>
    <s v=" PeakConqueror "/>
    <s v=" Twitter "/>
    <x v="0"/>
    <s v=" #Proud #ScalingPeaks "/>
    <n v="23"/>
    <n v="46"/>
    <n v="69"/>
    <s v=" USA "/>
    <x v="0"/>
  </r>
  <r>
    <x v="80"/>
    <x v="0"/>
    <n v="1"/>
    <d v="2022-07-17T06:15:00"/>
    <d v="2022-07-17T00:00:00"/>
    <x v="111"/>
    <x v="73"/>
    <s v=" DawnGardener "/>
    <s v=" Instagram "/>
    <x v="1"/>
    <s v=" #Hopeful #SeedsOfOptimism "/>
    <n v="14"/>
    <n v="28"/>
    <n v="42"/>
    <s v=" India "/>
    <x v="4"/>
  </r>
  <r>
    <x v="85"/>
    <x v="0"/>
    <n v="1"/>
    <d v="2018-08-22T17:20:00"/>
    <d v="2018-08-22T00:00:00"/>
    <x v="112"/>
    <x v="74"/>
    <s v=" CarnivalDreamer "/>
    <s v=" Facebook "/>
    <x v="2"/>
    <s v=" #Playful #CarnivalEscapade "/>
    <n v="24"/>
    <n v="48"/>
    <n v="72"/>
    <s v=" Australia "/>
    <x v="3"/>
  </r>
  <r>
    <x v="92"/>
    <x v="1"/>
    <n v="-1"/>
    <d v="2021-09-15T16:00:00"/>
    <d v="2021-09-15T00:00:00"/>
    <x v="51"/>
    <x v="44"/>
    <s v=" ShatteredHeart "/>
    <s v=" Instagram "/>
    <x v="1"/>
    <s v=" #Despair #EchoingSilence "/>
    <n v="8"/>
    <n v="16"/>
    <n v="24"/>
    <s v=" Canada "/>
    <x v="1"/>
  </r>
  <r>
    <x v="93"/>
    <x v="1"/>
    <n v="-1"/>
    <d v="2019-03-08T14:20:00"/>
    <d v="2019-03-08T00:00:00"/>
    <x v="32"/>
    <x v="29"/>
    <s v=" VenomousSoul "/>
    <s v=" Facebook "/>
    <x v="2"/>
    <s v=" #Bitterness #ResentmentWeb "/>
    <n v="12"/>
    <n v="24"/>
    <n v="36"/>
    <s v=" UK "/>
    <x v="2"/>
  </r>
  <r>
    <x v="61"/>
    <x v="1"/>
    <n v="-1"/>
    <d v="2017-07-20T11:45:00"/>
    <d v="2017-07-20T00:00:00"/>
    <x v="79"/>
    <x v="55"/>
    <s v=" DesertWanderer "/>
    <s v=" Twitter "/>
    <x v="0"/>
    <s v=" #Loneliness #MiragesOfConnection "/>
    <n v="15"/>
    <n v="30"/>
    <n v="45"/>
    <s v=" USA "/>
    <x v="0"/>
  </r>
  <r>
    <x v="94"/>
    <x v="1"/>
    <n v="-1"/>
    <d v="2020-11-02T19:30:00"/>
    <d v="2020-11-02T00:00:00"/>
    <x v="62"/>
    <x v="7"/>
    <s v=" ColdEmbrace "/>
    <s v=" Instagram "/>
    <x v="1"/>
    <s v=" #Yearning #DistantWarmth "/>
    <n v="10"/>
    <n v="20"/>
    <n v="30"/>
    <s v=" Australia "/>
    <x v="3"/>
  </r>
  <r>
    <x v="95"/>
    <x v="1"/>
    <n v="-1"/>
    <d v="2022-05-12T02:00:00"/>
    <d v="2022-05-12T00:00:00"/>
    <x v="119"/>
    <x v="81"/>
    <s v=" NightPrisoner "/>
    <s v=" Facebook "/>
    <x v="2"/>
    <s v=" #Fearful #ImaginedHorrors "/>
    <n v="18"/>
    <n v="36"/>
    <n v="54"/>
    <s v=" India "/>
    <x v="4"/>
  </r>
  <r>
    <x v="96"/>
    <x v="1"/>
    <n v="-1"/>
    <d v="2023-04-08T13:15:00"/>
    <d v="2023-04-08T00:00:00"/>
    <x v="83"/>
    <x v="28"/>
    <s v=" TightropeWalker "/>
    <s v=" Twitter "/>
    <x v="0"/>
    <s v=" #Apprehensive #BalancingAct "/>
    <n v="14"/>
    <n v="28"/>
    <n v="42"/>
    <s v=" UK "/>
    <x v="2"/>
  </r>
  <r>
    <x v="97"/>
    <x v="1"/>
    <n v="-1"/>
    <d v="2021-06-25T17:50:00"/>
    <d v="2021-06-25T00:00:00"/>
    <x v="120"/>
    <x v="82"/>
    <s v=" AtlasBearer "/>
    <s v=" Instagram "/>
    <x v="1"/>
    <s v=" #Overwhelmed #BouldersOfExhaustion "/>
    <n v="22"/>
    <n v="44"/>
    <n v="66"/>
    <s v=" Canada "/>
    <x v="1"/>
  </r>
  <r>
    <x v="98"/>
    <x v="1"/>
    <n v="-1"/>
    <d v="2019-08-30T10:10:00"/>
    <d v="2019-08-30T00:00:00"/>
    <x v="121"/>
    <x v="83"/>
    <s v=" GreenMonster "/>
    <s v=" Facebook "/>
    <x v="2"/>
    <s v=" #Jealous #GreenEyedMonster "/>
    <n v="16"/>
    <n v="32"/>
    <n v="48"/>
    <s v=" USA "/>
    <x v="0"/>
  </r>
  <r>
    <x v="99"/>
    <x v="1"/>
    <n v="-1"/>
    <d v="2022-08-03T15:30:00"/>
    <d v="2022-08-03T00:00:00"/>
    <x v="78"/>
    <x v="49"/>
    <s v=" StormSurvivor "/>
    <s v=" Twitter "/>
    <x v="0"/>
    <s v=" #Devastated #WindsOfBrokenPromises "/>
    <n v="25"/>
    <n v="50"/>
    <n v="75"/>
    <s v=" Australia "/>
    <x v="3"/>
  </r>
  <r>
    <x v="100"/>
    <x v="1"/>
    <n v="-1"/>
    <d v="2020-12-17T09:20:00"/>
    <d v="2020-12-17T00:00:00"/>
    <x v="122"/>
    <x v="84"/>
    <s v=" PuzzleComposer "/>
    <s v=" Instagram "/>
    <x v="1"/>
    <s v=" #Frustrated #UnsolvablePuzzle "/>
    <n v="12"/>
    <n v="24"/>
    <n v="36"/>
    <s v=" India "/>
    <x v="4"/>
  </r>
  <r>
    <x v="101"/>
    <x v="2"/>
    <n v="0"/>
    <d v="2021-02-28T22:45:00"/>
    <d v="2021-02-28T00:00:00"/>
    <x v="123"/>
    <x v="85"/>
    <s v=" GildedHeartache "/>
    <s v=" Facebook "/>
    <x v="2"/>
    <s v=" #Envious #GildedPrize "/>
    <n v="20"/>
    <n v="40"/>
    <n v="60"/>
    <s v=" USA "/>
    <x v="0"/>
  </r>
  <r>
    <x v="102"/>
    <x v="1"/>
    <n v="-1"/>
    <d v="2018-05-10T14:00:00"/>
    <d v="2018-05-10T00:00:00"/>
    <x v="92"/>
    <x v="60"/>
    <s v=" IndifferentFort "/>
    <s v=" Twitter "/>
    <x v="0"/>
    <s v=" #Dismissive #ImpenetrableWalls "/>
    <n v="14"/>
    <n v="28"/>
    <n v="42"/>
    <s v=" UK "/>
    <x v="2"/>
  </r>
  <r>
    <x v="100"/>
    <x v="1"/>
    <n v="-1"/>
    <d v="2022-01-07T11:10:00"/>
    <d v="2022-01-07T00:00:00"/>
    <x v="124"/>
    <x v="68"/>
    <s v=" DreamMosaic "/>
    <s v=" Instagram "/>
    <x v="1"/>
    <s v=" #Frustrated #MosaicOfDisappointment "/>
    <n v="15"/>
    <n v="30"/>
    <n v="45"/>
    <s v=" Canada "/>
    <x v="1"/>
  </r>
  <r>
    <x v="61"/>
    <x v="1"/>
    <n v="-1"/>
    <d v="2019-09-19T03:30:00"/>
    <d v="2019-09-19T00:00:00"/>
    <x v="125"/>
    <x v="86"/>
    <s v=" NocturnalEcho "/>
    <s v=" Facebook "/>
    <x v="2"/>
    <s v=" #Loneliness #SolitaryNocturne "/>
    <n v="18"/>
    <n v="36"/>
    <n v="54"/>
    <s v=" Australia "/>
    <x v="3"/>
  </r>
  <r>
    <x v="95"/>
    <x v="1"/>
    <n v="-1"/>
    <d v="2023-07-14T23:00:00"/>
    <d v="2023-07-14T00:00:00"/>
    <x v="126"/>
    <x v="87"/>
    <s v=" DarkWhispers "/>
    <s v=" Twitter "/>
    <x v="0"/>
    <s v=" #Fearful #SpecterOfTheUnknown "/>
    <n v="13"/>
    <n v="26"/>
    <n v="39"/>
    <s v=" UK "/>
    <x v="2"/>
  </r>
  <r>
    <x v="93"/>
    <x v="1"/>
    <n v="-1"/>
    <d v="2020-04-05T16:20:00"/>
    <d v="2020-04-05T00:00:00"/>
    <x v="94"/>
    <x v="24"/>
    <s v=" LingeringTaste "/>
    <s v=" Instagram "/>
    <x v="1"/>
    <s v=" #Bitterness #BitterAftertaste "/>
    <n v="10"/>
    <n v="20"/>
    <n v="30"/>
    <s v=" India "/>
    <x v="4"/>
  </r>
  <r>
    <x v="97"/>
    <x v="1"/>
    <n v="-1"/>
    <d v="2021-11-29T08:45:00"/>
    <d v="2021-11-29T00:00:00"/>
    <x v="1"/>
    <x v="1"/>
    <s v=" TempestSurvivor "/>
    <s v=" Facebook "/>
    <x v="2"/>
    <s v=" #Overwhelmed #DrowningSoul "/>
    <n v="20"/>
    <n v="40"/>
    <n v="60"/>
    <s v=" USA "/>
    <x v="0"/>
  </r>
  <r>
    <x v="98"/>
    <x v="1"/>
    <n v="-1"/>
    <d v="2019-12-12T17:00:00"/>
    <d v="2019-12-12T00:00:00"/>
    <x v="37"/>
    <x v="34"/>
    <s v=" VenomousHeart "/>
    <s v=" Twitter "/>
    <x v="0"/>
    <s v=" #Jealous #HeartOfDiscontent "/>
    <n v="16"/>
    <n v="32"/>
    <n v="48"/>
    <s v=" Australia "/>
    <x v="3"/>
  </r>
  <r>
    <x v="99"/>
    <x v="1"/>
    <n v="-1"/>
    <d v="2022-05-20T14:50:00"/>
    <d v="2022-05-20T00:00:00"/>
    <x v="127"/>
    <x v="12"/>
    <s v=" FragileTrust "/>
    <s v=" Instagram "/>
    <x v="1"/>
    <s v=" #Devastated #ShatteredTrust "/>
    <n v="25"/>
    <n v="50"/>
    <n v="75"/>
    <s v=" Canada "/>
    <x v="1"/>
  </r>
  <r>
    <x v="100"/>
    <x v="1"/>
    <n v="-1"/>
    <d v="2020-09-03T12:15:00"/>
    <d v="2020-09-03T00:00:00"/>
    <x v="101"/>
    <x v="64"/>
    <s v=" BrokenThreads "/>
    <s v=" Facebook "/>
    <x v="2"/>
    <s v=" #Frustrated #SlippingThreads "/>
    <n v="14"/>
    <n v="28"/>
    <n v="42"/>
    <s v=" UK "/>
    <x v="2"/>
  </r>
  <r>
    <x v="101"/>
    <x v="2"/>
    <n v="0"/>
    <d v="2021-02-10T19:30:00"/>
    <d v="2021-02-10T00:00:00"/>
    <x v="62"/>
    <x v="7"/>
    <s v=" SuccessPill "/>
    <s v=" Twitter "/>
    <x v="0"/>
    <s v=" #Envious #BitterPill "/>
    <n v="20"/>
    <n v="40"/>
    <n v="60"/>
    <s v=" USA "/>
    <x v="0"/>
  </r>
  <r>
    <x v="102"/>
    <x v="1"/>
    <n v="-1"/>
    <d v="2018-08-18T14:40:00"/>
    <d v="2018-08-18T00:00:00"/>
    <x v="128"/>
    <x v="88"/>
    <s v=" CurtainShield "/>
    <s v=" Instagram "/>
    <x v="1"/>
    <s v=" #Dismissive #IndifferencePerformance "/>
    <n v="12"/>
    <n v="24"/>
    <n v="36"/>
    <s v=" Australia "/>
    <x v="3"/>
  </r>
  <r>
    <x v="92"/>
    <x v="1"/>
    <n v="-1"/>
    <d v="2022-02-28T21:00:00"/>
    <d v="2022-02-28T00:00:00"/>
    <x v="129"/>
    <x v="65"/>
    <s v=" FoggyLabyrinth "/>
    <s v=" Facebook "/>
    <x v="2"/>
    <s v=" #Despair #LabyrinthOfHopelessness "/>
    <n v="8"/>
    <n v="16"/>
    <n v="24"/>
    <s v=" Canada "/>
    <x v="1"/>
  </r>
  <r>
    <x v="93"/>
    <x v="1"/>
    <n v="-1"/>
    <d v="2019-10-15T10:30:00"/>
    <d v="2019-10-15T00:00:00"/>
    <x v="130"/>
    <x v="11"/>
    <s v=" IcyResentment "/>
    <s v=" Twitter "/>
    <x v="0"/>
    <s v=" #Bitterness #IciclesOfResentment "/>
    <n v="15"/>
    <n v="30"/>
    <n v="45"/>
    <s v=" UK "/>
    <x v="2"/>
  </r>
  <r>
    <x v="61"/>
    <x v="1"/>
    <n v="-1"/>
    <d v="2017-12-01T18:50:00"/>
    <d v="2017-12-01T00:00:00"/>
    <x v="131"/>
    <x v="89"/>
    <s v=" SolitaryMoon "/>
    <s v=" Instagram "/>
    <x v="1"/>
    <s v=" #Loneliness #StarlessSky "/>
    <n v="18"/>
    <n v="36"/>
    <n v="54"/>
    <s v=" USA "/>
    <x v="0"/>
  </r>
  <r>
    <x v="94"/>
    <x v="1"/>
    <n v="-1"/>
    <d v="2020-04-18T16:15:00"/>
    <d v="2020-04-18T00:00:00"/>
    <x v="132"/>
    <x v="90"/>
    <s v=" VanishedSunset "/>
    <s v=" Facebook "/>
    <x v="2"/>
    <s v=" #Yearning #HuesOfSunset "/>
    <n v="10"/>
    <n v="20"/>
    <n v="30"/>
    <s v=" Australia "/>
    <x v="3"/>
  </r>
  <r>
    <x v="95"/>
    <x v="1"/>
    <n v="-1"/>
    <d v="2023-01-07T03:30:00"/>
    <d v="2023-01-07T00:00:00"/>
    <x v="125"/>
    <x v="86"/>
    <s v=" NightPrisoner "/>
    <s v=" Twitter "/>
    <x v="0"/>
    <s v=" #Fearful #LurkingMonsters "/>
    <n v="18"/>
    <n v="36"/>
    <n v="54"/>
    <s v=" India "/>
    <x v="4"/>
  </r>
  <r>
    <x v="96"/>
    <x v="1"/>
    <n v="-1"/>
    <d v="2021-06-10T10:00:00"/>
    <d v="2021-06-10T00:00:00"/>
    <x v="61"/>
    <x v="42"/>
    <s v=" WindWhisperer "/>
    <s v=" Instagram "/>
    <x v="1"/>
    <s v=" #Apprehensive #StormOfDoubt "/>
    <n v="14"/>
    <n v="28"/>
    <n v="42"/>
    <s v=" Canada "/>
    <x v="1"/>
  </r>
  <r>
    <x v="97"/>
    <x v="1"/>
    <n v="-1"/>
    <d v="2020-02-22T15:20:00"/>
    <d v="2020-02-22T00:00:00"/>
    <x v="133"/>
    <x v="91"/>
    <s v=" MazeExplorer "/>
    <s v=" Facebook "/>
    <x v="2"/>
    <s v=" #Overwhelmed #MinotaurOfPressure "/>
    <n v="22"/>
    <n v="44"/>
    <n v="66"/>
    <s v=" USA "/>
    <x v="0"/>
  </r>
  <r>
    <x v="98"/>
    <x v="1"/>
    <n v="-1"/>
    <d v="2018-03-17T14:45:00"/>
    <d v="2018-03-17T00:00:00"/>
    <x v="6"/>
    <x v="6"/>
    <s v=" WoundedGarden "/>
    <s v=" Twitter "/>
    <x v="0"/>
    <s v=" #Jealous #BloomingAchievements "/>
    <n v="16"/>
    <n v="32"/>
    <n v="48"/>
    <s v=" UK "/>
    <x v="2"/>
  </r>
  <r>
    <x v="99"/>
    <x v="1"/>
    <n v="-1"/>
    <d v="2022-10-28T11:15:00"/>
    <d v="2022-10-28T00:00:00"/>
    <x v="134"/>
    <x v="92"/>
    <s v=" RuinedHeart "/>
    <s v=" Instagram "/>
    <x v="1"/>
    <s v=" #Devastated #EchoesOfShatteredDreams "/>
    <n v="25"/>
    <n v="50"/>
    <n v="75"/>
    <s v=" Australia "/>
    <x v="3"/>
  </r>
  <r>
    <x v="100"/>
    <x v="1"/>
    <n v="-1"/>
    <d v="2020-11-01T12:30:00"/>
    <d v="2020-11-01T00:00:00"/>
    <x v="135"/>
    <x v="0"/>
    <s v=" KnotUntangler "/>
    <s v=" Facebook "/>
    <x v="2"/>
    <s v=" #Frustrated #LabyrinthOfMiscommunication "/>
    <n v="14"/>
    <n v="28"/>
    <n v="42"/>
    <s v=" India "/>
    <x v="4"/>
  </r>
  <r>
    <x v="101"/>
    <x v="2"/>
    <n v="0"/>
    <d v="2021-01-15T22:10:00"/>
    <d v="2021-01-15T00:00:00"/>
    <x v="136"/>
    <x v="93"/>
    <s v=" ElusiveKeys "/>
    <s v=" Twitter "/>
    <x v="0"/>
    <s v=" #Envious #DesireForKeys "/>
    <n v="20"/>
    <n v="40"/>
    <n v="60"/>
    <s v=" USA "/>
    <x v="0"/>
  </r>
  <r>
    <x v="102"/>
    <x v="1"/>
    <n v="-1"/>
    <d v="2018-08-18T14:00:00"/>
    <d v="2018-08-18T00:00:00"/>
    <x v="92"/>
    <x v="60"/>
    <s v=" IndifferentFort "/>
    <s v=" Instagram "/>
    <x v="1"/>
    <s v=" #Dismissive #IndifferencePerformance "/>
    <n v="12"/>
    <n v="24"/>
    <n v="36"/>
    <s v=" Australia "/>
    <x v="3"/>
  </r>
  <r>
    <x v="100"/>
    <x v="1"/>
    <n v="-1"/>
    <d v="2022-01-07T11:10:00"/>
    <d v="2022-01-07T00:00:00"/>
    <x v="124"/>
    <x v="68"/>
    <s v=" DreamMosaic "/>
    <s v=" Twitter "/>
    <x v="0"/>
    <s v=" #Frustrated #MosaicOfDisappointment "/>
    <n v="15"/>
    <n v="30"/>
    <n v="45"/>
    <s v=" Canada "/>
    <x v="1"/>
  </r>
  <r>
    <x v="61"/>
    <x v="1"/>
    <n v="-1"/>
    <d v="2019-09-19T03:30:00"/>
    <d v="2019-09-19T00:00:00"/>
    <x v="125"/>
    <x v="86"/>
    <s v=" NocturnalEcho "/>
    <s v=" Facebook "/>
    <x v="2"/>
    <s v=" #Loneliness #SolitaryNocturne "/>
    <n v="18"/>
    <n v="36"/>
    <n v="54"/>
    <s v=" Australia "/>
    <x v="3"/>
  </r>
  <r>
    <x v="103"/>
    <x v="0"/>
    <n v="1"/>
    <d v="2022-04-03T06:15:00"/>
    <d v="2022-04-03T00:00:00"/>
    <x v="137"/>
    <x v="73"/>
    <s v=" NatureAdmirer  "/>
    <s v=" Instagram "/>
    <x v="1"/>
    <s v=" #Awe #BreathtakingSunrise                   "/>
    <n v="28"/>
    <n v="55"/>
    <n v="83"/>
    <s v=" USA               "/>
    <x v="0"/>
  </r>
  <r>
    <x v="104"/>
    <x v="0"/>
    <n v="1"/>
    <d v="2023-10-12T10:30:00"/>
    <d v="2023-10-12T00:00:00"/>
    <x v="130"/>
    <x v="11"/>
    <s v=" GoalPursuer    "/>
    <s v=" Twitter  "/>
    <x v="0"/>
    <s v=" #Determination #Challenges                  "/>
    <n v="15"/>
    <n v="30"/>
    <n v="45"/>
    <s v=" Canada            "/>
    <x v="1"/>
  </r>
  <r>
    <x v="105"/>
    <x v="2"/>
    <n v="0"/>
    <d v="2019-06-28T19:00:00"/>
    <d v="2019-06-28T00:00:00"/>
    <x v="88"/>
    <x v="38"/>
    <s v=" MemoryLane     "/>
    <s v=" Facebook "/>
    <x v="2"/>
    <s v=" #Nostalgia #OldMemories                     "/>
    <n v="22"/>
    <n v="45"/>
    <n v="67"/>
    <s v=" UK                "/>
    <x v="2"/>
  </r>
  <r>
    <x v="106"/>
    <x v="0"/>
    <n v="1"/>
    <d v="2020-09-15T14:45:00"/>
    <d v="2020-09-15T00:00:00"/>
    <x v="47"/>
    <x v="6"/>
    <s v=" CultureEnthusiast "/>
    <s v=" Instagram "/>
    <x v="1"/>
    <s v=" #Thrill #CulturalCelebration              "/>
    <n v="40"/>
    <n v="80"/>
    <n v="120"/>
    <s v=" India              "/>
    <x v="4"/>
  </r>
  <r>
    <x v="107"/>
    <x v="0"/>
    <n v="1"/>
    <d v="2017-11-08T21:20:00"/>
    <d v="2017-11-08T00:00:00"/>
    <x v="84"/>
    <x v="58"/>
    <s v=" RainWatcher    "/>
    <s v=" Twitter  "/>
    <x v="0"/>
    <s v=" #Calmness #RainyDays                        "/>
    <n v="18"/>
    <n v="35"/>
    <n v="53"/>
    <s v=" Australia          "/>
    <x v="3"/>
  </r>
  <r>
    <x v="108"/>
    <x v="1"/>
    <n v="-1"/>
    <d v="2021-05-20T17:30:00"/>
    <d v="2021-05-20T00:00:00"/>
    <x v="28"/>
    <x v="27"/>
    <s v=" PersonalJourney "/>
    <s v=" Facebook "/>
    <x v="2"/>
    <s v=" #Overwhelmed #SupportiveCommunity          "/>
    <n v="25"/>
    <n v="50"/>
    <n v="75"/>
    <s v=" USA               "/>
    <x v="0"/>
  </r>
  <r>
    <x v="28"/>
    <x v="0"/>
    <n v="1"/>
    <d v="2023-01-10T12:00:00"/>
    <d v="2023-01-10T00:00:00"/>
    <x v="24"/>
    <x v="23"/>
    <s v=" VacationDreamer "/>
    <s v=" Instagram "/>
    <x v="1"/>
    <s v=" #Excitement #VacationCountdown        "/>
    <n v="30"/>
    <n v="60"/>
    <n v="90"/>
    <s v=" France            "/>
    <x v="5"/>
  </r>
  <r>
    <x v="109"/>
    <x v="0"/>
    <n v="1"/>
    <d v="2018-12-05T08:45:00"/>
    <d v="2018-12-05T00:00:00"/>
    <x v="1"/>
    <x v="1"/>
    <s v=" LifeLearner   "/>
    <s v=" Twitter  "/>
    <x v="0"/>
    <s v=" #Gratitude #LifeLessons                    "/>
    <n v="35"/>
    <n v="70"/>
    <n v="105"/>
    <s v=" Brazil            "/>
    <x v="6"/>
  </r>
  <r>
    <x v="110"/>
    <x v="1"/>
    <n v="-1"/>
    <d v="2020-03-15T18:30:00"/>
    <d v="2020-03-15T00:00:00"/>
    <x v="85"/>
    <x v="36"/>
    <s v=" FarewellSender "/>
    <s v=" Instagram "/>
    <x v="1"/>
    <s v=" #Bittersweet #Farewell                     "/>
    <n v="20"/>
    <n v="40"/>
    <n v="60"/>
    <s v=" Japan             "/>
    <x v="7"/>
  </r>
  <r>
    <x v="111"/>
    <x v="2"/>
    <n v="0"/>
    <d v="2016-08-22T15:10:00"/>
    <d v="2016-08-22T00:00:00"/>
    <x v="138"/>
    <x v="94"/>
    <s v=" HistoryExplorer "/>
    <s v=" Facebook "/>
    <x v="2"/>
    <s v=" #Curiosity #AncientDiscovery          "/>
    <n v="18"/>
    <n v="35"/>
    <n v="53"/>
    <s v=" Greece            "/>
    <x v="8"/>
  </r>
  <r>
    <x v="112"/>
    <x v="2"/>
    <n v="0"/>
    <d v="2019-08-20T16:00:00"/>
    <d v="2019-08-20T00:00:00"/>
    <x v="65"/>
    <x v="44"/>
    <s v=" CraftEnthusiast "/>
    <s v=" Instagram "/>
    <x v="1"/>
    <s v=" #Admiration #HandcraftedArt               "/>
    <n v="25"/>
    <n v="50"/>
    <n v="75"/>
    <s v=" USA               "/>
    <x v="0"/>
  </r>
  <r>
    <x v="113"/>
    <x v="0"/>
    <n v="1"/>
    <d v="2021-12-08T19:30:00"/>
    <d v="2021-12-08T00:00:00"/>
    <x v="7"/>
    <x v="7"/>
    <s v=" WinterLover     "/>
    <s v=" Twitter  "/>
    <x v="0"/>
    <s v=" #Overjoyed #WinterWarmth                  "/>
    <n v="18"/>
    <n v="35"/>
    <n v="53"/>
    <s v=" Canada            "/>
    <x v="1"/>
  </r>
  <r>
    <x v="114"/>
    <x v="0"/>
    <n v="1"/>
    <d v="2020-06-10T20:45:00"/>
    <d v="2020-06-10T00:00:00"/>
    <x v="93"/>
    <x v="61"/>
    <s v=" SunsetWatcher   "/>
    <s v=" Instagram "/>
    <x v="1"/>
    <s v=" #Inspiration #ColorfulSunset             "/>
    <n v="30"/>
    <n v="60"/>
    <n v="90"/>
    <s v=" UK                "/>
    <x v="2"/>
  </r>
  <r>
    <x v="115"/>
    <x v="0"/>
    <n v="1"/>
    <d v="2022-02-28T07:15:00"/>
    <d v="2022-02-28T00:00:00"/>
    <x v="139"/>
    <x v="95"/>
    <s v=" FitnessJunkie   "/>
    <s v=" Facebook "/>
    <x v="2"/>
    <s v=" #Motivation #FitnessGoals                 "/>
    <n v="40"/>
    <n v="80"/>
    <n v="120"/>
    <s v=" Australia          "/>
    <x v="3"/>
  </r>
  <r>
    <x v="34"/>
    <x v="0"/>
    <n v="1"/>
    <d v="2017-04-15T08:00:00"/>
    <d v="2017-04-15T00:00:00"/>
    <x v="43"/>
    <x v="8"/>
    <s v=" CoffeeLover     "/>
    <s v=" Twitter  "/>
    <x v="0"/>
    <s v=" #Gratitude #MorningCoffee                 "/>
    <n v="22"/>
    <n v="45"/>
    <n v="67"/>
    <s v=" India             "/>
    <x v="4"/>
  </r>
  <r>
    <x v="36"/>
    <x v="0"/>
    <n v="1"/>
    <d v="2018-09-05T14:20:00"/>
    <d v="2018-09-05T00:00:00"/>
    <x v="32"/>
    <x v="29"/>
    <s v=" HikingExplorer  "/>
    <s v=" Instagram "/>
    <x v="1"/>
    <s v=" #Empowerment #HikingAdventure             "/>
    <n v="35"/>
    <n v="70"/>
    <n v="105"/>
    <s v=" USA               "/>
    <x v="0"/>
  </r>
  <r>
    <x v="116"/>
    <x v="0"/>
    <n v="1"/>
    <d v="2022-10-22T12:45:00"/>
    <d v="2022-10-22T00:00:00"/>
    <x v="140"/>
    <x v="96"/>
    <s v=" KittyObserver   "/>
    <s v=" Facebook "/>
    <x v="2"/>
    <s v=" #Amusement #PlayfulKittens               "/>
    <n v="15"/>
    <n v="30"/>
    <n v="45"/>
    <s v=" Canada            "/>
    <x v="1"/>
  </r>
  <r>
    <x v="117"/>
    <x v="2"/>
    <n v="0"/>
    <d v="2016-07-02T23:30:00"/>
    <d v="2016-07-02T00:00:00"/>
    <x v="141"/>
    <x v="97"/>
    <s v=" Stargazer       "/>
    <s v=" Twitter  "/>
    <x v="0"/>
    <s v=" #Contemplation #StarryNight               "/>
    <n v="28"/>
    <n v="55"/>
    <n v="83"/>
    <s v=" UK                "/>
    <x v="2"/>
  </r>
  <r>
    <x v="118"/>
    <x v="0"/>
    <n v="1"/>
    <d v="2020-11-18T17:10:00"/>
    <d v="2020-11-18T00:00:00"/>
    <x v="16"/>
    <x v="16"/>
    <s v=" FriendshipRenewal "/>
    <s v=" Instagram "/>
    <x v="1"/>
    <s v=" #JoyfulReunion #Friendship               "/>
    <n v="20"/>
    <n v="40"/>
    <n v="60"/>
    <s v=" India             "/>
    <x v="4"/>
  </r>
  <r>
    <x v="119"/>
    <x v="0"/>
    <n v="1"/>
    <d v="2023-03-05T15:00:00"/>
    <d v="2023-03-05T00:00:00"/>
    <x v="27"/>
    <x v="26"/>
    <s v=" CelebrationPlanner "/>
    <s v=" Facebook "/>
    <x v="2"/>
    <s v=" #Excitement #SurpriseCelebration         "/>
    <n v="30"/>
    <n v="60"/>
    <n v="90"/>
    <s v=" Australia          "/>
    <x v="3"/>
  </r>
  <r>
    <x v="120"/>
    <x v="0"/>
    <n v="1"/>
    <d v="2015-12-01T11:30:00"/>
    <d v="2015-12-01T00:00:00"/>
    <x v="64"/>
    <x v="18"/>
    <s v=" DIYEnthusiast   "/>
    <s v=" Twitter  "/>
    <x v="0"/>
    <s v=" #Satisfaction #DIYProject                 "/>
    <n v="25"/>
    <n v="50"/>
    <n v="75"/>
    <s v=" USA               "/>
    <x v="0"/>
  </r>
  <r>
    <x v="121"/>
    <x v="0"/>
    <n v="1"/>
    <d v="2021-09-10T09:45:00"/>
    <d v="2021-09-10T00:00:00"/>
    <x v="14"/>
    <x v="14"/>
    <s v=" CommunityHelper "/>
    <s v=" Instagram "/>
    <x v="1"/>
    <s v=" #Blessed #SupportiveCommunity            "/>
    <n v="18"/>
    <n v="35"/>
    <n v="53"/>
    <s v=" UK                "/>
    <x v="2"/>
  </r>
  <r>
    <x v="33"/>
    <x v="0"/>
    <n v="1"/>
    <d v="2018-05-12T14:20:00"/>
    <d v="2018-05-12T00:00:00"/>
    <x v="32"/>
    <x v="29"/>
    <s v=" GardenEnthusiast "/>
    <s v=" Facebook "/>
    <x v="2"/>
    <s v=" #Serenity #TranquilGarden                "/>
    <n v="22"/>
    <n v="45"/>
    <n v="67"/>
    <s v=" Canada            "/>
    <x v="1"/>
  </r>
  <r>
    <x v="122"/>
    <x v="2"/>
    <n v="0"/>
    <d v="2022-07-25T10:00:00"/>
    <d v="2022-07-25T00:00:00"/>
    <x v="61"/>
    <x v="42"/>
    <s v=" Wanderlust      "/>
    <s v=" Twitter  "/>
    <x v="0"/>
    <s v=" #Anticipation #AdventureAwaits           "/>
    <n v="40"/>
    <n v="80"/>
    <n v="120"/>
    <s v=" India             "/>
    <x v="4"/>
  </r>
  <r>
    <x v="123"/>
    <x v="2"/>
    <n v="0"/>
    <d v="2019-03-08T18:30:00"/>
    <d v="2019-03-08T00:00:00"/>
    <x v="40"/>
    <x v="36"/>
    <s v=" GrowthSeeker    "/>
    <s v=" Instagram "/>
    <x v="1"/>
    <s v=" #Reflection #PersonalGrowth              "/>
    <n v="35"/>
    <n v="70"/>
    <n v="105"/>
    <s v=" USA               "/>
    <x v="0"/>
  </r>
  <r>
    <x v="124"/>
    <x v="2"/>
    <n v="0"/>
    <d v="2017-01-28T21:15:00"/>
    <d v="2017-01-28T00:00:00"/>
    <x v="59"/>
    <x v="41"/>
    <s v=" ChildhoodMemories "/>
    <s v=" Facebook "/>
    <x v="2"/>
    <s v=" #Nostalgia #ChildhoodFavorites           "/>
    <n v="20"/>
    <n v="40"/>
    <n v="60"/>
    <s v=" Australia          "/>
    <x v="3"/>
  </r>
  <r>
    <x v="125"/>
    <x v="0"/>
    <n v="1"/>
    <d v="2016-11-14T13:45:00"/>
    <d v="2016-11-14T00:00:00"/>
    <x v="95"/>
    <x v="62"/>
    <s v=" CultureExplorer "/>
    <s v=" Twitter  "/>
    <x v="0"/>
    <s v=" #Appreciation #CulturalExperience        "/>
    <n v="28"/>
    <n v="55"/>
    <n v="83"/>
    <s v=" UK                "/>
    <x v="2"/>
  </r>
  <r>
    <x v="126"/>
    <x v="0"/>
    <n v="1"/>
    <d v="2020-04-02T17:30:00"/>
    <d v="2020-04-02T00:00:00"/>
    <x v="91"/>
    <x v="27"/>
    <s v=" PublicSpeaker   "/>
    <s v=" Instagram "/>
    <x v="1"/>
    <s v=" #Confidence #OvercomingAnxiety          "/>
    <n v="15"/>
    <n v="30"/>
    <n v="45"/>
    <s v=" USA               "/>
    <x v="0"/>
  </r>
  <r>
    <x v="32"/>
    <x v="0"/>
    <n v="1"/>
    <d v="2023-01-15T19:00:00"/>
    <d v="2023-01-15T00:00:00"/>
    <x v="42"/>
    <x v="38"/>
    <s v=" FamilyCelebration "/>
    <s v=" Facebook "/>
    <x v="2"/>
    <s v=" #Contentment #FamilyLaughter             "/>
    <n v="25"/>
    <n v="50"/>
    <n v="75"/>
    <s v=" Canada            "/>
    <x v="1"/>
  </r>
  <r>
    <x v="40"/>
    <x v="0"/>
    <n v="1"/>
    <d v="2018-08-07T12:15:00"/>
    <d v="2018-08-07T00:00:00"/>
    <x v="101"/>
    <x v="64"/>
    <s v=" LifelongLearner "/>
    <s v=" Twitter  "/>
    <x v="0"/>
    <s v=" #Enthusiasm #SkillBuilding               "/>
    <n v="30"/>
    <n v="60"/>
    <n v="90"/>
    <s v=" India             "/>
    <x v="4"/>
  </r>
  <r>
    <x v="127"/>
    <x v="2"/>
    <n v="0"/>
    <d v="2019-10-18T16:45:00"/>
    <d v="2019-10-18T00:00:00"/>
    <x v="142"/>
    <x v="20"/>
    <s v=" CityExplorer    "/>
    <s v=" Instagram "/>
    <x v="1"/>
    <s v=" #Surprise #HiddenGem                      "/>
    <n v="18"/>
    <n v="35"/>
    <n v="53"/>
    <s v=" UK                "/>
    <x v="2"/>
  </r>
  <r>
    <x v="128"/>
    <x v="0"/>
    <n v="1"/>
    <d v="2022-06-30T07:00:00"/>
    <d v="2022-06-30T00:00:00"/>
    <x v="143"/>
    <x v="98"/>
    <s v=" FitnessAchiever "/>
    <s v=" Facebook "/>
    <x v="2"/>
    <s v=" #Accomplishment #FitnessSuccess         "/>
    <n v="22"/>
    <n v="45"/>
    <n v="67"/>
    <s v=" Australia          "/>
    <x v="3"/>
  </r>
  <r>
    <x v="129"/>
    <x v="0"/>
    <n v="1"/>
    <d v="2017-06-12T18:20:00"/>
    <d v="2017-06-12T00:00:00"/>
    <x v="60"/>
    <x v="3"/>
    <s v=" RainbowChaser   "/>
    <s v=" Twitter  "/>
    <x v="0"/>
    <s v=" #Wonderment #DoubleRainbow               "/>
    <n v="35"/>
    <n v="70"/>
    <n v="105"/>
    <s v=" USA               "/>
    <x v="0"/>
  </r>
  <r>
    <x v="130"/>
    <x v="0"/>
    <n v="1"/>
    <d v="2021-07-05T09:30:00"/>
    <d v="2021-07-05T00:00:00"/>
    <x v="45"/>
    <x v="40"/>
    <s v=" FutureOptimist  "/>
    <s v=" Instagram "/>
    <x v="1"/>
    <s v=" #Optimism #BrightFuture                  "/>
    <n v="20"/>
    <n v="40"/>
    <n v="60"/>
    <s v=" Canada            "/>
    <x v="1"/>
  </r>
  <r>
    <x v="131"/>
    <x v="0"/>
    <n v="1"/>
    <d v="2016-04-15T14:50:00"/>
    <d v="2016-04-15T00:00:00"/>
    <x v="127"/>
    <x v="12"/>
    <s v=" CareerAchiever  "/>
    <s v=" Facebook "/>
    <x v="2"/>
    <s v=" #Pride #CareerMilestone                  "/>
    <n v="28"/>
    <n v="55"/>
    <n v="83"/>
    <s v=" UK                "/>
    <x v="2"/>
  </r>
  <r>
    <x v="132"/>
    <x v="0"/>
    <n v="1"/>
    <d v="2020-02-10T11:15:00"/>
    <d v="2020-02-10T00:00:00"/>
    <x v="144"/>
    <x v="92"/>
    <s v=" SunnyDayEnthusiast "/>
    <s v=" Twitter  "/>
    <x v="0"/>
    <s v=" #Happiness #SunnyDay                      "/>
    <n v="15"/>
    <n v="30"/>
    <n v="45"/>
    <s v=" India             "/>
    <x v="4"/>
  </r>
  <r>
    <x v="30"/>
    <x v="0"/>
    <n v="1"/>
    <d v="2018-09-22T16:30:00"/>
    <d v="2018-09-22T00:00:00"/>
    <x v="77"/>
    <x v="54"/>
    <s v=" Bookworm        "/>
    <s v=" Instagram "/>
    <x v="1"/>
    <s v=" #Elation #RareBookDiscovery              "/>
    <n v="40"/>
    <n v="80"/>
    <n v="120"/>
    <s v=" USA               "/>
    <x v="0"/>
  </r>
  <r>
    <x v="133"/>
    <x v="2"/>
    <n v="0"/>
    <d v="2015-11-08T10:00:00"/>
    <d v="2015-11-08T00:00:00"/>
    <x v="48"/>
    <x v="42"/>
    <s v=" ArchaeologyEnthusiast "/>
    <s v=" Facebook "/>
    <x v="2"/>
    <s v=" #Curiosity #AncientMysteries            "/>
    <n v="18"/>
    <n v="35"/>
    <n v="53"/>
    <s v=" Australia          "/>
    <x v="3"/>
  </r>
  <r>
    <x v="134"/>
    <x v="0"/>
    <n v="1"/>
    <d v="2022-08-10T22:00:00"/>
    <d v="2022-08-10T00:00:00"/>
    <x v="145"/>
    <x v="70"/>
    <s v=" NightSkyObserver "/>
    <s v=" Instagram "/>
    <x v="1"/>
    <s v=" #Enchantment #CosmicFireflies             "/>
    <n v="25"/>
    <n v="50"/>
    <n v="75"/>
    <s v=" Brazil           "/>
    <x v="6"/>
  </r>
  <r>
    <x v="135"/>
    <x v="0"/>
    <n v="1"/>
    <d v="2019-04-05T17:30:00"/>
    <d v="2019-04-05T00:00:00"/>
    <x v="28"/>
    <x v="27"/>
    <s v=" ArtConnoisseur  "/>
    <s v=" Twitter  "/>
    <x v="0"/>
    <s v=" #Intrigue #AbstractArt                   "/>
    <n v="18"/>
    <n v="35"/>
    <n v="53"/>
    <s v=" France           "/>
    <x v="5"/>
  </r>
  <r>
    <x v="136"/>
    <x v="0"/>
    <n v="1"/>
    <d v="2020-12-15T15:45:00"/>
    <d v="2020-12-15T00:00:00"/>
    <x v="39"/>
    <x v="2"/>
    <s v=" PlayfulParent   "/>
    <s v=" Facebook "/>
    <x v="2"/>
    <s v=" #PlayfulJoy #ChildrensPlaydate           "/>
    <n v="22"/>
    <n v="45"/>
    <n v="67"/>
    <s v=" Japan            "/>
    <x v="7"/>
  </r>
  <r>
    <x v="137"/>
    <x v="0"/>
    <n v="1"/>
    <d v="2017-10-20T08:15:00"/>
    <d v="2017-10-20T00:00:00"/>
    <x v="96"/>
    <x v="63"/>
    <s v=" ZenSeeker       "/>
    <s v=" Instagram "/>
    <x v="1"/>
    <s v=" #Mindfulness #LakeTranquility            "/>
    <n v="35"/>
    <n v="70"/>
    <n v="105"/>
    <s v=" Canada           "/>
    <x v="1"/>
  </r>
  <r>
    <x v="138"/>
    <x v="2"/>
    <n v="0"/>
    <d v="2021-02-28T13:00:00"/>
    <d v="2021-02-28T00:00:00"/>
    <x v="116"/>
    <x v="78"/>
    <s v=" SkyDreamer      "/>
    <s v=" Twitter  "/>
    <x v="0"/>
    <s v=" #DreamChaser #SkyHighDreams              "/>
    <n v="30"/>
    <n v="60"/>
    <n v="90"/>
    <s v=" Australia         "/>
    <x v="3"/>
  </r>
  <r>
    <x v="139"/>
    <x v="0"/>
    <n v="1"/>
    <d v="2018-06-12T20:30:00"/>
    <d v="2018-06-12T00:00:00"/>
    <x v="66"/>
    <x v="45"/>
    <s v=" DanceEnthusiast "/>
    <s v=" Facebook "/>
    <x v="2"/>
    <s v=" #Elegance #BallroomDance                "/>
    <n v="28"/>
    <n v="55"/>
    <n v="83"/>
    <s v=" UK               "/>
    <x v="2"/>
  </r>
  <r>
    <x v="140"/>
    <x v="0"/>
    <n v="1"/>
    <d v="2016-03-08T14:20:00"/>
    <d v="2016-03-08T00:00:00"/>
    <x v="50"/>
    <x v="29"/>
    <s v=" FairyTaleExplorer "/>
    <s v=" Instagram "/>
    <x v="1"/>
    <s v=" #Whimsy #MagicalWorld                    "/>
    <n v="20"/>
    <n v="40"/>
    <n v="60"/>
    <s v=" USA             "/>
    <x v="0"/>
  </r>
  <r>
    <x v="141"/>
    <x v="2"/>
    <n v="0"/>
    <d v="2023-04-18T17:10:00"/>
    <d v="2023-04-18T00:00:00"/>
    <x v="146"/>
    <x v="16"/>
    <s v=" RuinsExplorer   "/>
    <s v=" Twitter  "/>
    <x v="0"/>
    <s v=" #Pensive #AncientCivilization           "/>
    <n v="18"/>
    <n v="35"/>
    <n v="53"/>
    <s v=" Greece           "/>
    <x v="8"/>
  </r>
  <r>
    <x v="142"/>
    <x v="0"/>
    <n v="1"/>
    <d v="2020-07-25T12:45:00"/>
    <d v="2020-07-25T00:00:00"/>
    <x v="147"/>
    <x v="96"/>
    <s v=" RollercoasterFan "/>
    <s v=" Facebook "/>
    <x v="2"/>
    <s v=" #Thrill #RollercoasterAdventure        "/>
    <n v="22"/>
    <n v="45"/>
    <n v="67"/>
    <s v=" Germany         "/>
    <x v="9"/>
  </r>
  <r>
    <x v="143"/>
    <x v="0"/>
    <n v="1"/>
    <d v="2019-11-30T19:30:00"/>
    <d v="2019-11-30T00:00:00"/>
    <x v="62"/>
    <x v="7"/>
    <s v=" MusicHarmonist  "/>
    <s v=" Instagram "/>
    <x v="1"/>
    <s v=" #Harmony #MusicalUnity                   "/>
    <n v="35"/>
    <n v="70"/>
    <n v="105"/>
    <s v=" Sweden          "/>
    <x v="10"/>
  </r>
  <r>
    <x v="144"/>
    <x v="0"/>
    <n v="1"/>
    <d v="2015-09-01T16:00:00"/>
    <d v="2015-09-01T00:00:00"/>
    <x v="51"/>
    <x v="44"/>
    <s v=" StudioArtist    "/>
    <s v=" Twitter  "/>
    <x v="0"/>
    <s v=" #Creativity #ArtistsHaven               "/>
    <n v="15"/>
    <n v="30"/>
    <n v="45"/>
    <s v=" Italy           "/>
    <x v="11"/>
  </r>
  <r>
    <x v="145"/>
    <x v="0"/>
    <n v="1"/>
    <d v="2022-05-05T10:15:00"/>
    <d v="2022-05-05T00:00:00"/>
    <x v="148"/>
    <x v="59"/>
    <s v=" SpringEnthusiast "/>
    <s v=" Facebook "/>
    <x v="2"/>
    <s v=" #Radiance #SpringBlooms                 "/>
    <n v="25"/>
    <n v="50"/>
    <n v="75"/>
    <s v=" Netherlands     "/>
    <x v="12"/>
  </r>
  <r>
    <x v="146"/>
    <x v="0"/>
    <n v="1"/>
    <d v="2018-07-08T23:00:00"/>
    <d v="2018-07-08T00:00:00"/>
    <x v="126"/>
    <x v="87"/>
    <s v=" CosmosExplorer  "/>
    <s v=" Instagram "/>
    <x v="1"/>
    <s v=" #Wonder #StargazingAdventure            "/>
    <n v="40"/>
    <n v="80"/>
    <n v="120"/>
    <s v=" South Africa    "/>
    <x v="13"/>
  </r>
  <r>
    <x v="147"/>
    <x v="0"/>
    <n v="1"/>
    <d v="2021-09-20T14:30:00"/>
    <d v="2021-09-20T00:00:00"/>
    <x v="72"/>
    <x v="22"/>
    <s v=" SeaBreezeLover "/>
    <s v=" Twitter  "/>
    <x v="0"/>
    <s v=" #Rejuvenation #SeasideEscape            "/>
    <n v="18"/>
    <n v="35"/>
    <n v="53"/>
    <s v=" Spain           "/>
    <x v="14"/>
  </r>
  <r>
    <x v="148"/>
    <x v="0"/>
    <n v="1"/>
    <d v="2016-11-15T11:45:00"/>
    <d v="2016-11-15T00:00:00"/>
    <x v="97"/>
    <x v="55"/>
    <s v=" ForestDreamer   "/>
    <s v=" Facebook "/>
    <x v="2"/>
    <s v=" #Inspiration #ForestWhispers            "/>
    <n v="28"/>
    <n v="55"/>
    <n v="83"/>
    <s v=" Portugal        "/>
    <x v="15"/>
  </r>
  <r>
    <x v="149"/>
    <x v="2"/>
    <n v="0"/>
    <d v="2020-01-12T18:00:00"/>
    <d v="2020-01-12T00:00:00"/>
    <x v="13"/>
    <x v="13"/>
    <s v=" WinterWarmth    "/>
    <s v=" Instagram "/>
    <x v="1"/>
    <s v=" #Coziness #WarmWinterEvening           "/>
    <n v="30"/>
    <n v="60"/>
    <n v="90"/>
    <s v=" Switzerland     "/>
    <x v="16"/>
  </r>
  <r>
    <x v="150"/>
    <x v="0"/>
    <n v="1"/>
    <d v="2017-12-28T19:15:00"/>
    <d v="2017-12-28T00:00:00"/>
    <x v="75"/>
    <x v="52"/>
    <s v=" FamilyGatherer "/>
    <s v=" Facebook "/>
    <x v="2"/>
    <s v=" #Gratitude #FamilyLaughter              "/>
    <n v="22"/>
    <n v="45"/>
    <n v="67"/>
    <s v=" Austria         "/>
    <x v="17"/>
  </r>
  <r>
    <x v="151"/>
    <x v="0"/>
    <n v="1"/>
    <d v="2019-03-02T20:20:00"/>
    <d v="2019-03-02T00:00:00"/>
    <x v="80"/>
    <x v="35"/>
    <s v=" CulinaryExplorer "/>
    <s v=" Twitter  "/>
    <x v="0"/>
    <s v=" #Adventure #CulinaryJourney             "/>
    <n v="35"/>
    <n v="70"/>
    <n v="105"/>
    <s v=" Belgium         "/>
    <x v="18"/>
  </r>
  <r>
    <x v="152"/>
    <x v="0"/>
    <n v="1"/>
    <d v="2022-06-08T15:30:00"/>
    <d v="2022-06-08T00:00:00"/>
    <x v="78"/>
    <x v="49"/>
    <s v=" PuzzleSolver    "/>
    <s v=" Instagram "/>
    <x v="1"/>
    <s v=" #Euphoria #PuzzleCompletion            "/>
    <n v="20"/>
    <n v="40"/>
    <n v="60"/>
    <s v=" Denmark         "/>
    <x v="19"/>
  </r>
  <r>
    <x v="153"/>
    <x v="0"/>
    <n v="1"/>
    <d v="2018-08-18T14:45:00"/>
    <d v="2018-08-18T00:00:00"/>
    <x v="6"/>
    <x v="6"/>
    <s v=" CathedralVisitor "/>
    <s v=" Facebook "/>
    <x v="2"/>
    <s v=" #Awe #ArchitecturalGrandeur            "/>
    <n v="18"/>
    <n v="35"/>
    <n v="53"/>
    <s v=" Czech Republic  "/>
    <x v="20"/>
  </r>
  <r>
    <x v="134"/>
    <x v="0"/>
    <n v="1"/>
    <d v="2022-08-10T22:00:00"/>
    <d v="2022-08-10T00:00:00"/>
    <x v="145"/>
    <x v="70"/>
    <s v=" NightSkyObserver "/>
    <s v=" Instagram "/>
    <x v="1"/>
    <s v=" #Enchantment #FireflyField              "/>
    <n v="25"/>
    <n v="50"/>
    <n v="75"/>
    <s v=" Brazil           "/>
    <x v="6"/>
  </r>
  <r>
    <x v="154"/>
    <x v="0"/>
    <n v="1"/>
    <d v="2019-04-05T17:30:00"/>
    <d v="2019-04-05T00:00:00"/>
    <x v="28"/>
    <x v="27"/>
    <s v=" MusicLover      "/>
    <s v=" Twitter  "/>
    <x v="0"/>
    <s v=" #Melodic #StreetMusic                   "/>
    <n v="18"/>
    <n v="35"/>
    <n v="53"/>
    <s v=" France           "/>
    <x v="5"/>
  </r>
  <r>
    <x v="155"/>
    <x v="0"/>
    <n v="1"/>
    <d v="2020-12-15T15:45:00"/>
    <d v="2020-12-15T00:00:00"/>
    <x v="39"/>
    <x v="2"/>
    <s v=" CarnivalGoer    "/>
    <s v=" Facebook "/>
    <x v="2"/>
    <s v=" #FestiveJoy #SummerCarnival             "/>
    <n v="22"/>
    <n v="45"/>
    <n v="67"/>
    <s v=" Japan            "/>
    <x v="7"/>
  </r>
  <r>
    <x v="156"/>
    <x v="2"/>
    <n v="0"/>
    <d v="2017-10-20T08:15:00"/>
    <d v="2017-10-20T00:00:00"/>
    <x v="96"/>
    <x v="63"/>
    <s v=" MindfulExplorer "/>
    <s v=" Instagram "/>
    <x v="1"/>
    <s v=" #InnerJourney #MeditationBliss          "/>
    <n v="35"/>
    <n v="70"/>
    <n v="105"/>
    <s v=" Canada           "/>
    <x v="1"/>
  </r>
  <r>
    <x v="157"/>
    <x v="0"/>
    <n v="1"/>
    <d v="2021-02-28T13:00:00"/>
    <d v="2021-02-28T00:00:00"/>
    <x v="116"/>
    <x v="78"/>
    <s v=" CoastalExplorer "/>
    <s v=" Twitter  "/>
    <x v="0"/>
    <s v=" #Freedom #CoastalAdventure              "/>
    <n v="30"/>
    <n v="60"/>
    <n v="90"/>
    <s v=" Australia         "/>
    <x v="3"/>
  </r>
  <r>
    <x v="158"/>
    <x v="0"/>
    <n v="1"/>
    <d v="2018-06-12T20:30:00"/>
    <d v="2018-06-12T00:00:00"/>
    <x v="66"/>
    <x v="45"/>
    <s v=" MasqueradeAttendee "/>
    <s v=" Facebook "/>
    <x v="2"/>
    <s v=" #Dazzle #MasqueradeElegance            "/>
    <n v="28"/>
    <n v="55"/>
    <n v="83"/>
    <s v=" UK               "/>
    <x v="2"/>
  </r>
  <r>
    <x v="140"/>
    <x v="0"/>
    <n v="1"/>
    <d v="2016-03-08T14:20:00"/>
    <d v="2016-03-08T00:00:00"/>
    <x v="50"/>
    <x v="29"/>
    <s v=" FairyTaleAdventurer "/>
    <s v=" Instagram "/>
    <x v="1"/>
    <s v=" #Whimsy #FairyTaleMagic                 "/>
    <n v="20"/>
    <n v="40"/>
    <n v="60"/>
    <s v=" USA             "/>
    <x v="0"/>
  </r>
  <r>
    <x v="123"/>
    <x v="2"/>
    <n v="0"/>
    <d v="2023-04-18T17:10:00"/>
    <d v="2023-04-18T00:00:00"/>
    <x v="146"/>
    <x v="16"/>
    <s v=" RuinsExplorer   "/>
    <s v=" Twitter  "/>
    <x v="0"/>
    <s v=" #Reflection #ForgottenEra               "/>
    <n v="18"/>
    <n v="35"/>
    <n v="53"/>
    <s v=" Greece           "/>
    <x v="8"/>
  </r>
  <r>
    <x v="159"/>
    <x v="0"/>
    <n v="1"/>
    <d v="2020-07-25T12:45:00"/>
    <d v="2020-07-25T00:00:00"/>
    <x v="147"/>
    <x v="96"/>
    <s v=" ThrillSeeker    "/>
    <s v=" Facebook "/>
    <x v="2"/>
    <s v=" #Adrenaline #RollercoasterThrills      "/>
    <n v="22"/>
    <n v="45"/>
    <n v="67"/>
    <s v=" Germany         "/>
    <x v="9"/>
  </r>
  <r>
    <x v="160"/>
    <x v="0"/>
    <n v="1"/>
    <d v="2019-11-30T19:30:00"/>
    <d v="2019-11-30T00:00:00"/>
    <x v="62"/>
    <x v="7"/>
    <s v=" MusicHarmonist  "/>
    <s v=" Instagram "/>
    <x v="1"/>
    <s v=" #Harmony #MusicalUnity                   "/>
    <n v="35"/>
    <n v="70"/>
    <n v="105"/>
    <s v=" Sweden          "/>
    <x v="10"/>
  </r>
  <r>
    <x v="161"/>
    <x v="0"/>
    <n v="1"/>
    <d v="2015-09-01T16:00:00"/>
    <d v="2015-09-01T00:00:00"/>
    <x v="51"/>
    <x v="44"/>
    <s v=" StudioArtist    "/>
    <s v=" Twitter  "/>
    <x v="0"/>
    <s v=" #ArtisticBurst #StudioCreativity       "/>
    <n v="15"/>
    <n v="30"/>
    <n v="45"/>
    <s v=" Italy           "/>
    <x v="11"/>
  </r>
  <r>
    <x v="162"/>
    <x v="0"/>
    <n v="1"/>
    <d v="2022-05-05T10:15:00"/>
    <d v="2022-05-05T00:00:00"/>
    <x v="148"/>
    <x v="59"/>
    <s v=" SpringEnthusiast "/>
    <s v=" Facebook "/>
    <x v="2"/>
    <s v=" #Radiance #SpringBlooms                 "/>
    <n v="25"/>
    <n v="50"/>
    <n v="75"/>
    <s v=" Netherlands     "/>
    <x v="12"/>
  </r>
  <r>
    <x v="163"/>
    <x v="0"/>
    <n v="1"/>
    <d v="2018-07-08T23:00:00"/>
    <d v="2018-07-08T00:00:00"/>
    <x v="126"/>
    <x v="87"/>
    <s v=" CosmosExplorer  "/>
    <s v=" Instagram "/>
    <x v="1"/>
    <s v=" #Wonder #StargazingAdventure            "/>
    <n v="40"/>
    <n v="80"/>
    <n v="120"/>
    <s v=" South Africa    "/>
    <x v="13"/>
  </r>
  <r>
    <x v="147"/>
    <x v="0"/>
    <n v="1"/>
    <d v="2021-09-20T14:30:00"/>
    <d v="2021-09-20T00:00:00"/>
    <x v="72"/>
    <x v="22"/>
    <s v=" SeaBreezeLover "/>
    <s v=" Twitter  "/>
    <x v="0"/>
    <s v=" #Rejuvenation #SeasideEscape            "/>
    <n v="18"/>
    <n v="35"/>
    <n v="53"/>
    <s v=" Spain           "/>
    <x v="14"/>
  </r>
  <r>
    <x v="164"/>
    <x v="0"/>
    <n v="1"/>
    <d v="2016-11-15T11:45:00"/>
    <d v="2016-11-15T00:00:00"/>
    <x v="97"/>
    <x v="55"/>
    <s v=" ForestDreamer   "/>
    <s v=" Facebook "/>
    <x v="2"/>
    <s v=" #Inspiration #ForestWhispers            "/>
    <n v="28"/>
    <n v="55"/>
    <n v="83"/>
    <s v=" Portugal        "/>
    <x v="15"/>
  </r>
  <r>
    <x v="149"/>
    <x v="2"/>
    <n v="0"/>
    <d v="2020-01-12T18:00:00"/>
    <d v="2020-01-12T00:00:00"/>
    <x v="13"/>
    <x v="13"/>
    <s v=" WinterWarmth    "/>
    <s v=" Instagram "/>
    <x v="1"/>
    <s v=" #Coziness #WarmWinterEvening           "/>
    <n v="30"/>
    <n v="60"/>
    <n v="90"/>
    <s v=" Switzerland     "/>
    <x v="16"/>
  </r>
  <r>
    <x v="150"/>
    <x v="0"/>
    <n v="1"/>
    <d v="2017-12-28T19:15:00"/>
    <d v="2017-12-28T00:00:00"/>
    <x v="75"/>
    <x v="52"/>
    <s v=" FamilyGatherer "/>
    <s v=" Facebook "/>
    <x v="2"/>
    <s v=" #Gratitude #FamilyLaughter              "/>
    <n v="22"/>
    <n v="45"/>
    <n v="67"/>
    <s v=" Austria         "/>
    <x v="17"/>
  </r>
  <r>
    <x v="165"/>
    <x v="2"/>
    <n v="0"/>
    <d v="2019-03-02T20:20:00"/>
    <d v="2019-03-02T00:00:00"/>
    <x v="80"/>
    <x v="35"/>
    <s v=" CulinaryExplorer "/>
    <s v=" Twitter  "/>
    <x v="0"/>
    <s v=" #CulinaryOdyssey #FlavorsAroundTheWorld "/>
    <n v="35"/>
    <n v="70"/>
    <n v="105"/>
    <s v=" Belgium         "/>
    <x v="18"/>
  </r>
  <r>
    <x v="166"/>
    <x v="0"/>
    <n v="1"/>
    <d v="2022-06-08T15:30:00"/>
    <d v="2022-06-08T00:00:00"/>
    <x v="78"/>
    <x v="49"/>
    <s v=" PuzzleSolver    "/>
    <s v=" Instagram "/>
    <x v="1"/>
    <s v=" #Euphoria #PerfectPuzzle               "/>
    <n v="20"/>
    <n v="40"/>
    <n v="60"/>
    <s v=" Denmark         "/>
    <x v="19"/>
  </r>
  <r>
    <x v="153"/>
    <x v="0"/>
    <n v="1"/>
    <d v="2018-08-18T14:45:00"/>
    <d v="2018-08-18T00:00:00"/>
    <x v="6"/>
    <x v="6"/>
    <s v=" CathedralVisitor "/>
    <s v=" Facebook "/>
    <x v="2"/>
    <s v=" #Awe #ArchitecturalGrandeur            "/>
    <n v="18"/>
    <n v="35"/>
    <n v="53"/>
    <s v=" Czech Republic  "/>
    <x v="20"/>
  </r>
  <r>
    <x v="167"/>
    <x v="2"/>
    <n v="0"/>
    <d v="2015-11-08T10:00:00"/>
    <d v="2015-11-08T00:00:00"/>
    <x v="48"/>
    <x v="42"/>
    <s v=" ArchaeologyEnthusiast "/>
    <s v=" Instagram "/>
    <x v="1"/>
    <s v=" #Curiosity #AncientMysteries          "/>
    <n v="18"/>
    <n v="35"/>
    <n v="53"/>
    <s v=" Australia "/>
    <x v="3"/>
  </r>
  <r>
    <x v="23"/>
    <x v="0"/>
    <n v="1"/>
    <d v="2020-12-02T17:30:00"/>
    <d v="2020-12-02T00:00:00"/>
    <x v="91"/>
    <x v="27"/>
    <s v=" SnowfallEnthusiast "/>
    <s v=" Twitter  "/>
    <x v="0"/>
    <s v=" #Excitement #SnowfallMagic             "/>
    <n v="22"/>
    <n v="45"/>
    <n v="67"/>
    <s v=" Canada         "/>
    <x v="1"/>
  </r>
  <r>
    <x v="79"/>
    <x v="0"/>
    <n v="1"/>
    <d v="2017-06-10T12:15:00"/>
    <d v="2017-06-10T00:00:00"/>
    <x v="99"/>
    <x v="64"/>
    <s v=" BreadLover     "/>
    <s v=" Instagram "/>
    <x v="1"/>
    <s v=" #Contentment #FreshBreadAroma          "/>
    <n v="28"/>
    <n v="55"/>
    <n v="83"/>
    <s v=" France          "/>
    <x v="5"/>
  </r>
  <r>
    <x v="168"/>
    <x v="0"/>
    <n v="1"/>
    <d v="2021-04-15T14:20:00"/>
    <d v="2021-04-15T00:00:00"/>
    <x v="50"/>
    <x v="29"/>
    <s v=" NatureResilient "/>
    <s v=" Facebook "/>
    <x v="2"/>
    <s v=" #Resilience #StandingTall              "/>
    <n v="35"/>
    <n v="70"/>
    <n v="105"/>
    <s v=" USA             "/>
    <x v="0"/>
  </r>
  <r>
    <x v="169"/>
    <x v="0"/>
    <n v="1"/>
    <d v="2019-09-28T19:45:00"/>
    <d v="2019-09-28T00:00:00"/>
    <x v="58"/>
    <x v="25"/>
    <s v=" Bookworm       "/>
    <s v=" Twitter  "/>
    <x v="0"/>
    <s v=" #Immersion #CaptivatingNovel           "/>
    <n v="20"/>
    <n v="40"/>
    <n v="60"/>
    <s v=" UK              "/>
    <x v="2"/>
  </r>
  <r>
    <x v="170"/>
    <x v="2"/>
    <n v="0"/>
    <d v="2016-12-05T21:00:00"/>
    <d v="2016-12-05T00:00:00"/>
    <x v="100"/>
    <x v="65"/>
    <s v=" FamilyHistorian "/>
    <s v=" Instagram "/>
    <x v="1"/>
    <s v=" #Nostalgia #FamilyPhotoAlbum           "/>
    <n v="25"/>
    <n v="50"/>
    <n v="75"/>
    <s v=" India          "/>
    <x v="4"/>
  </r>
  <r>
    <x v="171"/>
    <x v="0"/>
    <n v="1"/>
    <d v="2018-02-10T23:30:00"/>
    <d v="2018-02-10T00:00:00"/>
    <x v="141"/>
    <x v="97"/>
    <s v=" NightSkyWatcher "/>
    <s v=" Facebook "/>
    <x v="2"/>
    <s v=" #Spark #InspirationIgnited             "/>
    <n v="30"/>
    <n v="60"/>
    <n v="90"/>
    <s v=" Australia      "/>
    <x v="3"/>
  </r>
  <r>
    <x v="172"/>
    <x v="0"/>
    <n v="1"/>
    <d v="2023-02-15T08:30:00"/>
    <d v="2023-02-15T00:00:00"/>
    <x v="63"/>
    <x v="43"/>
    <s v=" TeaEnthusiast  "/>
    <s v=" Twitter  "/>
    <x v="0"/>
    <s v=" #Gratitude #WarmTea                    "/>
    <n v="18"/>
    <n v="35"/>
    <n v="53"/>
    <s v=" Japan           "/>
    <x v="7"/>
  </r>
  <r>
    <x v="173"/>
    <x v="0"/>
    <n v="1"/>
    <d v="2015-08-22T15:00:00"/>
    <d v="2015-08-22T00:00:00"/>
    <x v="27"/>
    <x v="26"/>
    <s v=" MarketExplorer "/>
    <s v=" Instagram "/>
    <x v="1"/>
    <s v=" #Marvel #ColorfulStreetMarket          "/>
    <n v="22"/>
    <n v="45"/>
    <n v="67"/>
    <s v=" Brazil          "/>
    <x v="6"/>
  </r>
  <r>
    <x v="174"/>
    <x v="0"/>
    <n v="1"/>
    <d v="2020-11-20T18:45:00"/>
    <d v="2020-11-20T00:00:00"/>
    <x v="57"/>
    <x v="47"/>
    <s v=" LakesideRetreater "/>
    <s v=" Facebook "/>
    <x v="2"/>
    <s v=" #Serenity #TranquilSunset              "/>
    <n v="28"/>
    <n v="55"/>
    <n v="83"/>
    <s v=" Germany       "/>
    <x v="9"/>
  </r>
  <r>
    <x v="175"/>
    <x v="1"/>
    <n v="-1"/>
    <d v="2019-08-05T21:00:00"/>
    <d v="2019-08-05T00:00:00"/>
    <x v="129"/>
    <x v="65"/>
    <s v=" LostInLove      "/>
    <s v=" Instagram "/>
    <x v="1"/>
    <s v=" #Heartbreak #LostLove                    "/>
    <n v="15"/>
    <n v="30"/>
    <n v="45"/>
    <s v=" USA             "/>
    <x v="0"/>
  </r>
  <r>
    <x v="176"/>
    <x v="1"/>
    <n v="-1"/>
    <d v="2021-02-12T16:45:00"/>
    <d v="2021-02-12T00:00:00"/>
    <x v="21"/>
    <x v="20"/>
    <s v=" SolitudeSeeker "/>
    <s v=" Twitter  "/>
    <x v="0"/>
    <s v=" #Loneliness #HeavyHeart                  "/>
    <n v="18"/>
    <n v="35"/>
    <n v="53"/>
    <s v=" Canada          "/>
    <x v="1"/>
  </r>
  <r>
    <x v="177"/>
    <x v="1"/>
    <n v="-1"/>
    <d v="2020-11-28T14:20:00"/>
    <d v="2020-11-28T00:00:00"/>
    <x v="50"/>
    <x v="29"/>
    <s v=" FriendshipsEnd  "/>
    <s v=" Facebook "/>
    <x v="2"/>
    <s v=" #Grief #LostFriendship                  "/>
    <n v="22"/>
    <n v="45"/>
    <n v="67"/>
    <s v=" UK              "/>
    <x v="2"/>
  </r>
  <r>
    <x v="178"/>
    <x v="1"/>
    <n v="-1"/>
    <d v="2016-05-15T22:30:00"/>
    <d v="2016-05-15T00:00:00"/>
    <x v="149"/>
    <x v="99"/>
    <s v=" LostInDarkness  "/>
    <s v=" Instagram "/>
    <x v="1"/>
    <s v=" #Despair #EndlessDarkness               "/>
    <n v="28"/>
    <n v="55"/>
    <n v="83"/>
    <s v=" Australia        "/>
    <x v="3"/>
  </r>
  <r>
    <x v="179"/>
    <x v="1"/>
    <n v="-1"/>
    <d v="2018-09-10T13:15:00"/>
    <d v="2018-09-10T00:00:00"/>
    <x v="30"/>
    <x v="28"/>
    <s v=" BrokenTrust     "/>
    <s v=" Twitter  "/>
    <x v="0"/>
    <s v=" #Betrayal #ShatteredTrust               "/>
    <n v="22"/>
    <n v="45"/>
    <n v="67"/>
    <s v=" Germany         "/>
    <x v="9"/>
  </r>
  <r>
    <x v="180"/>
    <x v="1"/>
    <n v="-1"/>
    <d v="2022-03-20T19:30:00"/>
    <d v="2022-03-20T00:00:00"/>
    <x v="7"/>
    <x v="7"/>
    <s v=" SilentSufferer  "/>
    <s v=" Facebook "/>
    <x v="2"/>
    <s v=" #Suffering #HeartacheSymphony          "/>
    <n v="25"/>
    <n v="50"/>
    <n v="75"/>
    <s v=" Brazil          "/>
    <x v="6"/>
  </r>
  <r>
    <x v="181"/>
    <x v="2"/>
    <n v="0"/>
    <d v="2017-07-18T17:45:00"/>
    <d v="2017-07-18T00:00:00"/>
    <x v="70"/>
    <x v="48"/>
    <s v=" StormyFeelings  "/>
    <s v=" Instagram "/>
    <x v="1"/>
    <s v=" #EmotionalStorm #SadnessWhirlwind      "/>
    <n v="30"/>
    <n v="60"/>
    <n v="90"/>
    <s v=" India          "/>
    <x v="4"/>
  </r>
  <r>
    <x v="182"/>
    <x v="1"/>
    <n v="-1"/>
    <d v="2018-12-15T10:00:00"/>
    <d v="2018-12-15T00:00:00"/>
    <x v="61"/>
    <x v="42"/>
    <s v=" LingeringGhost  "/>
    <s v=" Twitter  "/>
    <x v="0"/>
    <s v=" #Regret #HauntedPast                    "/>
    <n v="18"/>
    <n v="35"/>
    <n v="53"/>
    <s v=" France         "/>
    <x v="5"/>
  </r>
  <r>
    <x v="177"/>
    <x v="1"/>
    <n v="-1"/>
    <d v="2015-06-28T21:15:00"/>
    <d v="2015-06-28T00:00:00"/>
    <x v="59"/>
    <x v="41"/>
    <s v=" EchoesOfLoss    "/>
    <s v=" Facebook "/>
    <x v="2"/>
    <s v=" #Grief #TornApart                       "/>
    <n v="28"/>
    <n v="55"/>
    <n v="83"/>
    <s v=" Italy         "/>
    <x v="11"/>
  </r>
  <r>
    <x v="183"/>
    <x v="1"/>
    <n v="-1"/>
    <d v="2020-04-02T14:20:00"/>
    <d v="2020-04-02T00:00:00"/>
    <x v="50"/>
    <x v="29"/>
    <s v=" WinterOfEmotions "/>
    <s v=" Instagram "/>
    <x v="1"/>
    <s v=" #Isolation #EmotionalWinter            "/>
    <n v="35"/>
    <n v="70"/>
    <n v="105"/>
    <s v=" Japan       "/>
    <x v="7"/>
  </r>
  <r>
    <x v="184"/>
    <x v="1"/>
    <n v="-1"/>
    <d v="2019-10-08T18:30:00"/>
    <d v="2019-10-08T00:00:00"/>
    <x v="40"/>
    <x v="36"/>
    <s v=" ShatteredHopes  "/>
    <s v=" Twitter  "/>
    <x v="0"/>
    <s v=" #Disappointment #CrushedHopes          "/>
    <n v="20"/>
    <n v="40"/>
    <n v="60"/>
    <s v=" Spain        "/>
    <x v="14"/>
  </r>
  <r>
    <x v="185"/>
    <x v="0"/>
    <n v="1"/>
    <d v="2016-11-22T09:45:00"/>
    <d v="2016-11-22T00:00:00"/>
    <x v="31"/>
    <x v="14"/>
    <s v=" AbyssOfTime     "/>
    <s v=" Facebook "/>
    <x v="2"/>
    <s v=" #LostLove #PainfulEchoes               "/>
    <n v="22"/>
    <n v="45"/>
    <n v="67"/>
    <s v=" Netherlands  "/>
    <x v="12"/>
  </r>
  <r>
    <x v="178"/>
    <x v="1"/>
    <n v="-1"/>
    <d v="2022-08-18T22:00:00"/>
    <d v="2022-08-18T00:00:00"/>
    <x v="145"/>
    <x v="70"/>
    <s v=" SolitaryDescent "/>
    <s v=" Instagram "/>
    <x v="1"/>
    <s v=" #Despair #AbyssOfHeartache             "/>
    <n v="40"/>
    <n v="80"/>
    <n v="120"/>
    <s v=" South Africa "/>
    <x v="13"/>
  </r>
  <r>
    <x v="186"/>
    <x v="1"/>
    <n v="-1"/>
    <d v="2017-03-12T23:30:00"/>
    <d v="2017-03-12T00:00:00"/>
    <x v="150"/>
    <x v="97"/>
    <s v=" SerenadeOfSolitude "/>
    <s v=" Twitter "/>
    <x v="0"/>
    <s v=" #Melancholy #QuietSerenade             "/>
    <n v="18"/>
    <n v="35"/>
    <n v="53"/>
    <s v=" UK         "/>
    <x v="2"/>
  </r>
  <r>
    <x v="93"/>
    <x v="1"/>
    <n v="-1"/>
    <d v="2015-12-15T16:15:00"/>
    <d v="2015-12-15T00:00:00"/>
    <x v="132"/>
    <x v="90"/>
    <s v=" PoisonedHeart   "/>
    <s v=" Facebook "/>
    <x v="2"/>
    <s v=" #Bitterness #WoundedHeart              "/>
    <n v="25"/>
    <n v="50"/>
    <n v="75"/>
    <s v=" Australia   "/>
    <x v="3"/>
  </r>
  <r>
    <x v="187"/>
    <x v="1"/>
    <n v="-1"/>
    <d v="2021-09-05T13:30:00"/>
    <d v="2021-09-05T00:00:00"/>
    <x v="44"/>
    <x v="39"/>
    <s v=" WearySoulCrushed "/>
    <s v=" Instagram "/>
    <x v="1"/>
    <s v=" #Exhaustion #CrushedSpirit             "/>
    <n v="35"/>
    <n v="70"/>
    <n v="105"/>
    <s v=" Canada     "/>
    <x v="1"/>
  </r>
  <r>
    <x v="188"/>
    <x v="1"/>
    <n v="-1"/>
    <d v="2018-05-22T20:45:00"/>
    <d v="2018-05-22T00:00:00"/>
    <x v="93"/>
    <x v="61"/>
    <s v=" StringsOfSorrow "/>
    <s v=" Twitter  "/>
    <x v="0"/>
    <s v=" #Sorrow #SymphonyOfLoss                "/>
    <n v="18"/>
    <n v="35"/>
    <n v="53"/>
    <s v=" Germany     "/>
    <x v="9"/>
  </r>
  <r>
    <x v="189"/>
    <x v="1"/>
    <n v="-1"/>
    <d v="2016-07-10T18:20:00"/>
    <d v="2016-07-10T00:00:00"/>
    <x v="3"/>
    <x v="3"/>
    <s v=" SoulInShadow    "/>
    <s v=" Facebook "/>
    <x v="2"/>
    <s v=" #Darkness #SoulEngulfed                 "/>
    <n v="28"/>
    <n v="55"/>
    <n v="83"/>
    <s v=" USA         "/>
    <x v="0"/>
  </r>
  <r>
    <x v="190"/>
    <x v="1"/>
    <n v="-1"/>
    <d v="2019-04-30T14:00:00"/>
    <d v="2019-04-30T00:00:00"/>
    <x v="151"/>
    <x v="60"/>
    <s v=" WhisperedDespair "/>
    <s v=" Instagram "/>
    <x v="1"/>
    <s v=" #Desperation #GlimmerOfHope            "/>
    <n v="22"/>
    <n v="45"/>
    <n v="67"/>
    <s v=" France    "/>
    <x v="5"/>
  </r>
  <r>
    <x v="191"/>
    <x v="1"/>
    <n v="-1"/>
    <d v="2022-01-08T11:30:00"/>
    <d v="2022-01-08T00:00:00"/>
    <x v="64"/>
    <x v="18"/>
    <s v=" DreamsInWind    "/>
    <s v=" Twitter  "/>
    <x v="0"/>
    <s v=" #Ruins #ShatteredDreams                "/>
    <n v="20"/>
    <n v="40"/>
    <n v="60"/>
    <s v=" Brazil     "/>
    <x v="6"/>
  </r>
  <r>
    <x v="192"/>
    <x v="1"/>
    <n v="-1"/>
    <d v="2017-09-10T19:15:00"/>
    <d v="2017-09-10T00:00:00"/>
    <x v="152"/>
    <x v="52"/>
    <s v=" DreamEchoes "/>
    <s v=" Twitter "/>
    <x v="0"/>
    <s v=" #Desolation #ScatteredHope "/>
    <n v="20"/>
    <n v="40"/>
    <n v="60"/>
    <s v=" Australia "/>
    <x v="3"/>
  </r>
  <r>
    <x v="193"/>
    <x v="1"/>
    <n v="-1"/>
    <d v="2022-04-18T11:30:00"/>
    <d v="2022-04-18T00:00:00"/>
    <x v="64"/>
    <x v="18"/>
    <s v=" RemorseWalker "/>
    <s v=" Instagram "/>
    <x v="1"/>
    <s v=" #Regret #PathOfRemorse "/>
    <n v="25"/>
    <n v="50"/>
    <n v="75"/>
    <s v=" Canada "/>
    <x v="1"/>
  </r>
  <r>
    <x v="194"/>
    <x v="1"/>
    <n v="-1"/>
    <d v="2018-12-05T21:45:00"/>
    <d v="2018-12-05T00:00:00"/>
    <x v="73"/>
    <x v="50"/>
    <s v=" JoyLabyrinth "/>
    <s v=" Facebook "/>
    <x v="2"/>
    <s v=" #Grief #LostJoyFootsteps "/>
    <n v="18"/>
    <n v="35"/>
    <n v="53"/>
    <s v=" USA "/>
    <x v="0"/>
  </r>
  <r>
    <x v="61"/>
    <x v="1"/>
    <n v="-1"/>
    <d v="2016-06-28T14:20:00"/>
    <d v="2016-06-28T00:00:00"/>
    <x v="50"/>
    <x v="29"/>
    <s v=" SolitudeSeas "/>
    <s v=" Twitter "/>
    <x v="0"/>
    <s v=" #Loneliness #CrashingWaves "/>
    <n v="22"/>
    <n v="45"/>
    <n v="67"/>
    <s v=" UK "/>
    <x v="2"/>
  </r>
  <r>
    <x v="93"/>
    <x v="1"/>
    <n v="-1"/>
    <d v="2019-10-22T17:00:00"/>
    <d v="2019-10-22T00:00:00"/>
    <x v="153"/>
    <x v="34"/>
    <s v=" PalateStainer "/>
    <s v=" Instagram "/>
    <x v="1"/>
    <s v=" #Bitterness #StainedTrust "/>
    <n v="15"/>
    <n v="30"/>
    <n v="45"/>
    <s v=" Germany "/>
    <x v="9"/>
  </r>
  <r>
    <x v="192"/>
    <x v="1"/>
    <n v="-1"/>
    <d v="2021-03-15T22:45:00"/>
    <d v="2021-03-15T00:00:00"/>
    <x v="154"/>
    <x v="85"/>
    <s v=" HopeRuins "/>
    <s v=" Facebook "/>
    <x v="2"/>
    <s v=" #Desolation #WhisperedLoss "/>
    <n v="28"/>
    <n v="55"/>
    <n v="83"/>
    <s v=" Brazil "/>
    <x v="6"/>
  </r>
  <r>
    <x v="195"/>
    <x v="1"/>
    <n v="-1"/>
    <d v="2017-08-10T19:30:00"/>
    <d v="2017-08-10T00:00:00"/>
    <x v="62"/>
    <x v="7"/>
    <s v=" OceanSinker "/>
    <s v=" Twitter "/>
    <x v="0"/>
    <s v=" #Heartbreak #RippleOfDespair "/>
    <n v="22"/>
    <n v="45"/>
    <n v="67"/>
    <s v=" France "/>
    <x v="5"/>
  </r>
  <r>
    <x v="194"/>
    <x v="1"/>
    <n v="-1"/>
    <d v="2023-01-28T14:30:00"/>
    <d v="2023-01-28T00:00:00"/>
    <x v="23"/>
    <x v="22"/>
    <s v=" InkJournalist "/>
    <s v=" Instagram "/>
    <x v="1"/>
    <s v=" #Grief #SilentTears "/>
    <n v="30"/>
    <n v="60"/>
    <n v="90"/>
    <s v=" India "/>
    <x v="4"/>
  </r>
  <r>
    <x v="196"/>
    <x v="1"/>
    <n v="-1"/>
    <d v="2016-12-12T10:00:00"/>
    <d v="2016-12-12T00:00:00"/>
    <x v="48"/>
    <x v="42"/>
    <s v=" TrustWasteland "/>
    <s v=" Facebook "/>
    <x v="2"/>
    <s v=" #Betrayal #ReverberatingPromises "/>
    <n v="25"/>
    <n v="50"/>
    <n v="75"/>
    <s v=" Italy "/>
    <x v="11"/>
  </r>
  <r>
    <x v="197"/>
    <x v="0"/>
    <n v="1"/>
    <d v="2020-07-18T15:15:00"/>
    <d v="2020-07-18T00:00:00"/>
    <x v="19"/>
    <x v="10"/>
    <s v=" DreamTightrope "/>
    <s v=" Twitter "/>
    <x v="0"/>
    <s v=" #Resilience #TightropeWalk "/>
    <n v="35"/>
    <n v="70"/>
    <n v="105"/>
    <s v=" Japan "/>
    <x v="7"/>
  </r>
  <r>
    <x v="183"/>
    <x v="1"/>
    <n v="-1"/>
    <d v="2022-05-20T20:30:00"/>
    <d v="2022-05-20T00:00:00"/>
    <x v="66"/>
    <x v="45"/>
    <s v=" EchoedLaughter "/>
    <s v=" Instagram "/>
    <x v="1"/>
    <s v=" #Isolation #SilentSolitude "/>
    <n v="30"/>
    <n v="60"/>
    <n v="90"/>
    <s v=" South Africa "/>
    <x v="13"/>
  </r>
  <r>
    <x v="193"/>
    <x v="1"/>
    <n v="-1"/>
    <d v="2019-11-08T14:45:00"/>
    <d v="2019-11-08T00:00:00"/>
    <x v="47"/>
    <x v="6"/>
    <s v=" PossibilityGhost "/>
    <s v=" Twitter "/>
    <x v="0"/>
    <s v=" #Regret #FadingPossibilities "/>
    <n v="18"/>
    <n v="35"/>
    <n v="53"/>
    <s v=" Spain "/>
    <x v="14"/>
  </r>
  <r>
    <x v="92"/>
    <x v="1"/>
    <n v="-1"/>
    <d v="2017-03-28T22:00:00"/>
    <d v="2017-03-28T00:00:00"/>
    <x v="107"/>
    <x v="70"/>
    <s v=" EndlessLabyrinth "/>
    <s v=" Facebook "/>
    <x v="2"/>
    <s v=" #Despair #EndlessReverberation "/>
    <n v="28"/>
    <n v="55"/>
    <n v="83"/>
    <s v=" Australia "/>
    <x v="3"/>
  </r>
  <r>
    <x v="198"/>
    <x v="1"/>
    <n v="-1"/>
    <d v="2020-09-15T18:15:00"/>
    <d v="2020-09-15T00:00:00"/>
    <x v="155"/>
    <x v="100"/>
    <s v=" RiverOfSorrow "/>
    <s v=" Instagram "/>
    <x v="1"/>
    <s v=" #Sorrow #AutumnLeaves "/>
    <n v="22"/>
    <n v="45"/>
    <n v="67"/>
    <s v=" Canada "/>
    <x v="1"/>
  </r>
  <r>
    <x v="192"/>
    <x v="1"/>
    <n v="-1"/>
    <d v="2018-06-10T13:30:00"/>
    <d v="2018-06-10T00:00:00"/>
    <x v="156"/>
    <x v="39"/>
    <s v=" DreamGardener "/>
    <s v=" Twitter "/>
    <x v="0"/>
    <s v=" #Desolation #ShatteredHopes "/>
    <n v="20"/>
    <n v="40"/>
    <n v="60"/>
    <s v=" UK "/>
    <x v="2"/>
  </r>
  <r>
    <x v="194"/>
    <x v="1"/>
    <n v="-1"/>
    <d v="2016-12-22T21:45:00"/>
    <d v="2016-12-22T00:00:00"/>
    <x v="157"/>
    <x v="50"/>
    <s v=" CurrencyOfTears "/>
    <s v=" Facebook "/>
    <x v="2"/>
    <s v=" #Grief #LostLoveLonging "/>
    <n v="25"/>
    <n v="50"/>
    <n v="75"/>
    <s v=" USA "/>
    <x v="0"/>
  </r>
  <r>
    <x v="196"/>
    <x v="1"/>
    <n v="-1"/>
    <d v="2021-01-05T16:20:00"/>
    <d v="2021-01-05T00:00:00"/>
    <x v="25"/>
    <x v="24"/>
    <s v=" MazeWanderer "/>
    <s v=" Instagram "/>
    <x v="1"/>
    <s v=" #Betrayal #ClosingWalls "/>
    <n v="15"/>
    <n v="30"/>
    <n v="45"/>
    <s v=" Germany "/>
    <x v="9"/>
  </r>
  <r>
    <x v="195"/>
    <x v="1"/>
    <n v="-1"/>
    <d v="2019-04-18T11:00:00"/>
    <d v="2019-04-18T00:00:00"/>
    <x v="158"/>
    <x v="101"/>
    <s v=" StormSeeker "/>
    <s v=" Twitter "/>
    <x v="0"/>
    <s v=" #Heartbreak #CalmAfterStorm "/>
    <n v="22"/>
    <n v="45"/>
    <n v="67"/>
    <s v=" Brazil "/>
    <x v="6"/>
  </r>
  <r>
    <x v="92"/>
    <x v="1"/>
    <n v="-1"/>
    <d v="2017-08-28T19:30:00"/>
    <d v="2017-08-28T00:00:00"/>
    <x v="62"/>
    <x v="7"/>
    <s v=" TapestrySorrow "/>
    <s v=" Facebook "/>
    <x v="2"/>
    <s v=" #Despair #UnraveledHope "/>
    <n v="18"/>
    <n v="35"/>
    <n v="53"/>
    <s v=" India "/>
    <x v="4"/>
  </r>
  <r>
    <x v="199"/>
    <x v="2"/>
    <n v="0"/>
    <d v="2023-02-10T14:30:00"/>
    <d v="2023-02-10T00:00:00"/>
    <x v="72"/>
    <x v="22"/>
    <s v=" WitheredRose "/>
    <s v=" Instagram "/>
    <x v="1"/>
    <s v=" #Loss #SilentSurrender "/>
    <n v="28"/>
    <n v="55"/>
    <n v="83"/>
    <s v=" France "/>
    <x v="5"/>
  </r>
  <r>
    <x v="200"/>
    <x v="1"/>
    <n v="-1"/>
    <d v="2022-07-10T22:15:00"/>
    <d v="2022-07-10T00:00:00"/>
    <x v="159"/>
    <x v="102"/>
    <s v=" LoveSongEcho "/>
    <s v=" Instagram "/>
    <x v="1"/>
    <s v=" #Heartache #LoveSongLonging "/>
    <n v="30"/>
    <n v="60"/>
    <n v="90"/>
    <s v=" Japan "/>
    <x v="7"/>
  </r>
  <r>
    <x v="170"/>
    <x v="2"/>
    <n v="0"/>
    <d v="2019-05-15T21:30:00"/>
    <d v="2019-05-15T00:00:00"/>
    <x v="160"/>
    <x v="103"/>
    <s v=" MoonlitMemories "/>
    <s v=" Twitter "/>
    <x v="0"/>
    <s v=" #Nostalgia #CherishedMemories "/>
    <n v="18"/>
    <n v="35"/>
    <n v="53"/>
    <s v=" Italy "/>
    <x v="11"/>
  </r>
  <r>
    <x v="194"/>
    <x v="1"/>
    <n v="-1"/>
    <d v="2018-11-28T14:00:00"/>
    <d v="2018-11-28T00:00:00"/>
    <x v="92"/>
    <x v="60"/>
    <s v=" SymphonyOfTears "/>
    <s v=" Facebook "/>
    <x v="2"/>
    <s v=" #Grief #MelancholicMelody "/>
    <n v="22"/>
    <n v="45"/>
    <n v="67"/>
    <s v=" Germany "/>
    <x v="9"/>
  </r>
  <r>
    <x v="196"/>
    <x v="1"/>
    <n v="-1"/>
    <d v="2021-03-02T17:45:00"/>
    <d v="2021-03-02T00:00:00"/>
    <x v="102"/>
    <x v="48"/>
    <s v=" VenomousGarden "/>
    <s v=" Instagram "/>
    <x v="1"/>
    <s v=" #Betrayal #PoisonedTrust "/>
    <n v="25"/>
    <n v="50"/>
    <n v="75"/>
    <s v=" Canada "/>
    <x v="1"/>
  </r>
  <r>
    <x v="92"/>
    <x v="1"/>
    <n v="-1"/>
    <d v="2016-10-18T19:30:00"/>
    <d v="2016-10-18T00:00:00"/>
    <x v="62"/>
    <x v="7"/>
    <s v=" QuicksandFighter "/>
    <s v=" Twitter "/>
    <x v="0"/>
    <s v=" #Despair #DeepDescent "/>
    <n v="20"/>
    <n v="40"/>
    <n v="60"/>
    <s v=" USA "/>
    <x v="0"/>
  </r>
  <r>
    <x v="192"/>
    <x v="1"/>
    <n v="-1"/>
    <d v="2020-08-15T12:30:00"/>
    <d v="2020-08-15T00:00:00"/>
    <x v="135"/>
    <x v="0"/>
    <s v=" DreamCemetery "/>
    <s v=" Facebook "/>
    <x v="2"/>
    <s v=" #Desolation #UntoldSorrows "/>
    <n v="28"/>
    <n v="55"/>
    <n v="83"/>
    <s v=" France "/>
    <x v="5"/>
  </r>
  <r>
    <x v="193"/>
    <x v="1"/>
    <n v="-1"/>
    <d v="2017-04-28T16:20:00"/>
    <d v="2017-04-28T00:00:00"/>
    <x v="25"/>
    <x v="24"/>
    <s v=" RegretRiver "/>
    <s v=" Instagram "/>
    <x v="1"/>
    <s v=" #Regret #PastCurrents "/>
    <n v="18"/>
    <n v="35"/>
    <n v="53"/>
    <s v=" UK "/>
    <x v="2"/>
  </r>
  <r>
    <x v="199"/>
    <x v="2"/>
    <n v="0"/>
    <d v="2019-09-10T21:00:00"/>
    <d v="2019-09-10T00:00:00"/>
    <x v="129"/>
    <x v="65"/>
    <s v=" HeartAttic "/>
    <s v=" Twitter "/>
    <x v="0"/>
    <s v=" #Loss #ForgottenLove "/>
    <n v="22"/>
    <n v="45"/>
    <n v="67"/>
    <s v=" Australia "/>
    <x v="3"/>
  </r>
  <r>
    <x v="196"/>
    <x v="1"/>
    <n v="-1"/>
    <d v="2022-01-28T13:45:00"/>
    <d v="2022-01-28T00:00:00"/>
    <x v="161"/>
    <x v="62"/>
    <s v=" PromiseGallery "/>
    <s v=" Facebook "/>
    <x v="2"/>
    <s v=" #Betrayal #ShatteredVows "/>
    <n v="15"/>
    <n v="30"/>
    <n v="45"/>
    <s v=" Brazil "/>
    <x v="6"/>
  </r>
  <r>
    <x v="201"/>
    <x v="1"/>
    <n v="-1"/>
    <d v="2016-06-15T22:30:00"/>
    <d v="2016-06-15T00:00:00"/>
    <x v="162"/>
    <x v="99"/>
    <s v=" EchoedConversation "/>
    <s v=" Instagram "/>
    <x v="1"/>
    <s v=" #Solitude #ShadowConversation "/>
    <n v="30"/>
    <n v="60"/>
    <n v="90"/>
    <s v=" Spain "/>
    <x v="14"/>
  </r>
  <r>
    <x v="202"/>
    <x v="0"/>
    <n v="1"/>
    <d v="2021-08-20T15:45:00"/>
    <d v="2021-08-20T00:00:00"/>
    <x v="39"/>
    <x v="2"/>
    <s v=" SunshineDancer "/>
    <s v=" Instagram "/>
    <x v="1"/>
    <s v=" #Joy #SimpleMoments "/>
    <n v="40"/>
    <n v="80"/>
    <n v="120"/>
    <s v=" USA "/>
    <x v="0"/>
  </r>
  <r>
    <x v="203"/>
    <x v="0"/>
    <n v="1"/>
    <d v="2018-04-12T18:30:00"/>
    <d v="2018-04-12T00:00:00"/>
    <x v="40"/>
    <x v="36"/>
    <s v=" EchoedLaughter "/>
    <s v=" Twitter "/>
    <x v="0"/>
    <s v=" #Happiness #SpiritLifter "/>
    <n v="35"/>
    <n v="70"/>
    <n v="105"/>
    <s v=" Canada "/>
    <x v="1"/>
  </r>
  <r>
    <x v="79"/>
    <x v="0"/>
    <n v="1"/>
    <d v="2022-02-15T12:20:00"/>
    <d v="2022-02-15T00:00:00"/>
    <x v="9"/>
    <x v="9"/>
    <s v=" GardenOfJoy "/>
    <s v=" Facebook "/>
    <x v="2"/>
    <s v=" #Contentment #InnerPeace "/>
    <n v="25"/>
    <n v="50"/>
    <n v="75"/>
    <s v=" UK "/>
    <x v="2"/>
  </r>
  <r>
    <x v="204"/>
    <x v="0"/>
    <n v="1"/>
    <d v="2019-10-28T14:15:00"/>
    <d v="2019-10-28T00:00:00"/>
    <x v="163"/>
    <x v="67"/>
    <s v=" DreamChaser "/>
    <s v=" Instagram "/>
    <x v="1"/>
    <s v=" #Enthusiasm #HopefulJourney "/>
    <n v="30"/>
    <n v="60"/>
    <n v="90"/>
    <s v=" Australia "/>
    <x v="3"/>
  </r>
  <r>
    <x v="205"/>
    <x v="0"/>
    <n v="1"/>
    <d v="2017-12-22T21:00:00"/>
    <d v="2017-12-22T00:00:00"/>
    <x v="100"/>
    <x v="65"/>
    <s v=" StarSerenader "/>
    <s v=" Twitter "/>
    <x v="0"/>
    <s v=" #Gratitude #ThankfulMelody "/>
    <n v="22"/>
    <n v="45"/>
    <n v="67"/>
    <s v=" India "/>
    <x v="4"/>
  </r>
  <r>
    <x v="128"/>
    <x v="0"/>
    <n v="1"/>
    <d v="2020-06-10T17:30:00"/>
    <d v="2020-06-10T00:00:00"/>
    <x v="28"/>
    <x v="27"/>
    <s v=" GlowAchiever "/>
    <s v=" Facebook "/>
    <x v="2"/>
    <s v=" #Accomplishment #HappinessMilestone "/>
    <n v="28"/>
    <n v="55"/>
    <n v="83"/>
    <s v=" Germany "/>
    <x v="9"/>
  </r>
  <r>
    <x v="206"/>
    <x v="2"/>
    <n v="0"/>
    <d v="2016-09-18T19:45:00"/>
    <d v="2016-09-18T00:00:00"/>
    <x v="26"/>
    <x v="25"/>
    <s v=" DanceHarmony "/>
    <s v=" Instagram "/>
    <x v="1"/>
    <s v=" #Positivity #SoulUpliftment "/>
    <n v="18"/>
    <n v="35"/>
    <n v="53"/>
    <s v=" France "/>
    <x v="5"/>
  </r>
  <r>
    <x v="202"/>
    <x v="0"/>
    <n v="1"/>
    <d v="2023-03-10T14:30:00"/>
    <d v="2023-03-10T00:00:00"/>
    <x v="72"/>
    <x v="22"/>
    <s v=" LaughterCup "/>
    <s v=" Twitter "/>
    <x v="0"/>
    <s v=" #Joy #CherishedMoment "/>
    <n v="20"/>
    <n v="40"/>
    <n v="60"/>
    <s v=" Japan "/>
    <x v="7"/>
  </r>
  <r>
    <x v="207"/>
    <x v="0"/>
    <n v="1"/>
    <d v="2019-05-05T12:15:00"/>
    <d v="2019-05-05T00:00:00"/>
    <x v="99"/>
    <x v="64"/>
    <s v=" QuiltedCompassion "/>
    <s v=" Facebook "/>
    <x v="2"/>
    <s v=" #Kindness #LoveStitches "/>
    <n v="25"/>
    <n v="50"/>
    <n v="75"/>
    <s v=" Brazil "/>
    <x v="6"/>
  </r>
  <r>
    <x v="208"/>
    <x v="0"/>
    <n v="1"/>
    <d v="2018-08-28T16:00:00"/>
    <d v="2018-08-28T00:00:00"/>
    <x v="51"/>
    <x v="44"/>
    <s v=" FriendshipGarden "/>
    <s v=" Instagram "/>
    <x v="1"/>
    <s v=" #Friendship #CamaraderieBlooms "/>
    <n v="30"/>
    <n v="60"/>
    <n v="90"/>
    <s v=" South Africa "/>
    <x v="13"/>
  </r>
  <r>
    <x v="209"/>
    <x v="0"/>
    <n v="1"/>
    <d v="2022-11-15T20:45:00"/>
    <d v="2022-11-15T00:00:00"/>
    <x v="93"/>
    <x v="61"/>
    <s v=" MelodyOfLove "/>
    <s v=" Twitter "/>
    <x v="0"/>
    <s v=" #Love #RhythmOfAffection "/>
    <n v="35"/>
    <n v="70"/>
    <n v="105"/>
    <s v=" USA "/>
    <x v="0"/>
  </r>
  <r>
    <x v="202"/>
    <x v="0"/>
    <n v="1"/>
    <d v="2019-07-02T17:00:00"/>
    <d v="2019-07-02T00:00:00"/>
    <x v="153"/>
    <x v="34"/>
    <s v=" ColorfulLaughter "/>
    <s v=" Instagram "/>
    <x v="1"/>
    <s v=" #Joy #EndlessSmiles "/>
    <n v="40"/>
    <n v="80"/>
    <n v="120"/>
    <s v=" Canada "/>
    <x v="1"/>
  </r>
  <r>
    <x v="28"/>
    <x v="0"/>
    <n v="1"/>
    <d v="2021-04-18T14:20:00"/>
    <d v="2021-04-18T00:00:00"/>
    <x v="32"/>
    <x v="29"/>
    <s v=" SymphonyFervor "/>
    <s v=" Facebook "/>
    <x v="2"/>
    <s v=" #Excitement #IgnitedSoul "/>
    <n v="30"/>
    <n v="60"/>
    <n v="90"/>
    <s v=" UK "/>
    <x v="2"/>
  </r>
  <r>
    <x v="210"/>
    <x v="2"/>
    <n v="0"/>
    <d v="2023-02-05T19:30:00"/>
    <d v="2023-02-05T00:00:00"/>
    <x v="7"/>
    <x v="7"/>
    <s v=" WrappedDelight "/>
    <s v=" Twitter "/>
    <x v="0"/>
    <s v=" #Surprise #WonderfulMoment "/>
    <n v="25"/>
    <n v="50"/>
    <n v="75"/>
    <s v=" Australia "/>
    <x v="3"/>
  </r>
  <r>
    <x v="90"/>
    <x v="2"/>
    <n v="0"/>
    <d v="2018-09-22T12:45:00"/>
    <d v="2018-09-22T00:00:00"/>
    <x v="147"/>
    <x v="96"/>
    <s v=" MazeDiscovery "/>
    <s v=" Instagram "/>
    <x v="1"/>
    <s v=" #Curiosity #TreasuresOfDiscovery "/>
    <n v="22"/>
    <n v="45"/>
    <n v="67"/>
    <s v=" India "/>
    <x v="4"/>
  </r>
  <r>
    <x v="205"/>
    <x v="0"/>
    <n v="1"/>
    <d v="2016-12-10T21:15:00"/>
    <d v="2016-12-10T00:00:00"/>
    <x v="46"/>
    <x v="41"/>
    <s v=" CloudsOfBlessings "/>
    <s v=" Facebook "/>
    <x v="2"/>
    <s v=" #Gratitude #ShowerOfThankfulness "/>
    <n v="28"/>
    <n v="55"/>
    <n v="83"/>
    <s v=" Germany "/>
    <x v="9"/>
  </r>
  <r>
    <x v="148"/>
    <x v="0"/>
    <n v="1"/>
    <d v="2020-05-28T16:00:00"/>
    <d v="2020-05-28T00:00:00"/>
    <x v="65"/>
    <x v="44"/>
    <s v=" CometCreativity "/>
    <s v=" Twitter "/>
    <x v="0"/>
    <s v=" #Inspiration #BrilliantTrails "/>
    <n v="18"/>
    <n v="35"/>
    <n v="53"/>
    <s v=" France "/>
    <x v="5"/>
  </r>
  <r>
    <x v="211"/>
    <x v="0"/>
    <n v="1"/>
    <d v="2017-11-15T22:30:00"/>
    <d v="2017-11-15T00:00:00"/>
    <x v="162"/>
    <x v="99"/>
    <s v=" FireworksTriumph "/>
    <s v=" Instagram "/>
    <x v="1"/>
    <s v=" #Success #NightSkyTriumph "/>
    <n v="22"/>
    <n v="45"/>
    <n v="67"/>
    <s v=" Japan "/>
    <x v="7"/>
  </r>
  <r>
    <x v="203"/>
    <x v="0"/>
    <n v="1"/>
    <d v="2021-08-02T19:00:00"/>
    <d v="2021-08-02T00:00:00"/>
    <x v="88"/>
    <x v="38"/>
    <s v=" LaughterSymphony "/>
    <s v=" Facebook "/>
    <x v="2"/>
    <s v=" #Happiness #BoundlessLaughter "/>
    <n v="30"/>
    <n v="60"/>
    <n v="90"/>
    <s v=" Brazil "/>
    <x v="6"/>
  </r>
  <r>
    <x v="212"/>
    <x v="0"/>
    <n v="1"/>
    <d v="2019-03-28T15:30:00"/>
    <d v="2019-03-28T00:00:00"/>
    <x v="78"/>
    <x v="49"/>
    <s v=" EmotionCarnival "/>
    <s v=" Instagram "/>
    <x v="1"/>
    <s v=" #Thrill #WildHeartRide "/>
    <n v="35"/>
    <n v="70"/>
    <n v="105"/>
    <s v=" South Africa "/>
    <x v="13"/>
  </r>
  <r>
    <x v="213"/>
    <x v="2"/>
    <n v="0"/>
    <d v="2018-05-12T17:30:00"/>
    <d v="2018-05-12T00:00:00"/>
    <x v="28"/>
    <x v="27"/>
    <s v=" ParisDreamer "/>
    <s v=" Twitter "/>
    <x v="0"/>
    <s v=" #Reflection #ParisianDreams "/>
    <n v="28"/>
    <n v="55"/>
    <n v="83"/>
    <s v=" France "/>
    <x v="5"/>
  </r>
  <r>
    <x v="214"/>
    <x v="0"/>
    <n v="1"/>
    <d v="2022-09-28T15:45:00"/>
    <d v="2022-09-28T00:00:00"/>
    <x v="39"/>
    <x v="2"/>
    <s v=" DisneylandExplorer "/>
    <s v=" Instagram "/>
    <x v="1"/>
    <s v=" #Enchantment #ChildhoodFantasies "/>
    <n v="30"/>
    <n v="60"/>
    <n v="90"/>
    <s v=" USA "/>
    <x v="0"/>
  </r>
  <r>
    <x v="28"/>
    <x v="0"/>
    <n v="1"/>
    <d v="2019-11-10T14:00:00"/>
    <d v="2019-11-10T00:00:00"/>
    <x v="151"/>
    <x v="60"/>
    <s v=" FerrariSpeedster "/>
    <s v=" Facebook "/>
    <x v="2"/>
    <s v=" #Excitement #SymphonyOfSpeed "/>
    <n v="22"/>
    <n v="45"/>
    <n v="67"/>
    <s v=" Italy "/>
    <x v="11"/>
  </r>
  <r>
    <x v="202"/>
    <x v="0"/>
    <n v="1"/>
    <d v="2021-04-02T18:20:00"/>
    <d v="2021-04-02T00:00:00"/>
    <x v="60"/>
    <x v="3"/>
    <s v=" KeukenhofAdventurer "/>
    <s v=" Instagram "/>
    <x v="1"/>
    <s v=" #Joy #SpringtimeColors "/>
    <n v="35"/>
    <n v="70"/>
    <n v="105"/>
    <s v=" Netherlands "/>
    <x v="12"/>
  </r>
  <r>
    <x v="215"/>
    <x v="0"/>
    <n v="1"/>
    <d v="2017-08-22T21:30:00"/>
    <d v="2017-08-22T00:00:00"/>
    <x v="164"/>
    <x v="103"/>
    <s v=" KyotoAdventurer "/>
    <s v=" Twitter "/>
    <x v="0"/>
    <s v=" #Exploration #JapaneseTraditions "/>
    <n v="18"/>
    <n v="35"/>
    <n v="53"/>
    <s v=" Japan "/>
    <x v="7"/>
  </r>
  <r>
    <x v="216"/>
    <x v="0"/>
    <n v="1"/>
    <d v="2020-06-15T16:45:00"/>
    <d v="2020-06-15T00:00:00"/>
    <x v="21"/>
    <x v="20"/>
    <s v=" CanyonMarveler "/>
    <s v=" Instagram "/>
    <x v="1"/>
    <s v=" #Awe #EarthsGrandeur "/>
    <n v="25"/>
    <n v="50"/>
    <n v="75"/>
    <s v=" USA "/>
    <x v="0"/>
  </r>
  <r>
    <x v="89"/>
    <x v="0"/>
    <n v="1"/>
    <d v="2016-09-10T19:15:00"/>
    <d v="2016-09-10T00:00:00"/>
    <x v="75"/>
    <x v="52"/>
    <s v=" SantoriniTraveler "/>
    <s v=" Facebook "/>
    <x v="2"/>
    <s v=" #Serenity #SunsetHues "/>
    <n v="22"/>
    <n v="45"/>
    <n v="67"/>
    <s v=" Greece "/>
    <x v="8"/>
  </r>
  <r>
    <x v="217"/>
    <x v="0"/>
    <n v="1"/>
    <d v="2023-01-28T13:00:00"/>
    <d v="2023-01-28T00:00:00"/>
    <x v="165"/>
    <x v="78"/>
    <s v=" PetraExplorer "/>
    <s v=" Twitter "/>
    <x v="0"/>
    <s v=" #Amazement #AncientTales "/>
    <n v="30"/>
    <n v="60"/>
    <n v="90"/>
    <s v=" Jordan "/>
    <x v="21"/>
  </r>
  <r>
    <x v="218"/>
    <x v="0"/>
    <n v="1"/>
    <d v="2019-04-18T16:30:00"/>
    <d v="2019-04-18T00:00:00"/>
    <x v="77"/>
    <x v="54"/>
    <s v=" VeniceRomantic "/>
    <s v=" Instagram "/>
    <x v="1"/>
    <s v=" #Romance #TimelessCity "/>
    <n v="20"/>
    <n v="40"/>
    <n v="60"/>
    <s v=" Italy "/>
    <x v="11"/>
  </r>
  <r>
    <x v="216"/>
    <x v="0"/>
    <n v="1"/>
    <d v="2017-11-05T22:00:00"/>
    <d v="2017-11-05T00:00:00"/>
    <x v="107"/>
    <x v="70"/>
    <s v=" MachuPicchuAdventurer "/>
    <s v=" Facebook "/>
    <x v="2"/>
    <s v=" #Awe #AncientCivilizations "/>
    <n v="28"/>
    <n v="55"/>
    <n v="83"/>
    <s v=" Peru "/>
    <x v="22"/>
  </r>
  <r>
    <x v="28"/>
    <x v="0"/>
    <n v="1"/>
    <d v="2022-07-20T21:45:00"/>
    <d v="2022-07-20T00:00:00"/>
    <x v="157"/>
    <x v="50"/>
    <s v=" TimesSquareExplorer "/>
    <s v=" Instagram "/>
    <x v="1"/>
    <s v=" #Excitement #UrbanEnergy "/>
    <n v="35"/>
    <n v="70"/>
    <n v="105"/>
    <s v=" USA "/>
    <x v="0"/>
  </r>
  <r>
    <x v="219"/>
    <x v="0"/>
    <n v="1"/>
    <d v="2018-03-15T17:30:00"/>
    <d v="2018-03-15T00:00:00"/>
    <x v="28"/>
    <x v="27"/>
    <s v=" ColosseumAdventurer "/>
    <s v=" Twitter "/>
    <x v="0"/>
    <s v=" #Captivation #GladiatorTales "/>
    <n v="25"/>
    <n v="50"/>
    <n v="75"/>
    <s v=" Italy "/>
    <x v="11"/>
  </r>
  <r>
    <x v="89"/>
    <x v="0"/>
    <n v="1"/>
    <d v="2019-10-28T14:15:00"/>
    <d v="2019-10-28T00:00:00"/>
    <x v="163"/>
    <x v="67"/>
    <s v=" MaldivesSailor "/>
    <s v=" Facebook "/>
    <x v="2"/>
    <s v=" #Serenity #ParadiseWhispers "/>
    <n v="22"/>
    <n v="45"/>
    <n v="67"/>
    <s v=" Maldives "/>
    <x v="23"/>
  </r>
  <r>
    <x v="220"/>
    <x v="0"/>
    <n v="1"/>
    <d v="2021-06-10T16:00:00"/>
    <d v="2021-06-10T00:00:00"/>
    <x v="65"/>
    <x v="44"/>
    <s v=" AmazonExplorer "/>
    <s v=" Instagram "/>
    <x v="1"/>
    <s v=" #Wonder #NatureOrchestra "/>
    <n v="30"/>
    <n v="60"/>
    <n v="90"/>
    <s v=" Brazil "/>
    <x v="6"/>
  </r>
  <r>
    <x v="216"/>
    <x v="0"/>
    <n v="1"/>
    <d v="2017-08-18T19:30:00"/>
    <d v="2017-08-18T00:00:00"/>
    <x v="62"/>
    <x v="7"/>
    <s v=" GreatWallWalker "/>
    <s v=" Twitter "/>
    <x v="0"/>
    <s v=" #Awe #EngineeringMarvels "/>
    <n v="18"/>
    <n v="35"/>
    <n v="53"/>
    <s v=" China "/>
    <x v="24"/>
  </r>
  <r>
    <x v="128"/>
    <x v="0"/>
    <n v="1"/>
    <d v="2020-04-15T05:30:00"/>
    <d v="2020-04-15T00:00:00"/>
    <x v="166"/>
    <x v="104"/>
    <s v=" FujiSummitAchiever "/>
    <s v=" Facebook "/>
    <x v="2"/>
    <s v=" #Accomplishment #SunriseHues "/>
    <n v="28"/>
    <n v="55"/>
    <n v="83"/>
    <s v=" Japan "/>
    <x v="7"/>
  </r>
  <r>
    <x v="215"/>
    <x v="0"/>
    <n v="1"/>
    <d v="2016-11-22T13:00:00"/>
    <d v="2016-11-22T00:00:00"/>
    <x v="165"/>
    <x v="78"/>
    <s v=" AngkorWatAdventurer "/>
    <s v=" Instagram "/>
    <x v="1"/>
    <s v=" #Exploration #KhmerStories "/>
    <n v="20"/>
    <n v="40"/>
    <n v="60"/>
    <s v=" Cambodia "/>
    <x v="25"/>
  </r>
  <r>
    <x v="151"/>
    <x v="0"/>
    <n v="1"/>
    <d v="2019-01-10T14:45:00"/>
    <d v="2019-01-10T00:00:00"/>
    <x v="47"/>
    <x v="6"/>
    <s v=" AlpsSkiAdventurer "/>
    <s v=" Twitter "/>
    <x v="0"/>
    <s v=" #Adventure #SnowPeakDance "/>
    <n v="22"/>
    <n v="45"/>
    <n v="67"/>
    <s v=" Switzerland "/>
    <x v="16"/>
  </r>
  <r>
    <x v="221"/>
    <x v="0"/>
    <n v="1"/>
    <d v="2023-02-28T16:20:00"/>
    <d v="2023-02-28T00:00:00"/>
    <x v="25"/>
    <x v="24"/>
    <s v=" KyotoBambooSeeker "/>
    <s v=" Facebook "/>
    <x v="2"/>
    <s v=" #Tranquility #ZenWisdom "/>
    <n v="25"/>
    <n v="50"/>
    <n v="75"/>
    <s v=" Japan "/>
    <x v="7"/>
  </r>
  <r>
    <x v="222"/>
    <x v="0"/>
    <n v="1"/>
    <d v="2018-05-28T18:30:00"/>
    <d v="2018-05-28T00:00:00"/>
    <x v="40"/>
    <x v="36"/>
    <s v=" NorwayFjordExplorer "/>
    <s v=" Instagram "/>
    <x v="1"/>
    <s v=" #Grandeur #IcyMasterpiece "/>
    <n v="22"/>
    <n v="45"/>
    <n v="67"/>
    <s v=" Norway "/>
    <x v="26"/>
  </r>
  <r>
    <x v="223"/>
    <x v="2"/>
    <n v="0"/>
    <d v="2022-09-15T20:00:00"/>
    <d v="2022-09-15T00:00:00"/>
    <x v="34"/>
    <x v="31"/>
    <s v=" AdeleConcertGoer "/>
    <s v=" Instagram "/>
    <x v="1"/>
    <s v=" #Emotion #AdeleConcert "/>
    <n v="40"/>
    <n v="80"/>
    <n v="120"/>
    <s v=" USA "/>
    <x v="0"/>
  </r>
  <r>
    <x v="224"/>
    <x v="0"/>
    <n v="1"/>
    <d v="2019-07-28T21:30:00"/>
    <d v="2019-07-28T00:00:00"/>
    <x v="160"/>
    <x v="103"/>
    <s v=" BeyonceDancer "/>
    <s v=" Twitter "/>
    <x v="0"/>
    <s v=" #Energy #BeyonceConcert "/>
    <n v="35"/>
    <n v="70"/>
    <n v="105"/>
    <s v=" USA "/>
    <x v="0"/>
  </r>
  <r>
    <x v="214"/>
    <x v="0"/>
    <n v="1"/>
    <d v="2021-05-10T19:45:00"/>
    <d v="2021-05-10T00:00:00"/>
    <x v="58"/>
    <x v="25"/>
    <s v=" SwiftieDreamer "/>
    <s v=" Facebook "/>
    <x v="2"/>
    <s v=" #Enchantment #TaylorSwift "/>
    <n v="30"/>
    <n v="60"/>
    <n v="90"/>
    <s v=" USA "/>
    <x v="0"/>
  </r>
  <r>
    <x v="170"/>
    <x v="2"/>
    <n v="0"/>
    <d v="2018-12-02T22:15:00"/>
    <d v="2018-12-02T00:00:00"/>
    <x v="159"/>
    <x v="102"/>
    <s v=" QueenTributeFan "/>
    <s v=" Instagram "/>
    <x v="1"/>
    <s v=" #Nostalgia #QueenTribute "/>
    <n v="22"/>
    <n v="45"/>
    <n v="67"/>
    <s v=" UK "/>
    <x v="2"/>
  </r>
  <r>
    <x v="89"/>
    <x v="0"/>
    <n v="1"/>
    <d v="2020-08-18T19:00:00"/>
    <d v="2020-08-18T00:00:00"/>
    <x v="42"/>
    <x v="38"/>
    <s v=" SheeranMelodyLover "/>
    <s v=" Twitter "/>
    <x v="0"/>
    <s v=" #Serenity #EdSheeranConcert "/>
    <n v="18"/>
    <n v="35"/>
    <n v="53"/>
    <s v=" UK "/>
    <x v="2"/>
  </r>
  <r>
    <x v="202"/>
    <x v="0"/>
    <n v="1"/>
    <d v="2017-03-28T20:30:00"/>
    <d v="2017-03-28T00:00:00"/>
    <x v="52"/>
    <x v="45"/>
    <s v=" MarsJoyExplorer "/>
    <s v=" Facebook "/>
    <x v="2"/>
    <s v=" #Joy #BrunoMars "/>
    <n v="28"/>
    <n v="55"/>
    <n v="83"/>
    <s v=" USA "/>
    <x v="0"/>
  </r>
  <r>
    <x v="225"/>
    <x v="0"/>
    <n v="1"/>
    <d v="2022-01-15T21:15:00"/>
    <d v="2022-01-15T00:00:00"/>
    <x v="46"/>
    <x v="41"/>
    <s v=" MJTributeDancer "/>
    <s v=" Instagram "/>
    <x v="1"/>
    <s v=" #Celebration #MJTribute "/>
    <n v="25"/>
    <n v="50"/>
    <n v="75"/>
    <s v=" USA "/>
    <x v="0"/>
  </r>
  <r>
    <x v="226"/>
    <x v="0"/>
    <n v="1"/>
    <d v="2019-06-10T18:45:00"/>
    <d v="2019-06-10T00:00:00"/>
    <x v="69"/>
    <x v="47"/>
    <s v=" SinatraCharmListener "/>
    <s v=" Twitter "/>
    <x v="0"/>
    <s v=" #Charm #SinatraTribute "/>
    <n v="22"/>
    <n v="45"/>
    <n v="67"/>
    <s v=" USA "/>
    <x v="0"/>
  </r>
  <r>
    <x v="227"/>
    <x v="0"/>
    <n v="1"/>
    <d v="2023-03-20T22:30:00"/>
    <d v="2023-03-20T00:00:00"/>
    <x v="149"/>
    <x v="99"/>
    <s v=" MetallicaMoshWarrior "/>
    <s v=" Facebook "/>
    <x v="2"/>
    <s v=" #Ecstasy #MetallicaConcert "/>
    <n v="35"/>
    <n v="70"/>
    <n v="105"/>
    <s v=" USA "/>
    <x v="0"/>
  </r>
  <r>
    <x v="228"/>
    <x v="0"/>
    <n v="1"/>
    <d v="2016-11-28T19:00:00"/>
    <d v="2016-11-28T00:00:00"/>
    <x v="88"/>
    <x v="38"/>
    <s v=" ColdplayHopeSeeker "/>
    <s v=" Instagram "/>
    <x v="1"/>
    <s v=" #Hope #ColdplayMagic "/>
    <n v="30"/>
    <n v="60"/>
    <n v="90"/>
    <s v=" UK "/>
    <x v="2"/>
  </r>
  <r>
    <x v="204"/>
    <x v="0"/>
    <n v="1"/>
    <d v="2018-08-05T20:00:00"/>
    <d v="2018-08-05T00:00:00"/>
    <x v="34"/>
    <x v="31"/>
    <s v=" BieberDanceEnthusiast "/>
    <s v=" Instagram "/>
    <x v="1"/>
    <s v=" #Enthusiasm #JustinBieber "/>
    <n v="40"/>
    <n v="80"/>
    <n v="120"/>
    <s v=" Canada "/>
    <x v="1"/>
  </r>
  <r>
    <x v="229"/>
    <x v="0"/>
    <n v="1"/>
    <d v="2021-04-15T21:30:00"/>
    <d v="2021-04-15T00:00:00"/>
    <x v="164"/>
    <x v="103"/>
    <s v=" GagaArtisticChameleon "/>
    <s v=" Twitter "/>
    <x v="0"/>
    <s v=" #Creativity #LadyGaga "/>
    <n v="35"/>
    <n v="70"/>
    <n v="105"/>
    <s v=" USA "/>
    <x v="0"/>
  </r>
  <r>
    <x v="223"/>
    <x v="2"/>
    <n v="0"/>
    <d v="2019-11-28T19:45:00"/>
    <d v="2019-11-28T00:00:00"/>
    <x v="26"/>
    <x v="25"/>
    <s v=" AdeleMelodyTearjerker "/>
    <s v=" Facebook "/>
    <x v="2"/>
    <s v=" #Emotion #AdeleMelodies "/>
    <n v="30"/>
    <n v="60"/>
    <n v="90"/>
    <s v=" UK "/>
    <x v="2"/>
  </r>
  <r>
    <x v="230"/>
    <x v="0"/>
    <n v="1"/>
    <d v="2020-06-22T22:00:00"/>
    <d v="2020-06-22T00:00:00"/>
    <x v="107"/>
    <x v="70"/>
    <s v=" KatyPerryColorExplosion "/>
    <s v=" Instagram "/>
    <x v="1"/>
    <s v=" #Colorful #KatyPerry "/>
    <n v="22"/>
    <n v="45"/>
    <n v="67"/>
    <s v=" USA "/>
    <x v="0"/>
  </r>
  <r>
    <x v="231"/>
    <x v="0"/>
    <n v="1"/>
    <d v="2017-09-10T20:15:00"/>
    <d v="2017-09-10T00:00:00"/>
    <x v="167"/>
    <x v="105"/>
    <s v=" JayZEmpireListener "/>
    <s v=" Twitter "/>
    <x v="0"/>
    <s v=" #Pride #JayZAnthem "/>
    <n v="18"/>
    <n v="35"/>
    <n v="53"/>
    <s v=" USA "/>
    <x v="0"/>
  </r>
  <r>
    <x v="232"/>
    <x v="0"/>
    <n v="1"/>
    <d v="2022-02-28T21:15:00"/>
    <d v="2022-02-28T00:00:00"/>
    <x v="46"/>
    <x v="41"/>
    <s v=" ShakiraHipsDancer "/>
    <s v=" Facebook "/>
    <x v="2"/>
    <s v=" #Hypnotic #ShakiraRhythms "/>
    <n v="28"/>
    <n v="55"/>
    <n v="83"/>
    <s v=" Colombia "/>
    <x v="27"/>
  </r>
  <r>
    <x v="233"/>
    <x v="0"/>
    <n v="1"/>
    <d v="2016-05-15T19:30:00"/>
    <d v="2016-05-15T00:00:00"/>
    <x v="62"/>
    <x v="7"/>
    <s v=" U2ConnectionSeeker "/>
    <s v=" Instagram "/>
    <x v="1"/>
    <s v=" #Connection #U2Anthem "/>
    <n v="25"/>
    <n v="50"/>
    <n v="75"/>
    <s v=" Ireland "/>
    <x v="28"/>
  </r>
  <r>
    <x v="234"/>
    <x v="0"/>
    <n v="1"/>
    <d v="2018-12-10T22:30:00"/>
    <d v="2018-12-10T00:00:00"/>
    <x v="162"/>
    <x v="99"/>
    <s v=" GunsNRosesRiffRockstar "/>
    <s v=" Twitter "/>
    <x v="0"/>
    <s v=" #Iconic #GNRConcert "/>
    <n v="22"/>
    <n v="45"/>
    <n v="67"/>
    <s v=" USA "/>
    <x v="0"/>
  </r>
  <r>
    <x v="235"/>
    <x v="0"/>
    <n v="1"/>
    <d v="2023-01-22T20:00:00"/>
    <d v="2023-01-22T00:00:00"/>
    <x v="168"/>
    <x v="31"/>
    <s v=" ArianaEuphoriaChaser "/>
    <s v=" Facebook "/>
    <x v="2"/>
    <s v=" #Euphoria #ArianaGrande "/>
    <n v="35"/>
    <n v="70"/>
    <n v="105"/>
    <s v=" USA "/>
    <x v="0"/>
  </r>
  <r>
    <x v="236"/>
    <x v="2"/>
    <n v="0"/>
    <d v="2020-03-05T18:45:00"/>
    <d v="2020-03-05T00:00:00"/>
    <x v="57"/>
    <x v="47"/>
    <s v=" MarleyReggaeTraveler "/>
    <s v=" Instagram "/>
    <x v="1"/>
    <s v=" #Journey #BobMarleyTribute "/>
    <n v="30"/>
    <n v="60"/>
    <n v="90"/>
    <s v=" Jamaica "/>
    <x v="29"/>
  </r>
  <r>
    <x v="28"/>
    <x v="0"/>
    <n v="1"/>
    <d v="2018-10-12T20:00:00"/>
    <d v="2018-10-12T00:00:00"/>
    <x v="34"/>
    <x v="31"/>
    <s v=" MovieEnthusiastPremiereAttendee "/>
    <s v=" Twitter "/>
    <x v="0"/>
    <s v=" #Excitement #MoviePremiereThrills "/>
    <n v="40"/>
    <n v="80"/>
    <n v="120"/>
    <s v=" USA "/>
    <x v="0"/>
  </r>
  <r>
    <x v="170"/>
    <x v="2"/>
    <n v="0"/>
    <d v="2019-06-25T22:15:00"/>
    <d v="2019-06-25T00:00:00"/>
    <x v="169"/>
    <x v="102"/>
    <s v=" FilmLoverNostalgiaSeeker "/>
    <s v=" Instagram "/>
    <x v="1"/>
    <s v=" #Nostalgia #ClassicFilmMoments "/>
    <n v="35"/>
    <n v="70"/>
    <n v="105"/>
    <s v=" UK "/>
    <x v="2"/>
  </r>
  <r>
    <x v="237"/>
    <x v="0"/>
    <n v="1"/>
    <d v="2020-07-08T19:30:00"/>
    <d v="2020-07-08T00:00:00"/>
    <x v="7"/>
    <x v="7"/>
    <s v=" WebSeriesViewerCharacterConnection "/>
    <s v=" Facebook "/>
    <x v="2"/>
    <s v=" #Engagement #WebSeriesJourney "/>
    <n v="30"/>
    <n v="60"/>
    <n v="90"/>
    <s v=" Canada "/>
    <x v="1"/>
  </r>
  <r>
    <x v="231"/>
    <x v="0"/>
    <n v="1"/>
    <d v="2017-09-18T21:45:00"/>
    <d v="2017-09-18T00:00:00"/>
    <x v="157"/>
    <x v="50"/>
    <s v=" IndieFilmmakerFestivalSuccess "/>
    <s v=" Twitter "/>
    <x v="0"/>
    <s v=" #Pride #IndieFilmSuccess "/>
    <n v="22"/>
    <n v="45"/>
    <n v="67"/>
    <s v=" Australia "/>
    <x v="3"/>
  </r>
  <r>
    <x v="238"/>
    <x v="2"/>
    <n v="0"/>
    <d v="2021-01-15T18:00:00"/>
    <d v="2021-01-15T00:00:00"/>
    <x v="29"/>
    <x v="13"/>
    <s v=" DramaEnthusiastHeartwarmingMoments "/>
    <s v=" Instagram "/>
    <x v="1"/>
    <s v=" #Touched #FamilyDramaMoments "/>
    <n v="28"/>
    <n v="55"/>
    <n v="83"/>
    <s v=" India "/>
    <x v="4"/>
  </r>
  <r>
    <x v="205"/>
    <x v="0"/>
    <n v="1"/>
    <d v="2016-02-28T20:30:00"/>
    <d v="2016-02-28T00:00:00"/>
    <x v="52"/>
    <x v="45"/>
    <s v=" AwardWinningActorOscarsRecipient "/>
    <s v=" Facebook "/>
    <x v="2"/>
    <s v=" #Gratitude #OscarWinningMoment "/>
    <n v="18"/>
    <n v="35"/>
    <n v="53"/>
    <s v=" USA "/>
    <x v="0"/>
  </r>
  <r>
    <x v="148"/>
    <x v="0"/>
    <n v="1"/>
    <d v="2022-04-20T17:30:00"/>
    <d v="2022-04-20T00:00:00"/>
    <x v="91"/>
    <x v="27"/>
    <s v=" DocumentaryEnthusiastHiddenGemFinder "/>
    <s v=" Twitter "/>
    <x v="0"/>
    <s v=" #Inspiration #HiddenGemDiscovery "/>
    <n v="22"/>
    <n v="45"/>
    <n v="67"/>
    <s v=" France "/>
    <x v="5"/>
  </r>
  <r>
    <x v="117"/>
    <x v="2"/>
    <n v="0"/>
    <d v="2019-11-05T21:15:00"/>
    <d v="2019-11-05T00:00:00"/>
    <x v="46"/>
    <x v="41"/>
    <s v=" FilmBuffContemplativeViewer "/>
    <s v=" Instagram "/>
    <x v="1"/>
    <s v=" #Contemplation #DeepMeanings "/>
    <n v="28"/>
    <n v="55"/>
    <n v="83"/>
    <s v=" Germany "/>
    <x v="9"/>
  </r>
  <r>
    <x v="239"/>
    <x v="2"/>
    <n v="0"/>
    <d v="2015-07-12T22:00:00"/>
    <d v="2015-07-12T00:00:00"/>
    <x v="145"/>
    <x v="70"/>
    <s v=" CrimeSeriesEnthusiastThrillSeeker "/>
    <s v=" Facebook "/>
    <x v="2"/>
    <s v=" #Suspense #CrimeSeriesThrills "/>
    <n v="35"/>
    <n v="70"/>
    <n v="105"/>
    <s v=" Japan "/>
    <x v="7"/>
  </r>
  <r>
    <x v="240"/>
    <x v="0"/>
    <n v="1"/>
    <d v="2020-09-10T19:45:00"/>
    <d v="2020-09-10T00:00:00"/>
    <x v="58"/>
    <x v="25"/>
    <s v=" FilmCriticSatisfactionSeeker "/>
    <s v=" Twitter "/>
    <x v="0"/>
    <s v=" #Satisfaction #FulfillingEnding "/>
    <n v="22"/>
    <n v="45"/>
    <n v="67"/>
    <s v=" Brazil "/>
    <x v="6"/>
  </r>
  <r>
    <x v="202"/>
    <x v="0"/>
    <n v="1"/>
    <d v="2018-07-15T21:30:00"/>
    <d v="2018-07-15T00:00:00"/>
    <x v="160"/>
    <x v="103"/>
    <s v=" FootballFanWorldCupCelebration "/>
    <s v=" Instagram "/>
    <x v="1"/>
    <s v=" #Joy #WorldCupTriumph "/>
    <n v="40"/>
    <n v="80"/>
    <n v="120"/>
    <s v=" Brazil "/>
    <x v="6"/>
  </r>
  <r>
    <x v="148"/>
    <x v="0"/>
    <n v="1"/>
    <d v="2020-08-08T19:45:00"/>
    <d v="2020-08-08T00:00:00"/>
    <x v="26"/>
    <x v="25"/>
    <s v=" OlympicsEnthusiastGoldMedalWinner "/>
    <s v=" Twitter "/>
    <x v="0"/>
    <s v=" #Inspiration #OlympicAchievement "/>
    <n v="35"/>
    <n v="70"/>
    <n v="105"/>
    <s v=" USA "/>
    <x v="0"/>
  </r>
  <r>
    <x v="28"/>
    <x v="0"/>
    <n v="1"/>
    <d v="2019-06-25T22:15:00"/>
    <d v="2019-06-25T00:00:00"/>
    <x v="169"/>
    <x v="102"/>
    <s v=" CricketFanChampionshipThrills "/>
    <s v=" Facebook "/>
    <x v="2"/>
    <s v=" #Excitement #CricketChampionship "/>
    <n v="30"/>
    <n v="60"/>
    <n v="90"/>
    <s v=" India "/>
    <x v="4"/>
  </r>
  <r>
    <x v="241"/>
    <x v="2"/>
    <n v="0"/>
    <d v="2021-11-07T17:30:00"/>
    <d v="2021-11-07T00:00:00"/>
    <x v="91"/>
    <x v="27"/>
    <s v=" MarathonSpectatorRecordBreaking "/>
    <s v=" Instagram "/>
    <x v="1"/>
    <s v=" #Admiration #MarathonRecords "/>
    <n v="22"/>
    <n v="45"/>
    <n v="67"/>
    <s v=" Kenya "/>
    <x v="30"/>
  </r>
  <r>
    <x v="219"/>
    <x v="0"/>
    <n v="1"/>
    <d v="2017-09-10T20:15:00"/>
    <d v="2017-09-10T00:00:00"/>
    <x v="167"/>
    <x v="105"/>
    <s v=" TennisEnthusiastGrandSlamDrama "/>
    <s v=" Twitter "/>
    <x v="0"/>
    <s v=" #Captivation #TennisRivalry "/>
    <n v="28"/>
    <n v="55"/>
    <n v="83"/>
    <s v=" UK "/>
    <x v="2"/>
  </r>
  <r>
    <x v="242"/>
    <x v="0"/>
    <n v="1"/>
    <d v="2022-06-20T21:00:00"/>
    <d v="2022-06-20T00:00:00"/>
    <x v="129"/>
    <x v="65"/>
    <s v=" BasketballFanUnderdogTriumph "/>
    <s v=" Facebook "/>
    <x v="2"/>
    <s v=" #Triumph #BasketballFinals "/>
    <n v="18"/>
    <n v="35"/>
    <n v="53"/>
    <s v=" USA "/>
    <x v="0"/>
  </r>
  <r>
    <x v="216"/>
    <x v="0"/>
    <n v="1"/>
    <d v="2016-04-10T18:30:00"/>
    <d v="2016-04-10T00:00:00"/>
    <x v="40"/>
    <x v="36"/>
    <s v=" GolfEnthusiastPrecisionVictory "/>
    <s v=" Instagram "/>
    <x v="1"/>
    <s v=" #Awe #GolfVictory "/>
    <n v="22"/>
    <n v="45"/>
    <n v="67"/>
    <s v=" Scotland "/>
    <x v="31"/>
  </r>
  <r>
    <x v="212"/>
    <x v="0"/>
    <n v="1"/>
    <d v="2019-11-24T19:45:00"/>
    <d v="2019-11-24T00:00:00"/>
    <x v="26"/>
    <x v="25"/>
    <s v=" F1FanHighSpeedRaceExcitement "/>
    <s v=" Twitter "/>
    <x v="0"/>
    <s v=" #Thrill #Formula1Championship "/>
    <n v="28"/>
    <n v="55"/>
    <n v="83"/>
    <s v=" Germany "/>
    <x v="9"/>
  </r>
  <r>
    <x v="104"/>
    <x v="0"/>
    <n v="1"/>
    <d v="2015-09-28T22:30:00"/>
    <d v="2015-09-28T00:00:00"/>
    <x v="149"/>
    <x v="99"/>
    <s v=" CyclingEnthusiastWorldChampion "/>
    <s v=" Facebook "/>
    <x v="2"/>
    <s v=" #Determination #CyclingChampion "/>
    <n v="35"/>
    <n v="70"/>
    <n v="105"/>
    <s v=" Italy "/>
    <x v="11"/>
  </r>
  <r>
    <x v="243"/>
    <x v="0"/>
    <n v="1"/>
    <d v="2020-12-12T20:00:00"/>
    <d v="2020-12-12T00:00:00"/>
    <x v="34"/>
    <x v="31"/>
    <s v=" HockeyFanComebackVictory "/>
    <s v=" Instagram "/>
    <x v="1"/>
    <s v=" #Heartwarming #HockeyFinalsComeback "/>
    <n v="22"/>
    <n v="45"/>
    <n v="67"/>
    <s v=" Canada "/>
    <x v="1"/>
  </r>
  <r>
    <x v="184"/>
    <x v="1"/>
    <n v="-1"/>
    <d v="2019-11-02T18:45:00"/>
    <d v="2019-11-02T00:00:00"/>
    <x v="57"/>
    <x v="47"/>
    <s v=" SoccerFanTeamDefeats "/>
    <s v=" Twitter "/>
    <x v="0"/>
    <s v=" #Disappointment #SoccerDefeats "/>
    <n v="40"/>
    <n v="80"/>
    <n v="120"/>
    <s v=" Brazil "/>
    <x v="6"/>
  </r>
  <r>
    <x v="62"/>
    <x v="1"/>
    <n v="-1"/>
    <d v="2018-07-10T21:15:00"/>
    <d v="2018-07-10T00:00:00"/>
    <x v="59"/>
    <x v="41"/>
    <s v=" TennisEnthusiastUnexpectedSetback "/>
    <s v=" Instagram "/>
    <x v="1"/>
    <s v=" #Frustration #TennisSetback "/>
    <n v="35"/>
    <n v="70"/>
    <n v="105"/>
    <s v=" USA "/>
    <x v="0"/>
  </r>
  <r>
    <x v="213"/>
    <x v="2"/>
    <n v="0"/>
    <d v="2020-09-18T19:30:00"/>
    <d v="2020-09-18T00:00:00"/>
    <x v="7"/>
    <x v="7"/>
    <s v=" BoxingFanChampionshipDefeat "/>
    <s v=" Facebook "/>
    <x v="2"/>
    <s v=" #Reflection #BoxingDefeat "/>
    <n v="30"/>
    <n v="60"/>
    <n v="90"/>
    <s v=" UK "/>
    <x v="2"/>
  </r>
  <r>
    <x v="244"/>
    <x v="1"/>
    <n v="-1"/>
    <d v="2017-05-15T22:00:00"/>
    <d v="2017-05-15T00:00:00"/>
    <x v="107"/>
    <x v="70"/>
    <s v=" CyclingEnthusiastTireBlowout "/>
    <s v=" Twitter "/>
    <x v="0"/>
    <s v=" #Obstacle #CyclingFrustration "/>
    <n v="22"/>
    <n v="45"/>
    <n v="67"/>
    <s v=" France "/>
    <x v="5"/>
  </r>
  <r>
    <x v="245"/>
    <x v="2"/>
    <n v="0"/>
    <d v="2021-04-05T20:15:00"/>
    <d v="2021-04-05T00:00:00"/>
    <x v="170"/>
    <x v="105"/>
    <s v=" GymnasticsFanRoutineFall "/>
    <s v=" Instagram "/>
    <x v="1"/>
    <s v=" #Sympathy #GymnasticsFall "/>
    <n v="28"/>
    <n v="55"/>
    <n v="83"/>
    <s v=" Japan "/>
    <x v="7"/>
  </r>
  <r>
    <x v="246"/>
    <x v="1"/>
    <n v="-1"/>
    <d v="2016-08-20T18:30:00"/>
    <d v="2016-08-20T00:00:00"/>
    <x v="40"/>
    <x v="36"/>
    <s v=" GolfEnthusiastMissedPutt "/>
    <s v=" Facebook "/>
    <x v="2"/>
    <s v=" #Pressure #GolfDefeat "/>
    <n v="18"/>
    <n v="35"/>
    <n v="53"/>
    <s v=" USA "/>
    <x v="0"/>
  </r>
  <r>
    <x v="247"/>
    <x v="2"/>
    <n v="0"/>
    <d v="2019-02-12T19:45:00"/>
    <d v="2019-02-12T00:00:00"/>
    <x v="58"/>
    <x v="25"/>
    <s v=" BasketballFanTeamLosses "/>
    <s v=" Twitter "/>
    <x v="0"/>
    <s v=" #RenewedEffort #BasketballStruggles "/>
    <n v="22"/>
    <n v="45"/>
    <n v="67"/>
    <s v=" Canada "/>
    <x v="1"/>
  </r>
  <r>
    <x v="248"/>
    <x v="1"/>
    <n v="-1"/>
    <d v="2015-06-28T20:00:00"/>
    <d v="2015-06-28T00:00:00"/>
    <x v="34"/>
    <x v="31"/>
    <s v=" SwimmingEnthusiastRaceSetback "/>
    <s v=" Instagram "/>
    <x v="1"/>
    <s v=" #Miscalculation #SwimmingDisappointment "/>
    <n v="28"/>
    <n v="55"/>
    <n v="83"/>
    <s v=" Australia "/>
    <x v="3"/>
  </r>
  <r>
    <x v="249"/>
    <x v="1"/>
    <n v="-1"/>
    <d v="2022-01-08T21:30:00"/>
    <d v="2022-01-08T00:00:00"/>
    <x v="164"/>
    <x v="103"/>
    <s v=" WeightliftingFanFailedRecord "/>
    <s v=" Facebook "/>
    <x v="2"/>
    <s v=" #Challenge #WeightliftingFailure "/>
    <n v="35"/>
    <n v="70"/>
    <n v="105"/>
    <s v=" Germany "/>
    <x v="9"/>
  </r>
  <r>
    <x v="92"/>
    <x v="1"/>
    <n v="-1"/>
    <d v="2018-12-15T20:15:00"/>
    <d v="2018-12-15T00:00:00"/>
    <x v="170"/>
    <x v="105"/>
    <s v=" SoccerPlayerOwnGoalMoment "/>
    <s v=" Twitter "/>
    <x v="0"/>
    <s v=" #Despair #OwnGoal "/>
    <n v="22"/>
    <n v="45"/>
    <n v="67"/>
    <s v=" Spain "/>
    <x v="14"/>
  </r>
  <r>
    <x v="221"/>
    <x v="0"/>
    <n v="1"/>
    <d v="2021-07-10T19:00:00"/>
    <d v="2021-07-10T00:00:00"/>
    <x v="42"/>
    <x v="38"/>
    <s v=" NatureEnthusiastSunsetWonder "/>
    <s v=" Instagram "/>
    <x v="1"/>
    <s v=" #Tranquility #SunsetBeauty "/>
    <n v="40"/>
    <n v="80"/>
    <n v="120"/>
    <s v=" Canada "/>
    <x v="1"/>
  </r>
  <r>
    <x v="151"/>
    <x v="0"/>
    <n v="1"/>
    <d v="2019-09-28T20:30:00"/>
    <d v="2019-09-28T00:00:00"/>
    <x v="52"/>
    <x v="45"/>
    <s v=" TravelEnthusiastRoadTripDiscovery "/>
    <s v=" Twitter "/>
    <x v="0"/>
    <s v=" #Adventure #RoadTripMemories "/>
    <n v="35"/>
    <n v="70"/>
    <n v="105"/>
    <s v=" USA "/>
    <x v="0"/>
  </r>
  <r>
    <x v="250"/>
    <x v="0"/>
    <n v="1"/>
    <d v="2022-03-15T18:45:00"/>
    <d v="2022-03-15T00:00:00"/>
    <x v="57"/>
    <x v="47"/>
    <s v=" UrbanExplorerCafeSolitude "/>
    <s v=" Facebook "/>
    <x v="2"/>
    <s v=" #Solace #CafeReflection "/>
    <n v="30"/>
    <n v="60"/>
    <n v="90"/>
    <s v=" France "/>
    <x v="5"/>
  </r>
  <r>
    <x v="229"/>
    <x v="0"/>
    <n v="1"/>
    <d v="2017-11-05T21:15:00"/>
    <d v="2017-11-05T00:00:00"/>
    <x v="46"/>
    <x v="41"/>
    <s v=" ArtEnthusiastStreetArtExploration "/>
    <s v=" Instagram "/>
    <x v="1"/>
    <s v=" #Creativity #StreetArtVibes "/>
    <n v="22"/>
    <n v="45"/>
    <n v="67"/>
    <s v=" Brazil "/>
    <x v="6"/>
  </r>
  <r>
    <x v="251"/>
    <x v="0"/>
    <n v="1"/>
    <d v="2020-05-20T16:30:00"/>
    <d v="2020-05-20T00:00:00"/>
    <x v="77"/>
    <x v="54"/>
    <s v=" ScienceEnthusiastDiscoveryMoment "/>
    <s v=" Twitter "/>
    <x v="0"/>
    <s v=" #Breakthrough #ScientificDiscovery "/>
    <n v="28"/>
    <n v="55"/>
    <n v="83"/>
    <s v=" Germany "/>
    <x v="9"/>
  </r>
  <r>
    <x v="252"/>
    <x v="0"/>
    <n v="1"/>
    <d v="2016-08-22T19:45:00"/>
    <d v="2016-08-22T00:00:00"/>
    <x v="58"/>
    <x v="25"/>
    <s v=" MusicLoverLiveOrchestraExperience "/>
    <s v=" Facebook "/>
    <x v="2"/>
    <s v=" #Harmony #OrchestraMelody "/>
    <n v="18"/>
    <n v="35"/>
    <n v="53"/>
    <s v=" UK "/>
    <x v="2"/>
  </r>
  <r>
    <x v="253"/>
    <x v="0"/>
    <n v="1"/>
    <d v="2023-04-10T17:15:00"/>
    <d v="2023-04-10T00:00:00"/>
    <x v="171"/>
    <x v="106"/>
    <s v=" HomeBakerDeliciousMemories "/>
    <s v=" Instagram "/>
    <x v="1"/>
    <s v=" #JoyInBaking #HomemadeDelights "/>
    <n v="22"/>
    <n v="45"/>
    <n v="67"/>
    <s v=" India "/>
    <x v="4"/>
  </r>
  <r>
    <x v="254"/>
    <x v="2"/>
    <n v="0"/>
    <d v="2015-12-18T18:00:00"/>
    <d v="2015-12-18T00:00:00"/>
    <x v="13"/>
    <x v="13"/>
    <s v=" HistoryBuffMuseumExploration "/>
    <s v=" Twitter "/>
    <x v="0"/>
    <s v=" #EnvisioningHistory #MuseumTales "/>
    <n v="28"/>
    <n v="55"/>
    <n v="83"/>
    <s v=" Italy "/>
    <x v="11"/>
  </r>
  <r>
    <x v="255"/>
    <x v="0"/>
    <n v="1"/>
    <d v="2021-10-08T20:30:00"/>
    <d v="2021-10-08T00:00:00"/>
    <x v="66"/>
    <x v="45"/>
    <s v=" BookwormCaptivatingNovelEscape "/>
    <s v=" Facebook "/>
    <x v="2"/>
    <s v=" #Imagination #LiteraryEscape "/>
    <n v="35"/>
    <n v="70"/>
    <n v="105"/>
    <s v=" Japan "/>
    <x v="7"/>
  </r>
  <r>
    <x v="256"/>
    <x v="0"/>
    <n v="1"/>
    <d v="2019-03-22T21:45:00"/>
    <d v="2019-03-22T00:00:00"/>
    <x v="157"/>
    <x v="50"/>
    <s v=" PhotographyEnthusiastMarketMoments "/>
    <s v=" Instagram "/>
    <x v="1"/>
    <s v=" #Vibrancy #MarketStories "/>
    <n v="22"/>
    <n v="45"/>
    <n v="67"/>
    <s v=" Australia "/>
    <x v="3"/>
  </r>
  <r>
    <x v="257"/>
    <x v="0"/>
    <n v="1"/>
    <d v="2018-06-15T22:00:00"/>
    <d v="2018-06-15T00:00:00"/>
    <x v="107"/>
    <x v="70"/>
    <s v=" DanceEnthusiastCityNightPerformance "/>
    <s v=" Twitter "/>
    <x v="0"/>
    <s v=" #Mesmerizing #NightDancePerformance "/>
    <n v="40"/>
    <n v="80"/>
    <n v="120"/>
    <s v=" USA "/>
    <x v="0"/>
  </r>
  <r>
    <x v="258"/>
    <x v="0"/>
    <n v="1"/>
    <d v="2019-08-28T19:30:00"/>
    <d v="2019-08-28T00:00:00"/>
    <x v="62"/>
    <x v="7"/>
    <s v=" FoodieMarketStreetFoodExploration "/>
    <s v=" Instagram "/>
    <x v="1"/>
    <s v=" #CulinaryAdventure #StreetFoodDelights "/>
    <n v="35"/>
    <n v="70"/>
    <n v="105"/>
    <s v=" Thailand "/>
    <x v="32"/>
  </r>
  <r>
    <x v="259"/>
    <x v="0"/>
    <n v="1"/>
    <d v="2022-12-01T17:45:00"/>
    <d v="2022-12-01T00:00:00"/>
    <x v="70"/>
    <x v="48"/>
    <s v=" SnowLoverWinterEnthusiast "/>
    <s v=" Facebook "/>
    <x v="2"/>
    <s v=" #WinterMagic #SnowyLandscapes "/>
    <n v="30"/>
    <n v="60"/>
    <n v="90"/>
    <s v=" Canada "/>
    <x v="1"/>
  </r>
  <r>
    <x v="260"/>
    <x v="0"/>
    <n v="1"/>
    <d v="2017-04-10T21:15:00"/>
    <d v="2017-04-10T00:00:00"/>
    <x v="59"/>
    <x v="41"/>
    <s v=" MysteryBookwormSuspensefulRead "/>
    <s v=" Twitter "/>
    <x v="0"/>
    <s v=" #ThrillingJourney #MysteryNovel "/>
    <n v="22"/>
    <n v="45"/>
    <n v="67"/>
    <s v=" UK "/>
    <x v="2"/>
  </r>
  <r>
    <x v="261"/>
    <x v="0"/>
    <n v="1"/>
    <d v="2020-05-15T18:30:00"/>
    <d v="2020-05-15T00:00:00"/>
    <x v="40"/>
    <x v="36"/>
    <s v=" GardeningEnthusiastFlowerGarden "/>
    <s v=" Instagram "/>
    <x v="1"/>
    <s v=" #NaturesBeauty #FloralJoy "/>
    <n v="28"/>
    <n v="55"/>
    <n v="83"/>
    <s v=" Australia "/>
    <x v="3"/>
  </r>
  <r>
    <x v="262"/>
    <x v="0"/>
    <n v="1"/>
    <d v="2016-09-22T20:00:00"/>
    <d v="2016-09-22T00:00:00"/>
    <x v="34"/>
    <x v="31"/>
    <s v=" AstronomyEnthusiastStargazing "/>
    <s v=" Facebook "/>
    <x v="2"/>
    <s v=" #CelestialWonder #Stargazing "/>
    <n v="18"/>
    <n v="35"/>
    <n v="53"/>
    <s v=" USA "/>
    <x v="0"/>
  </r>
  <r>
    <x v="263"/>
    <x v="0"/>
    <n v="1"/>
    <d v="2023-02-12T19:45:00"/>
    <d v="2023-02-12T00:00:00"/>
    <x v="26"/>
    <x v="25"/>
    <s v=" CoffeeLoverWritersRetreat "/>
    <s v=" Twitter "/>
    <x v="0"/>
    <s v=" #CreativeInspiration #CoffeeJourney "/>
    <n v="22"/>
    <n v="45"/>
    <n v="67"/>
    <s v=" France "/>
    <x v="5"/>
  </r>
  <r>
    <x v="264"/>
    <x v="0"/>
    <n v="1"/>
    <d v="2015-11-10T21:00:00"/>
    <d v="2015-11-10T00:00:00"/>
    <x v="129"/>
    <x v="65"/>
    <s v=" FashionEnthusiastDesignerShowcase "/>
    <s v=" Instagram "/>
    <x v="1"/>
    <s v=" #RunwayCreativity #FashionInnovation "/>
    <n v="28"/>
    <n v="55"/>
    <n v="83"/>
    <s v=" Italy "/>
    <x v="11"/>
  </r>
  <r>
    <x v="265"/>
    <x v="0"/>
    <n v="1"/>
    <d v="2021-07-20T18:15:00"/>
    <d v="2021-07-20T00:00:00"/>
    <x v="155"/>
    <x v="100"/>
    <s v=" SurfingEnthusiastWaveRider "/>
    <s v=" Facebook "/>
    <x v="2"/>
    <s v=" #OceansFreedom #SurfingThrills "/>
    <n v="22"/>
    <n v="45"/>
    <n v="67"/>
    <s v=" Brazil "/>
    <x v="6"/>
  </r>
  <r>
    <x v="266"/>
    <x v="2"/>
    <n v="0"/>
    <d v="2019-04-18T20:30:00"/>
    <d v="2019-04-18T00:00:00"/>
    <x v="66"/>
    <x v="45"/>
    <s v=" HistoryExplorerAncientCityTour "/>
    <s v=" Twitter "/>
    <x v="0"/>
    <s v=" #WhispersOfThePast #HistoricalTour "/>
    <n v="35"/>
    <n v="70"/>
    <n v="105"/>
    <s v=" Greece "/>
    <x v="8"/>
  </r>
  <r>
    <x v="28"/>
    <x v="0"/>
    <n v="1"/>
    <d v="2023-05-20T19:45:00"/>
    <d v="2023-05-20T00:00:00"/>
    <x v="58"/>
    <x v="25"/>
    <s v=" CrushAvoider "/>
    <s v=" Twitter "/>
    <x v="0"/>
    <s v=" #CrushStruggles #AvoidingEyeContact "/>
    <n v="15"/>
    <n v="30"/>
    <n v="45"/>
    <s v=" USA"/>
    <x v="0"/>
  </r>
  <r>
    <x v="267"/>
    <x v="1"/>
    <n v="-1"/>
    <d v="2023-05-21T21:00:00"/>
    <d v="2023-05-21T00:00:00"/>
    <x v="100"/>
    <x v="65"/>
    <s v=" MovieBuff "/>
    <s v=" Instagram "/>
    <x v="1"/>
    <s v=" #SnackCrisis #TeenLife "/>
    <n v="18"/>
    <n v="35"/>
    <n v="53"/>
    <s v=" Canada"/>
    <x v="1"/>
  </r>
  <r>
    <x v="202"/>
    <x v="0"/>
    <n v="1"/>
    <d v="2023-05-22T14:30:00"/>
    <d v="2023-05-22T00:00:00"/>
    <x v="23"/>
    <x v="22"/>
    <s v=" SelfieAddict "/>
    <s v=" Facebook "/>
    <x v="2"/>
    <s v=" #SelfieStruggle #TeenConfessions "/>
    <n v="22"/>
    <n v="45"/>
    <n v="67"/>
    <s v=" UK"/>
    <x v="2"/>
  </r>
  <r>
    <x v="62"/>
    <x v="1"/>
    <n v="-1"/>
    <d v="2023-05-23T16:45:00"/>
    <d v="2023-05-23T00:00:00"/>
    <x v="21"/>
    <x v="20"/>
    <s v=" AudioExplorer "/>
    <s v=" Twitter "/>
    <x v="0"/>
    <s v=" #TeenProblems #LostHeadphones "/>
    <n v="20"/>
    <n v="40"/>
    <n v="60"/>
    <s v=" USA"/>
    <x v="0"/>
  </r>
  <r>
    <x v="210"/>
    <x v="2"/>
    <n v="0"/>
    <d v="2023-05-24T13:15:00"/>
    <d v="2023-05-24T00:00:00"/>
    <x v="83"/>
    <x v="28"/>
    <s v=" MemeCreator "/>
    <s v=" Instagram "/>
    <x v="1"/>
    <s v=" #StudyingMemes #TeenLife "/>
    <n v="25"/>
    <n v="50"/>
    <n v="75"/>
    <s v=" Canada"/>
    <x v="1"/>
  </r>
  <r>
    <x v="268"/>
    <x v="2"/>
    <n v="0"/>
    <d v="2023-05-25T19:00:00"/>
    <d v="2023-05-25T00:00:00"/>
    <x v="42"/>
    <x v="38"/>
    <s v=" FashionBlunder "/>
    <s v=" Facebook "/>
    <x v="2"/>
    <s v=" #WeekendOops #TeenFashion "/>
    <n v="20"/>
    <n v="40"/>
    <n v="60"/>
    <s v=" USA"/>
    <x v="0"/>
  </r>
  <r>
    <x v="240"/>
    <x v="0"/>
    <n v="1"/>
    <d v="2023-05-26T14:20:00"/>
    <d v="2023-05-26T00:00:00"/>
    <x v="32"/>
    <x v="29"/>
    <s v=" GroupGenius "/>
    <s v=" Twitter "/>
    <x v="0"/>
    <s v=" #TeenSuccess #ProjectMiracle "/>
    <n v="28"/>
    <n v="55"/>
    <n v="83"/>
    <s v=" UK"/>
    <x v="2"/>
  </r>
  <r>
    <x v="269"/>
    <x v="1"/>
    <n v="-1"/>
    <d v="2023-05-27T21:15:00"/>
    <d v="2023-05-27T00:00:00"/>
    <x v="59"/>
    <x v="41"/>
    <s v=" ChipExplorer "/>
    <s v=" Instagram "/>
    <x v="1"/>
    <s v=" #TeenChef #CookingFail "/>
    <n v="22"/>
    <n v="45"/>
    <n v="67"/>
    <s v=" Canada"/>
    <x v="1"/>
  </r>
  <r>
    <x v="210"/>
    <x v="2"/>
    <n v="0"/>
    <d v="2023-05-28T12:00:00"/>
    <d v="2023-05-28T00:00:00"/>
    <x v="24"/>
    <x v="23"/>
    <s v=" ExcitementSeeker "/>
    <s v=" Facebook "/>
    <x v="2"/>
    <s v=" #ClassEvent #TeenExcitement "/>
    <n v="18"/>
    <n v="35"/>
    <n v="53"/>
    <s v=" USA"/>
    <x v="0"/>
  </r>
  <r>
    <x v="202"/>
    <x v="0"/>
    <n v="1"/>
    <d v="2023-05-29T23:30:00"/>
    <d v="2023-05-29T00:00:00"/>
    <x v="141"/>
    <x v="97"/>
    <s v=" NightReader "/>
    <s v=" Twitter "/>
    <x v="0"/>
    <s v=" #BookDiscoveries #TeenReading "/>
    <n v="30"/>
    <n v="60"/>
    <n v="90"/>
    <s v=" UK"/>
    <x v="2"/>
  </r>
  <r>
    <x v="28"/>
    <x v="0"/>
    <n v="1"/>
    <d v="2023-05-30T20:45:00"/>
    <d v="2023-05-30T00:00:00"/>
    <x v="93"/>
    <x v="61"/>
    <s v=" GamingEnthusiast "/>
    <s v=" Instagram "/>
    <x v="1"/>
    <s v=" #GameOn #TeenGamer "/>
    <n v="22"/>
    <n v="45"/>
    <n v="67"/>
    <s v=" USA"/>
    <x v="0"/>
  </r>
  <r>
    <x v="202"/>
    <x v="0"/>
    <n v="1"/>
    <d v="2023-05-31T15:30:00"/>
    <d v="2023-05-31T00:00:00"/>
    <x v="71"/>
    <x v="49"/>
    <s v=" LazyWatcher "/>
    <s v=" Facebook "/>
    <x v="2"/>
    <s v=" #BingeWatchDay #TeenLife "/>
    <n v="35"/>
    <n v="70"/>
    <n v="105"/>
    <s v=" Canada"/>
    <x v="1"/>
  </r>
  <r>
    <x v="28"/>
    <x v="0"/>
    <n v="1"/>
    <d v="2023-06-01T18:00:00"/>
    <d v="2023-06-01T00:00:00"/>
    <x v="13"/>
    <x v="13"/>
    <s v=" TrendExplorer "/>
    <s v=" Twitter "/>
    <x v="0"/>
    <s v=" #FashionGoals #TeenStyle "/>
    <n v="20"/>
    <n v="40"/>
    <n v="60"/>
    <s v=" USA"/>
    <x v="0"/>
  </r>
  <r>
    <x v="62"/>
    <x v="1"/>
    <n v="-1"/>
    <d v="2023-06-02T14:30:00"/>
    <d v="2023-06-02T00:00:00"/>
    <x v="72"/>
    <x v="22"/>
    <s v=" MusicalExplorer "/>
    <s v=" Instagram "/>
    <x v="1"/>
    <s v=" #InstrumentLearning #TeenMusic "/>
    <n v="28"/>
    <n v="55"/>
    <n v="83"/>
    <s v=" UK"/>
    <x v="2"/>
  </r>
  <r>
    <x v="202"/>
    <x v="0"/>
    <n v="1"/>
    <d v="2023-06-03T21:15:00"/>
    <d v="2023-06-03T00:00:00"/>
    <x v="46"/>
    <x v="41"/>
    <s v=" MusicAficionado "/>
    <s v=" Facebook "/>
    <x v="2"/>
    <s v=" #MusicTherapy #TeenPlaylist "/>
    <n v="22"/>
    <n v="45"/>
    <n v="67"/>
    <s v=" Canada"/>
    <x v="1"/>
  </r>
  <r>
    <x v="231"/>
    <x v="0"/>
    <n v="1"/>
    <d v="2023-06-04T19:30:00"/>
    <d v="2023-06-04T00:00:00"/>
    <x v="62"/>
    <x v="7"/>
    <s v=" HomeChef "/>
    <s v=" Twitter "/>
    <x v="0"/>
    <s v=" #CookingSuccess #TeenCook "/>
    <n v="25"/>
    <n v="50"/>
    <n v="75"/>
    <s v=" USA"/>
    <x v="0"/>
  </r>
  <r>
    <x v="28"/>
    <x v="0"/>
    <n v="1"/>
    <d v="2023-06-05T10:00:00"/>
    <d v="2023-06-05T00:00:00"/>
    <x v="48"/>
    <x v="42"/>
    <s v=" AdventureSeeker "/>
    <s v=" Instagram "/>
    <x v="1"/>
    <s v=" #GetawayGoals #TeenTravel "/>
    <n v="18"/>
    <n v="35"/>
    <n v="53"/>
    <s v=" UK"/>
    <x v="2"/>
  </r>
  <r>
    <x v="202"/>
    <x v="0"/>
    <n v="1"/>
    <d v="2023-06-06T22:30:00"/>
    <d v="2023-06-06T00:00:00"/>
    <x v="149"/>
    <x v="99"/>
    <s v=" DanceEnthusiast "/>
    <s v=" Facebook "/>
    <x v="2"/>
    <s v=" #MusicMagic #TeenConcert "/>
    <n v="28"/>
    <n v="55"/>
    <n v="83"/>
    <s v=" Canada"/>
    <x v="1"/>
  </r>
  <r>
    <x v="202"/>
    <x v="0"/>
    <n v="1"/>
    <d v="2023-06-07T12:45:00"/>
    <d v="2023-06-07T00:00:00"/>
    <x v="140"/>
    <x v="96"/>
    <s v=" NostalgiaExplorer "/>
    <s v=" Twitter "/>
    <x v="0"/>
    <s v=" #ChildhoodMemories #TeenCartoons "/>
    <n v="22"/>
    <n v="45"/>
    <n v="67"/>
    <s v=" USA"/>
    <x v="0"/>
  </r>
  <r>
    <x v="28"/>
    <x v="0"/>
    <n v="1"/>
    <d v="2023-06-08T16:00:00"/>
    <d v="2023-06-08T00:00:00"/>
    <x v="65"/>
    <x v="44"/>
    <s v=" HomeDecorator "/>
    <s v=" Instagram "/>
    <x v="1"/>
    <s v=" #DIYGoals #TeenCreative "/>
    <n v="35"/>
    <n v="70"/>
    <n v="105"/>
    <s v=" UK"/>
    <x v="2"/>
  </r>
  <r>
    <x v="90"/>
    <x v="2"/>
    <n v="0"/>
    <d v="2023-06-09T14:00:00"/>
    <d v="2023-06-09T00:00:00"/>
    <x v="92"/>
    <x v="60"/>
    <s v=" ArtExplorer "/>
    <s v=" Facebook "/>
    <x v="2"/>
    <s v=" #CulturalDay #TeenCuriosity "/>
    <n v="20"/>
    <n v="40"/>
    <n v="60"/>
    <s v=" USA"/>
    <x v="0"/>
  </r>
  <r>
    <x v="90"/>
    <x v="2"/>
    <n v="0"/>
    <d v="2023-06-10T17:30:00"/>
    <d v="2023-06-10T00:00:00"/>
    <x v="91"/>
    <x v="27"/>
    <s v=" ThoughtfulBlogger "/>
    <s v=" Twitter "/>
    <x v="0"/>
    <s v=" #BloggingJourney #TeenThoughts "/>
    <n v="30"/>
    <n v="60"/>
    <n v="90"/>
    <s v=" Canada"/>
    <x v="1"/>
  </r>
  <r>
    <x v="79"/>
    <x v="0"/>
    <n v="1"/>
    <d v="2023-06-11T15:30:00"/>
    <d v="2023-06-11T00:00:00"/>
    <x v="78"/>
    <x v="49"/>
    <s v=" NovelEnthusiast "/>
    <s v=" Instagram "/>
    <x v="1"/>
    <s v=" #QuietMoments #BookishEscape "/>
    <n v="35"/>
    <n v="70"/>
    <n v="105"/>
    <s v=" USA"/>
    <x v="0"/>
  </r>
  <r>
    <x v="205"/>
    <x v="0"/>
    <n v="1"/>
    <d v="2023-06-12T18:00:00"/>
    <d v="2023-06-12T00:00:00"/>
    <x v="29"/>
    <x v="13"/>
    <s v=" WiseSoul "/>
    <s v=" Twitter "/>
    <x v="0"/>
    <s v=" #AgingGracefully #Memories "/>
    <n v="28"/>
    <n v="55"/>
    <n v="83"/>
    <s v=" UK"/>
    <x v="2"/>
  </r>
  <r>
    <x v="90"/>
    <x v="2"/>
    <n v="0"/>
    <d v="2023-06-13T14:45:00"/>
    <d v="2023-06-13T00:00:00"/>
    <x v="6"/>
    <x v="6"/>
    <s v=" ArtAdventurer "/>
    <s v=" Facebook "/>
    <x v="2"/>
    <s v=" #ArtDiscovery #SeniorArtist "/>
    <n v="22"/>
    <n v="45"/>
    <n v="67"/>
    <s v=" Canada"/>
    <x v="1"/>
  </r>
  <r>
    <x v="79"/>
    <x v="0"/>
    <n v="1"/>
    <d v="2023-06-14T19:30:00"/>
    <d v="2023-06-14T00:00:00"/>
    <x v="62"/>
    <x v="7"/>
    <s v=" HomeChefSenior "/>
    <s v=" Instagram "/>
    <x v="1"/>
    <s v=" #HappinessInFood #SeniorLife "/>
    <n v="25"/>
    <n v="50"/>
    <n v="75"/>
    <s v=" USA"/>
    <x v="0"/>
  </r>
  <r>
    <x v="90"/>
    <x v="2"/>
    <n v="0"/>
    <d v="2023-06-15T12:15:00"/>
    <d v="2023-06-15T00:00:00"/>
    <x v="99"/>
    <x v="64"/>
    <s v=" LinguisticExplorer "/>
    <s v=" Twitter "/>
    <x v="0"/>
    <s v=" #MindEnrichment #SeniorLearning "/>
    <n v="30"/>
    <n v="60"/>
    <n v="90"/>
    <s v=" UK"/>
    <x v="2"/>
  </r>
  <r>
    <x v="202"/>
    <x v="0"/>
    <n v="1"/>
    <d v="2023-06-16T21:45:00"/>
    <d v="2023-06-16T00:00:00"/>
    <x v="73"/>
    <x v="50"/>
    <s v=" MusicConnoisseur "/>
    <s v=" Facebook "/>
    <x v="2"/>
    <s v=" #MusicLover #SeniorConcert "/>
    <n v="18"/>
    <n v="35"/>
    <n v="53"/>
    <s v=" Canada"/>
    <x v="1"/>
  </r>
  <r>
    <x v="202"/>
    <x v="0"/>
    <n v="1"/>
    <d v="2023-06-17T15:00:00"/>
    <d v="2023-06-17T00:00:00"/>
    <x v="27"/>
    <x v="26"/>
    <s v=" PhotographySenior "/>
    <s v=" Instagram "/>
    <x v="1"/>
    <s v=" #NatureCapture #SeniorMoments "/>
    <n v="35"/>
    <n v="70"/>
    <n v="105"/>
    <s v=" USA"/>
    <x v="0"/>
  </r>
  <r>
    <x v="79"/>
    <x v="0"/>
    <n v="1"/>
    <d v="2023-06-18T11:30:00"/>
    <d v="2023-06-18T00:00:00"/>
    <x v="64"/>
    <x v="18"/>
    <s v=" TeaTimeSenior "/>
    <s v=" Twitter "/>
    <x v="0"/>
    <s v=" #FriendshipGoals #SeniorBonding "/>
    <n v="28"/>
    <n v="55"/>
    <n v="83"/>
    <s v=" UK"/>
    <x v="2"/>
  </r>
  <r>
    <x v="202"/>
    <x v="0"/>
    <n v="1"/>
    <d v="2023-06-19T16:30:00"/>
    <d v="2023-06-19T00:00:00"/>
    <x v="87"/>
    <x v="54"/>
    <s v=" RoadTripSenior "/>
    <s v=" Facebook "/>
    <x v="2"/>
    <s v=" #CherishedPlaces #SeniorTravel "/>
    <n v="22"/>
    <n v="45"/>
    <n v="67"/>
    <s v=" Canada"/>
    <x v="1"/>
  </r>
  <r>
    <x v="202"/>
    <x v="0"/>
    <n v="1"/>
    <d v="2023-06-20T14:20:00"/>
    <d v="2023-06-20T00:00:00"/>
    <x v="50"/>
    <x v="29"/>
    <s v=" ChoirEnthusiast "/>
    <s v=" Instagram "/>
    <x v="1"/>
    <s v=" #MusicHarmony #SeniorVoices "/>
    <n v="20"/>
    <n v="40"/>
    <n v="60"/>
    <s v=" USA"/>
    <x v="0"/>
  </r>
  <r>
    <x v="79"/>
    <x v="0"/>
    <n v="1"/>
    <d v="2023-06-21T19:00:00"/>
    <d v="2023-06-21T00:00:00"/>
    <x v="88"/>
    <x v="38"/>
    <s v=" MeditationSenior "/>
    <s v=" Twitter "/>
    <x v="0"/>
    <s v=" #MindfulLiving #SeniorCalm "/>
    <n v="18"/>
    <n v="35"/>
    <n v="53"/>
    <s v=" UK"/>
    <x v="2"/>
  </r>
  <r>
    <x v="79"/>
    <x v="0"/>
    <n v="1"/>
    <d v="2023-06-22T13:45:00"/>
    <d v="2023-06-22T00:00:00"/>
    <x v="161"/>
    <x v="62"/>
    <s v=" GardenEnthusiast "/>
    <s v=" Facebook "/>
    <x v="2"/>
    <s v=" #NatureWonders #SeniorGarden "/>
    <n v="25"/>
    <n v="50"/>
    <n v="75"/>
    <s v=" USA"/>
    <x v="0"/>
  </r>
  <r>
    <x v="79"/>
    <x v="0"/>
    <n v="1"/>
    <d v="2023-06-23T18:45:00"/>
    <d v="2023-06-23T00:00:00"/>
    <x v="69"/>
    <x v="47"/>
    <s v=" WineConnoisseur "/>
    <s v=" Instagram "/>
    <x v="1"/>
    <s v=" #LifeWellLived #SeniorWine "/>
    <n v="28"/>
    <n v="55"/>
    <n v="83"/>
    <s v=" UK"/>
    <x v="2"/>
  </r>
  <r>
    <x v="202"/>
    <x v="0"/>
    <n v="1"/>
    <d v="2023-06-24T16:15:00"/>
    <d v="2023-06-24T00:00:00"/>
    <x v="132"/>
    <x v="90"/>
    <s v=" ArtisticSenior "/>
    <s v=" Twitter "/>
    <x v="0"/>
    <s v=" #CreativityAtAnyAge #SeniorCreativity "/>
    <n v="22"/>
    <n v="45"/>
    <n v="67"/>
    <s v=" Canada"/>
    <x v="1"/>
  </r>
  <r>
    <x v="205"/>
    <x v="0"/>
    <n v="1"/>
    <d v="2023-06-25T20:30:00"/>
    <d v="2023-06-25T00:00:00"/>
    <x v="52"/>
    <x v="45"/>
    <s v=" MemoiristSenior "/>
    <s v=" Facebook "/>
    <x v="2"/>
    <s v=" #LifetimeExperiences #SeniorMemoir "/>
    <n v="35"/>
    <n v="70"/>
    <n v="105"/>
    <s v=" USA"/>
    <x v="0"/>
  </r>
  <r>
    <x v="90"/>
    <x v="2"/>
    <n v="0"/>
    <d v="2023-06-26T14:00:00"/>
    <d v="2023-06-26T00:00:00"/>
    <x v="151"/>
    <x v="60"/>
    <s v=" HistoryEnthusiast "/>
    <s v=" Instagram "/>
    <x v="1"/>
    <s v=" #LifetimeAdventure #SeniorCuriosity "/>
    <n v="30"/>
    <n v="60"/>
    <n v="90"/>
    <s v=" UK"/>
    <x v="2"/>
  </r>
  <r>
    <x v="79"/>
    <x v="0"/>
    <n v="1"/>
    <d v="2023-06-27T17:45:00"/>
    <d v="2023-06-27T00:00:00"/>
    <x v="70"/>
    <x v="48"/>
    <s v=" FamilyChefSenior "/>
    <s v=" Twitter "/>
    <x v="0"/>
    <s v=" #KitchenMemories #SeniorCulinary "/>
    <n v="20"/>
    <n v="40"/>
    <n v="60"/>
    <s v=" USA"/>
    <x v="0"/>
  </r>
  <r>
    <x v="202"/>
    <x v="0"/>
    <n v="1"/>
    <d v="2023-06-28T22:15:00"/>
    <d v="2023-06-28T00:00:00"/>
    <x v="169"/>
    <x v="102"/>
    <s v=" NaturePhotographySenior "/>
    <s v=" Facebook "/>
    <x v="2"/>
    <s v=" #OutdoorBeauty #SeniorClicks "/>
    <n v="18"/>
    <n v="35"/>
    <n v="53"/>
    <s v=" UK"/>
    <x v="2"/>
  </r>
  <r>
    <x v="202"/>
    <x v="0"/>
    <n v="1"/>
    <d v="2023-06-29T16:30:00"/>
    <d v="2023-06-29T00:00:00"/>
    <x v="87"/>
    <x v="54"/>
    <s v=" JazzMusicLover "/>
    <s v=" Instagram "/>
    <x v="1"/>
    <s v=" #TimelessTunes #SeniorJazz "/>
    <n v="25"/>
    <n v="50"/>
    <n v="75"/>
    <s v=" USA"/>
    <x v="0"/>
  </r>
  <r>
    <x v="205"/>
    <x v="0"/>
    <n v="1"/>
    <d v="2023-06-30T19:30:00"/>
    <d v="2023-06-30T00:00:00"/>
    <x v="62"/>
    <x v="7"/>
    <s v=" SeniorWordsmith "/>
    <s v=" Twitter "/>
    <x v="0"/>
    <s v=" #SoulfulWriting #SeniorReflections "/>
    <n v="28"/>
    <n v="55"/>
    <n v="83"/>
    <s v=" UK"/>
    <x v="2"/>
  </r>
  <r>
    <x v="28"/>
    <x v="0"/>
    <n v="1"/>
    <d v="2023-07-01T14:00:00"/>
    <d v="2023-07-01T00:00:00"/>
    <x v="92"/>
    <x v="60"/>
    <s v=" SoloAdventurer "/>
    <s v=" Instagram "/>
    <x v="1"/>
    <s v=" #DiscoverNewPlaces #SeniorTravel "/>
    <n v="30"/>
    <n v="60"/>
    <n v="90"/>
    <s v=" USA"/>
    <x v="0"/>
  </r>
  <r>
    <x v="202"/>
    <x v="0"/>
    <n v="1"/>
    <d v="2023-07-02T18:30:00"/>
    <d v="2023-07-02T00:00:00"/>
    <x v="85"/>
    <x v="36"/>
    <s v=" CarEnthusiastSenior "/>
    <s v=" Facebook "/>
    <x v="2"/>
    <s v=" #RoadTripDownMemoryLane #SeniorCars "/>
    <n v="22"/>
    <n v="45"/>
    <n v="67"/>
    <s v=" UK"/>
    <x v="2"/>
  </r>
  <r>
    <x v="202"/>
    <x v="0"/>
    <n v="1"/>
    <d v="2023-07-03T12:45:00"/>
    <d v="2023-07-03T00:00:00"/>
    <x v="140"/>
    <x v="96"/>
    <s v=" GreenThumbSenior "/>
    <s v=" Twitter "/>
    <x v="0"/>
    <s v=" #GardenFriends #SeniorGreenThumb "/>
    <n v="28"/>
    <n v="55"/>
    <n v="83"/>
    <s v=" Canada"/>
    <x v="1"/>
  </r>
  <r>
    <x v="79"/>
    <x v="0"/>
    <n v="1"/>
    <d v="2023-07-04T17:00:00"/>
    <d v="2023-07-04T00:00:00"/>
    <x v="37"/>
    <x v="34"/>
    <s v=" FamilyHostSenior "/>
    <s v=" Instagram "/>
    <x v="1"/>
    <s v=" #HeartwarmingMoments #SeniorFamily "/>
    <n v="35"/>
    <n v="70"/>
    <n v="105"/>
    <s v=" USA"/>
    <x v="0"/>
  </r>
  <r>
    <x v="202"/>
    <x v="0"/>
    <n v="1"/>
    <d v="2023-07-05T20:15:00"/>
    <d v="2023-07-05T00:00:00"/>
    <x v="167"/>
    <x v="105"/>
    <s v=" DanceEnthusiastSenior "/>
    <s v=" Twitter "/>
    <x v="0"/>
    <s v=" #DanceLife #SeniorMoves "/>
    <n v="18"/>
    <n v="35"/>
    <n v="53"/>
    <s v=" UK"/>
    <x v="2"/>
  </r>
  <r>
    <x v="202"/>
    <x v="0"/>
    <n v="1"/>
    <d v="2023-07-06T14:30:00"/>
    <d v="2023-07-06T00:00:00"/>
    <x v="72"/>
    <x v="22"/>
    <s v=" ArtGalleryVisitor "/>
    <s v=" Facebook "/>
    <x v="2"/>
    <s v=" #CreativeExpressions #SeniorArt "/>
    <n v="25"/>
    <n v="50"/>
    <n v="75"/>
    <s v=" USA"/>
    <x v="0"/>
  </r>
  <r>
    <x v="202"/>
    <x v="0"/>
    <n v="1"/>
    <d v="2023-07-07T19:45:00"/>
    <d v="2023-07-07T00:00:00"/>
    <x v="58"/>
    <x v="25"/>
    <s v=" SeniorBookClub "/>
    <s v=" Instagram "/>
    <x v="1"/>
    <s v=" #BookishTalks #SeniorBookworms "/>
    <n v="22"/>
    <n v="45"/>
    <n v="67"/>
    <s v=" UK"/>
    <x v="2"/>
  </r>
  <r>
    <x v="79"/>
    <x v="0"/>
    <n v="1"/>
    <d v="2023-07-08T16:00:00"/>
    <d v="2023-07-08T00:00:00"/>
    <x v="65"/>
    <x v="44"/>
    <s v=" SeniorPicnicHost "/>
    <s v=" Twitter "/>
    <x v="0"/>
    <s v=" #FriendshipSunshine #SeniorMemories "/>
    <n v="30"/>
    <n v="60"/>
    <n v="90"/>
    <s v=" Canada"/>
    <x v="1"/>
  </r>
  <r>
    <x v="202"/>
    <x v="0"/>
    <n v="1"/>
    <d v="2023-07-09T22:30:00"/>
    <d v="2023-07-09T00:00:00"/>
    <x v="162"/>
    <x v="99"/>
    <s v=" SeniorActor "/>
    <s v=" Facebook "/>
    <x v="2"/>
    <s v=" #StagePassion #SeniorTheater "/>
    <n v="20"/>
    <n v="40"/>
    <n v="60"/>
    <s v=" USA"/>
    <x v="0"/>
  </r>
  <r>
    <x v="28"/>
    <x v="0"/>
    <n v="1"/>
    <d v="2023-07-10T14:20:00"/>
    <d v="2023-07-10T00:00:00"/>
    <x v="50"/>
    <x v="29"/>
    <s v=" SeniorHikerExplorer "/>
    <s v=" Instagram "/>
    <x v="1"/>
    <s v=" #NatureTrailBlazer #SeniorExplorer "/>
    <n v="28"/>
    <n v="55"/>
    <n v="83"/>
    <s v=" UK"/>
    <x v="2"/>
  </r>
  <r>
    <x v="205"/>
    <x v="0"/>
    <n v="1"/>
    <d v="2023-07-11T18:45:00"/>
    <d v="2023-07-11T00:00:00"/>
    <x v="69"/>
    <x v="47"/>
    <s v=" SeniorPhotographerExhibitor "/>
    <s v=" Twitter "/>
    <x v="0"/>
    <s v=" #LifeInPictures #SeniorExhibition "/>
    <n v="22"/>
    <n v="45"/>
    <n v="67"/>
    <s v=" Canada"/>
    <x v="1"/>
  </r>
  <r>
    <x v="28"/>
    <x v="0"/>
    <n v="1"/>
    <d v="2023-07-12T13:45:00"/>
    <d v="2023-07-12T00:00:00"/>
    <x v="161"/>
    <x v="62"/>
    <s v=" SeniorCyclingEnthusiast "/>
    <s v=" Facebook "/>
    <x v="2"/>
    <s v=" #OpenRoadAdventures #SeniorCycling "/>
    <n v="25"/>
    <n v="50"/>
    <n v="75"/>
    <s v=" USA"/>
    <x v="0"/>
  </r>
  <r>
    <x v="202"/>
    <x v="0"/>
    <n v="1"/>
    <d v="2023-07-13T20:00:00"/>
    <d v="2023-07-13T00:00:00"/>
    <x v="168"/>
    <x v="31"/>
    <s v=" SeniorWineConnoisseur "/>
    <s v=" Instagram "/>
    <x v="1"/>
    <s v=" #AgedToPerfection #SeniorCheers "/>
    <n v="35"/>
    <n v="70"/>
    <n v="105"/>
    <s v=" UK"/>
    <x v="2"/>
  </r>
  <r>
    <x v="202"/>
    <x v="0"/>
    <n v="1"/>
    <d v="2023-07-14T16:15:00"/>
    <d v="2023-07-14T00:00:00"/>
    <x v="132"/>
    <x v="90"/>
    <s v=" SeniorBallroomDancer "/>
    <s v=" Twitter "/>
    <x v="0"/>
    <s v=" #GracefulMoves #SeniorDance "/>
    <n v="20"/>
    <n v="40"/>
    <n v="60"/>
    <s v=" USA"/>
    <x v="0"/>
  </r>
  <r>
    <x v="202"/>
    <x v="0"/>
    <n v="1"/>
    <d v="2023-07-15T19:30:00"/>
    <d v="2023-07-15T00:00:00"/>
    <x v="7"/>
    <x v="7"/>
    <s v=" SeniorPaintingOrganizer "/>
    <s v=" Facebook "/>
    <x v="2"/>
    <s v=" #CommunityArt #SeniorCreativity "/>
    <n v="28"/>
    <n v="55"/>
    <n v="83"/>
    <s v=" Canada"/>
    <x v="1"/>
  </r>
  <r>
    <x v="205"/>
    <x v="0"/>
    <n v="1"/>
    <d v="2023-07-16T14:00:00"/>
    <d v="2023-07-16T00:00:00"/>
    <x v="151"/>
    <x v="60"/>
    <s v=" SeniorMemoriesHost "/>
    <s v=" Instagram "/>
    <x v="1"/>
    <s v=" #FriendshipAdventures #SeniorNostalgia "/>
    <n v="30"/>
    <n v="60"/>
    <n v="90"/>
    <s v=" USA"/>
    <x v="0"/>
  </r>
  <r>
    <x v="90"/>
    <x v="2"/>
    <n v="0"/>
    <d v="2023-07-17T22:15:00"/>
    <d v="2023-07-17T00:00:00"/>
    <x v="159"/>
    <x v="102"/>
    <s v=" SeniorStargazer "/>
    <s v=" Twitter "/>
    <x v="0"/>
    <s v=" #CelestialWonders #SeniorAstronomy "/>
    <n v="18"/>
    <n v="35"/>
    <n v="53"/>
    <s v=" UK"/>
    <x v="2"/>
  </r>
  <r>
    <x v="202"/>
    <x v="0"/>
    <n v="1"/>
    <d v="2023-07-18T16:30:00"/>
    <d v="2023-07-18T00:00:00"/>
    <x v="77"/>
    <x v="54"/>
    <s v=" SeniorJazzFestivalGoer "/>
    <s v=" Facebook "/>
    <x v="2"/>
    <s v=" #TimelessTunes #SeniorJazz "/>
    <n v="25"/>
    <n v="50"/>
    <n v="75"/>
    <s v=" USA"/>
    <x v="0"/>
  </r>
  <r>
    <x v="205"/>
    <x v="0"/>
    <n v="1"/>
    <d v="2023-07-19T19:45:00"/>
    <d v="2023-07-19T00:00:00"/>
    <x v="58"/>
    <x v="25"/>
    <s v=" WisdomBloggerSenior "/>
    <s v=" Instagram "/>
    <x v="1"/>
    <s v=" #LifeLessons #SeniorBlog "/>
    <n v="22"/>
    <n v="45"/>
    <n v="67"/>
    <s v=" UK"/>
    <x v="2"/>
  </r>
  <r>
    <x v="28"/>
    <x v="0"/>
    <n v="1"/>
    <d v="2023-07-20T17:00:00"/>
    <d v="2023-07-20T00:00:00"/>
    <x v="37"/>
    <x v="34"/>
    <s v=" SeniorCharityRunner "/>
    <s v=" Twitter "/>
    <x v="0"/>
    <s v=" #RunForACause #SeniorSupport "/>
    <n v="30"/>
    <n v="60"/>
    <n v="90"/>
    <s v=" Canada"/>
    <x v="1"/>
  </r>
  <r>
    <x v="270"/>
    <x v="2"/>
    <n v="0"/>
    <d v="2023-08-01T13:30:00"/>
    <d v="2023-08-01T00:00:00"/>
    <x v="156"/>
    <x v="39"/>
    <s v=" PhysicsWhizHighSchool "/>
    <s v=" Instagram "/>
    <x v="1"/>
    <s v=" #PhysicsSurvivor #HighSchoolAdventures "/>
    <n v="20"/>
    <n v="40"/>
    <n v="60"/>
    <s v=" USA"/>
    <x v="0"/>
  </r>
  <r>
    <x v="28"/>
    <x v="0"/>
    <n v="1"/>
    <d v="2023-08-02T14:45:00"/>
    <d v="2023-08-02T00:00:00"/>
    <x v="6"/>
    <x v="6"/>
    <s v=" CodeExplorerHighSchool "/>
    <s v=" Twitter "/>
    <x v="0"/>
    <s v=" #CodingAdventure #HighSchoolCoderLife "/>
    <n v="25"/>
    <n v="50"/>
    <n v="75"/>
    <s v=" UK"/>
    <x v="2"/>
  </r>
  <r>
    <x v="28"/>
    <x v="0"/>
    <n v="1"/>
    <d v="2023-08-03T12:15:00"/>
    <d v="2023-08-03T00:00:00"/>
    <x v="101"/>
    <x v="64"/>
    <s v=" DebateWarriorHighSchool "/>
    <s v=" Facebook "/>
    <x v="2"/>
    <s v=" #DebateWarrior #HighSchoolDebater "/>
    <n v="18"/>
    <n v="35"/>
    <n v="53"/>
    <s v=" Canada"/>
    <x v="1"/>
  </r>
  <r>
    <x v="202"/>
    <x v="0"/>
    <n v="1"/>
    <d v="2023-08-04T16:30:00"/>
    <d v="2023-08-04T00:00:00"/>
    <x v="87"/>
    <x v="54"/>
    <s v=" PhotoClubHighSchool "/>
    <s v=" Instagram "/>
    <x v="1"/>
    <s v=" #PhotographyClub #HighSchoolPhotographer "/>
    <n v="22"/>
    <n v="45"/>
    <n v="67"/>
    <s v=" USA"/>
    <x v="0"/>
  </r>
  <r>
    <x v="28"/>
    <x v="0"/>
    <n v="1"/>
    <d v="2023-08-05T19:45:00"/>
    <d v="2023-08-05T00:00:00"/>
    <x v="26"/>
    <x v="25"/>
    <s v=" PromDreamerHighSchool "/>
    <s v=" Twitter "/>
    <x v="0"/>
    <s v=" #PromDreams #HighSchoolFairytale "/>
    <n v="30"/>
    <n v="60"/>
    <n v="90"/>
    <s v=" Canada"/>
    <x v="1"/>
  </r>
  <r>
    <x v="271"/>
    <x v="0"/>
    <n v="1"/>
    <d v="2023-08-06T14:00:00"/>
    <d v="2023-08-06T00:00:00"/>
    <x v="92"/>
    <x v="60"/>
    <s v=" OutdoorClassHighSchool "/>
    <s v=" Facebook "/>
    <x v="2"/>
    <s v=" #OutdoorClassroom #HighSchoolExplorer "/>
    <n v="28"/>
    <n v="55"/>
    <n v="83"/>
    <s v=" USA"/>
    <x v="0"/>
  </r>
  <r>
    <x v="272"/>
    <x v="1"/>
    <n v="-1"/>
    <d v="2023-08-07T19:45:00"/>
    <d v="2023-08-07T00:00:00"/>
    <x v="26"/>
    <x v="25"/>
    <s v=" PaintSpillHighSchool "/>
    <s v=" Instagram "/>
    <x v="1"/>
    <s v=" #ArtisticMishaps #HighSchoolArt "/>
    <n v="22"/>
    <n v="45"/>
    <n v="67"/>
    <s v=" UK"/>
    <x v="2"/>
  </r>
  <r>
    <x v="28"/>
    <x v="0"/>
    <n v="1"/>
    <d v="2023-08-08T16:00:00"/>
    <d v="2023-08-08T00:00:00"/>
    <x v="51"/>
    <x v="44"/>
    <s v=" SkateProHighSchool "/>
    <s v=" Twitter "/>
    <x v="0"/>
    <s v=" #SkaterLife #HighSchoolSkater "/>
    <n v="30"/>
    <n v="60"/>
    <n v="90"/>
    <s v=" Canada"/>
    <x v="1"/>
  </r>
  <r>
    <x v="202"/>
    <x v="0"/>
    <n v="1"/>
    <d v="2023-08-09T22:30:00"/>
    <d v="2023-08-09T00:00:00"/>
    <x v="149"/>
    <x v="99"/>
    <s v=" KpopFangirlHighSchool "/>
    <s v=" Facebook "/>
    <x v="2"/>
    <s v=" #KpopFangirl #HighSchoolMusic "/>
    <n v="20"/>
    <n v="40"/>
    <n v="60"/>
    <s v=" USA"/>
    <x v="0"/>
  </r>
  <r>
    <x v="202"/>
    <x v="0"/>
    <n v="1"/>
    <d v="2023-08-10T14:20:00"/>
    <d v="2023-08-10T00:00:00"/>
    <x v="32"/>
    <x v="29"/>
    <s v=" ChemistryWizardHighSchool "/>
    <s v=" Instagram "/>
    <x v="1"/>
    <s v=" #ChemistryWizard #HighSchoolScientist "/>
    <n v="28"/>
    <n v="55"/>
    <n v="83"/>
    <s v=" UK"/>
    <x v="2"/>
  </r>
  <r>
    <x v="202"/>
    <x v="0"/>
    <n v="1"/>
    <d v="2023-08-11T18:45:00"/>
    <d v="2023-08-11T00:00:00"/>
    <x v="57"/>
    <x v="47"/>
    <s v=" BirthdayPartyPlannerHighSchool "/>
    <s v=" Twitter "/>
    <x v="0"/>
    <s v=" #BirthdayParty #HighSchoolCelebration "/>
    <n v="22"/>
    <n v="45"/>
    <n v="67"/>
    <s v=" Canada"/>
    <x v="1"/>
  </r>
  <r>
    <x v="28"/>
    <x v="0"/>
    <n v="1"/>
    <d v="2023-08-12T13:45:00"/>
    <d v="2023-08-12T00:00:00"/>
    <x v="95"/>
    <x v="62"/>
    <s v=" DramaClubStarHighSchool "/>
    <s v=" Facebook "/>
    <x v="2"/>
    <s v=" #DramaClubStar #HighSchoolActor "/>
    <n v="25"/>
    <n v="50"/>
    <n v="75"/>
    <s v=" USA"/>
    <x v="0"/>
  </r>
  <r>
    <x v="28"/>
    <x v="0"/>
    <n v="1"/>
    <d v="2023-08-13T20:00:00"/>
    <d v="2023-08-13T00:00:00"/>
    <x v="34"/>
    <x v="31"/>
    <s v=" FantasyBookNerdHighSchool "/>
    <s v=" Instagram "/>
    <x v="1"/>
    <s v=" #FantasyBookNerd #HighSchoolReader "/>
    <n v="35"/>
    <n v="70"/>
    <n v="105"/>
    <s v=" UK"/>
    <x v="2"/>
  </r>
  <r>
    <x v="202"/>
    <x v="0"/>
    <n v="1"/>
    <d v="2023-08-14T16:15:00"/>
    <d v="2023-08-14T00:00:00"/>
    <x v="172"/>
    <x v="90"/>
    <s v=" DoodleMasterHighSchool "/>
    <s v=" Twitter "/>
    <x v="0"/>
    <s v=" #DoodleMaster #HighSchoolArt "/>
    <n v="20"/>
    <n v="40"/>
    <n v="60"/>
    <s v=" USA"/>
    <x v="0"/>
  </r>
  <r>
    <x v="28"/>
    <x v="0"/>
    <n v="1"/>
    <d v="2023-08-15T19:30:00"/>
    <d v="2023-08-15T00:00:00"/>
    <x v="62"/>
    <x v="7"/>
    <s v=" HandstandChallengeHighSchool "/>
    <s v=" Facebook "/>
    <x v="2"/>
    <s v=" #HandstandChallenge #HighSchoolAthlete "/>
    <n v="28"/>
    <n v="55"/>
    <n v="83"/>
    <s v=" Canada"/>
    <x v="1"/>
  </r>
  <r>
    <x v="273"/>
    <x v="2"/>
    <n v="0"/>
    <d v="2023-08-16T14:00:00"/>
    <d v="2023-08-16T00:00:00"/>
    <x v="92"/>
    <x v="60"/>
    <s v=" SnackSmugglerHighSchool "/>
    <s v=" Instagram "/>
    <x v="1"/>
    <s v=" #SnackSmuggler #HighSchoolSnacks "/>
    <n v="30"/>
    <n v="60"/>
    <n v="90"/>
    <s v=" USA"/>
    <x v="0"/>
  </r>
  <r>
    <x v="28"/>
    <x v="0"/>
    <n v="1"/>
    <d v="2023-08-17T22:15:00"/>
    <d v="2023-08-17T00:00:00"/>
    <x v="169"/>
    <x v="102"/>
    <s v=" SleepoverHostHighSchool "/>
    <s v=" Twitter "/>
    <x v="0"/>
    <s v=" #SleepoverFun #HighSchoolMemories "/>
    <n v="18"/>
    <n v="35"/>
    <n v="53"/>
    <s v=" UK"/>
    <x v="2"/>
  </r>
  <r>
    <x v="272"/>
    <x v="1"/>
    <n v="-1"/>
    <d v="2023-08-18T16:30:00"/>
    <d v="2023-08-18T00:00:00"/>
    <x v="87"/>
    <x v="54"/>
    <s v=" TikTokFailHighSchool "/>
    <s v=" Facebook "/>
    <x v="2"/>
    <s v=" #DanceFail #HighSchoolTikTok "/>
    <n v="25"/>
    <n v="50"/>
    <n v="75"/>
    <s v=" USA"/>
    <x v="0"/>
  </r>
  <r>
    <x v="272"/>
    <x v="1"/>
    <n v="-1"/>
    <d v="2023-08-19T19:45:00"/>
    <d v="2023-08-19T00:00:00"/>
    <x v="26"/>
    <x v="25"/>
    <s v=" SocialMediaBlunderHighSchool "/>
    <s v=" Instagram "/>
    <x v="1"/>
    <s v=" #SocialMediaBlunder #HighSchoolAwkward "/>
    <n v="22"/>
    <n v="45"/>
    <n v="67"/>
    <s v=" UK"/>
    <x v="2"/>
  </r>
  <r>
    <x v="272"/>
    <x v="1"/>
    <n v="-1"/>
    <d v="2023-08-20T17:00:00"/>
    <d v="2023-08-20T00:00:00"/>
    <x v="153"/>
    <x v="34"/>
    <s v=" CrushFailHighSchool "/>
    <s v=" Twitter "/>
    <x v="0"/>
    <s v=" #CrushFail #HighSchoolEmbarrassment "/>
    <n v="30"/>
    <n v="60"/>
    <n v="90"/>
    <s v=" Canada"/>
    <x v="1"/>
  </r>
  <r>
    <x v="202"/>
    <x v="0"/>
    <n v="1"/>
    <d v="2023-08-21T15:45:00"/>
    <d v="2023-08-21T00:00:00"/>
    <x v="2"/>
    <x v="2"/>
    <s v=" PaperPlaneExpertHighSchool "/>
    <s v=" Instagram "/>
    <x v="1"/>
    <s v=" #PaperPlaneExpert #HighSchoolArt "/>
    <n v="15"/>
    <n v="30"/>
    <n v="45"/>
    <s v=" USA"/>
    <x v="0"/>
  </r>
  <r>
    <x v="28"/>
    <x v="0"/>
    <n v="1"/>
    <d v="2023-08-22T12:30:00"/>
    <d v="2023-08-22T00:00:00"/>
    <x v="135"/>
    <x v="0"/>
    <s v=" JugglingProHighSchool "/>
    <s v=" Facebook "/>
    <x v="2"/>
    <s v=" #TextbookJuggling #HighSchoolSkills "/>
    <n v="22"/>
    <n v="40"/>
    <n v="62"/>
    <s v=" Canada"/>
    <x v="1"/>
  </r>
  <r>
    <x v="273"/>
    <x v="2"/>
    <n v="0"/>
    <d v="2023-08-23T16:45:00"/>
    <d v="2023-08-23T00:00:00"/>
    <x v="21"/>
    <x v="20"/>
    <s v=" SnackNinjaHighSchool "/>
    <s v=" Twitter "/>
    <x v="0"/>
    <s v=" #SnackNinja #HighSchoolSnacks "/>
    <n v="28"/>
    <n v="55"/>
    <n v="83"/>
    <s v=" USA"/>
    <x v="0"/>
  </r>
  <r>
    <x v="28"/>
    <x v="0"/>
    <n v="1"/>
    <d v="2023-08-24T18:20:00"/>
    <d v="2023-08-24T00:00:00"/>
    <x v="60"/>
    <x v="3"/>
    <s v=" ScavengerHuntMasterHighSchool "/>
    <s v=" Instagram "/>
    <x v="1"/>
    <s v=" #SurpriseAdventure #HighSchoolFun "/>
    <n v="20"/>
    <n v="38"/>
    <n v="58"/>
    <s v=" UK"/>
    <x v="2"/>
  </r>
  <r>
    <x v="202"/>
    <x v="0"/>
    <n v="1"/>
    <d v="2023-08-25T14:15:00"/>
    <d v="2023-08-25T00:00:00"/>
    <x v="104"/>
    <x v="67"/>
    <s v=" RainDanceCelebrationHighSchool "/>
    <s v=" Facebook "/>
    <x v="2"/>
    <s v=" #RainDance #HighSchoolJoy "/>
    <n v="25"/>
    <n v="50"/>
    <n v="75"/>
    <s v=" Canada"/>
    <x v="1"/>
  </r>
  <r>
    <x v="272"/>
    <x v="1"/>
    <n v="-1"/>
    <d v="2023-08-26T17:30:00"/>
    <d v="2023-08-26T00:00:00"/>
    <x v="28"/>
    <x v="27"/>
    <s v=" GroupChatBlunderHighSchool "/>
    <s v=" Twitter "/>
    <x v="0"/>
    <s v=" #TextingFail #HighSchoolAwkward "/>
    <n v="18"/>
    <n v="35"/>
    <n v="53"/>
    <s v=" USA"/>
    <x v="0"/>
  </r>
  <r>
    <x v="272"/>
    <x v="1"/>
    <n v="-1"/>
    <d v="2023-08-27T20:45:00"/>
    <d v="2023-08-27T00:00:00"/>
    <x v="173"/>
    <x v="61"/>
    <s v=" MagicFailHighSchool "/>
    <s v=" Instagram "/>
    <x v="1"/>
    <s v=" #MagicFail #HighSchoolMagic "/>
    <n v="22"/>
    <n v="45"/>
    <n v="67"/>
    <s v=" UK"/>
    <x v="2"/>
  </r>
  <r>
    <x v="202"/>
    <x v="0"/>
    <n v="1"/>
    <d v="2023-08-28T16:00:00"/>
    <d v="2023-08-28T00:00:00"/>
    <x v="51"/>
    <x v="44"/>
    <s v=" OrigamiProHighSchool "/>
    <s v=" Twitter "/>
    <x v="0"/>
    <s v=" #OrigamiMaster #HighSchoolArt "/>
    <n v="18"/>
    <n v="36"/>
    <n v="54"/>
    <s v=" USA"/>
    <x v="0"/>
  </r>
  <r>
    <x v="28"/>
    <x v="0"/>
    <n v="1"/>
    <d v="2023-08-29T13:45:00"/>
    <d v="2023-08-29T00:00:00"/>
    <x v="161"/>
    <x v="62"/>
    <s v=" HackySackChampionHighSchool "/>
    <s v=" Instagram "/>
    <x v="1"/>
    <s v=" #HackySackChallenge #HighSchoolAthlete "/>
    <n v="26"/>
    <n v="48"/>
    <n v="74"/>
    <s v=" Canada"/>
    <x v="1"/>
  </r>
  <r>
    <x v="202"/>
    <x v="0"/>
    <n v="1"/>
    <d v="2023-08-30T17:30:00"/>
    <d v="2023-08-30T00:00:00"/>
    <x v="28"/>
    <x v="27"/>
    <s v=" SecretHandshakeHighSchool "/>
    <s v=" Facebook "/>
    <x v="2"/>
    <s v=" #FriendshipGoals #HighSchoolMemories "/>
    <n v="20"/>
    <n v="40"/>
    <n v="60"/>
    <s v=" USA"/>
    <x v="0"/>
  </r>
  <r>
    <x v="28"/>
    <x v="0"/>
    <n v="1"/>
    <d v="2023-08-31T20:15:00"/>
    <d v="2023-08-31T00:00:00"/>
    <x v="170"/>
    <x v="105"/>
    <s v=" BurgerQuestHighSchool "/>
    <s v=" Twitter "/>
    <x v="0"/>
    <s v=" #BurgerQuest #HighSchoolFoodie "/>
    <n v="24"/>
    <n v="42"/>
    <n v="66"/>
    <s v=" UK"/>
    <x v="2"/>
  </r>
  <r>
    <x v="202"/>
    <x v="0"/>
    <n v="1"/>
    <d v="2023-09-01T14:45:00"/>
    <d v="2023-09-01T00:00:00"/>
    <x v="6"/>
    <x v="6"/>
    <s v=" ComedyGeniusHighSchool "/>
    <s v=" Instagram "/>
    <x v="1"/>
    <s v=" #StandUpComedy #HighSchoolTalent "/>
    <n v="21"/>
    <n v="39"/>
    <n v="60"/>
    <s v=" Canada"/>
    <x v="1"/>
  </r>
  <r>
    <x v="272"/>
    <x v="1"/>
    <n v="-1"/>
    <d v="2023-09-02T18:30:00"/>
    <d v="2023-09-02T00:00:00"/>
    <x v="85"/>
    <x v="36"/>
    <s v=" LoveLetterBlunderHighSchool "/>
    <s v=" Facebook "/>
    <x v="2"/>
    <s v=" #LoveLetterFail #HighSchoolAwkward "/>
    <n v="17"/>
    <n v="33"/>
    <n v="50"/>
    <s v=" USA"/>
    <x v="0"/>
  </r>
  <r>
    <x v="28"/>
    <x v="0"/>
    <n v="1"/>
    <d v="2023-09-03T22:00:00"/>
    <d v="2023-09-03T00:00:00"/>
    <x v="107"/>
    <x v="70"/>
    <s v=" ScienceExperimentProHighSchool "/>
    <s v=" Twitter "/>
    <x v="0"/>
    <s v=" #ScienceGeek #HighSchoolExperiments "/>
    <n v="23"/>
    <n v="44"/>
    <n v="67"/>
    <s v=" UK"/>
    <x v="2"/>
  </r>
  <r>
    <x v="202"/>
    <x v="0"/>
    <n v="1"/>
    <d v="2023-09-04T15:15:00"/>
    <d v="2023-09-04T00:00:00"/>
    <x v="10"/>
    <x v="10"/>
    <s v=" BraceletCraftsmanHighSchool "/>
    <s v=" Instagram "/>
    <x v="1"/>
    <s v=" #FriendshipBracelets #HighSchoolCrafts "/>
    <n v="19"/>
    <n v="37"/>
    <n v="56"/>
    <s v=" USA"/>
    <x v="0"/>
  </r>
  <r>
    <x v="28"/>
    <x v="0"/>
    <n v="1"/>
    <d v="2023-09-05T12:30:00"/>
    <d v="2023-09-05T00:00:00"/>
    <x v="135"/>
    <x v="0"/>
    <s v=" CartwheelMasterHighSchool "/>
    <s v=" Twitter "/>
    <x v="0"/>
    <s v=" #CartwheelChallenge #HighSchoolAthlete "/>
    <n v="27"/>
    <n v="52"/>
    <n v="79"/>
    <s v=" Canada"/>
    <x v="1"/>
  </r>
  <r>
    <x v="202"/>
    <x v="0"/>
    <n v="1"/>
    <d v="2023-09-06T16:45:00"/>
    <d v="2023-09-06T00:00:00"/>
    <x v="21"/>
    <x v="20"/>
    <s v=" MovieMarathonHostHighSchool "/>
    <s v=" Facebook "/>
    <x v="2"/>
    <s v=" #MovieNight #HighSchoolMemories "/>
    <n v="22"/>
    <n v="43"/>
    <n v="65"/>
    <s v=" UK"/>
    <x v="2"/>
  </r>
  <r>
    <x v="28"/>
    <x v="0"/>
    <n v="1"/>
    <d v="2023-09-07T18:20:00"/>
    <d v="2023-09-07T00:00:00"/>
    <x v="60"/>
    <x v="3"/>
    <s v=" HairColorExperimentHighSchool "/>
    <s v=" Instagram "/>
    <x v="1"/>
    <s v=" #HairExperiment #HighSchoolStyle "/>
    <n v="20"/>
    <n v="39"/>
    <n v="59"/>
    <s v=" USA"/>
    <x v="0"/>
  </r>
  <r>
    <x v="202"/>
    <x v="0"/>
    <n v="1"/>
    <d v="2023-09-08T14:15:00"/>
    <d v="2023-09-08T00:00:00"/>
    <x v="104"/>
    <x v="67"/>
    <s v=" TimeCapsuleCreatorHighSchool "/>
    <s v=" Facebook "/>
    <x v="2"/>
    <s v=" #TimeCapsule #HighSchoolNostalgia "/>
    <n v="26"/>
    <n v="48"/>
    <n v="74"/>
    <s v=" Canada"/>
    <x v="1"/>
  </r>
  <r>
    <x v="272"/>
    <x v="1"/>
    <n v="-1"/>
    <d v="2023-09-09T17:30:00"/>
    <d v="2023-09-09T00:00:00"/>
    <x v="28"/>
    <x v="27"/>
    <s v=" ClassroomBlunderHighSchool "/>
    <s v=" Twitter "/>
    <x v="0"/>
    <s v=" #FirstDayOops #HighSchoolEmbarrassment "/>
    <n v="16"/>
    <n v="32"/>
    <n v="48"/>
    <s v=" USA"/>
    <x v="0"/>
  </r>
  <r>
    <x v="28"/>
    <x v="0"/>
    <n v="1"/>
    <d v="2023-09-10T20:45:00"/>
    <d v="2023-09-10T00:00:00"/>
    <x v="173"/>
    <x v="61"/>
    <s v=" SmoothieConnoisseurHighSchool "/>
    <s v=" Instagram "/>
    <x v="1"/>
    <s v=" #HealthyLiving #HighSchoolWellness "/>
    <n v="23"/>
    <n v="42"/>
    <n v="65"/>
    <s v=" UK"/>
    <x v="2"/>
  </r>
  <r>
    <x v="274"/>
    <x v="1"/>
    <n v="-1"/>
    <d v="2023-09-11T15:45:00"/>
    <d v="2023-09-11T00:00:00"/>
    <x v="39"/>
    <x v="2"/>
    <s v=" OverwhelmedHighSchoolStudent "/>
    <s v=" Twitter "/>
    <x v="0"/>
    <s v=" #SchoolChallenges #HighSchoolStruggles "/>
    <n v="15"/>
    <n v="28"/>
    <n v="43"/>
    <s v=" USA"/>
    <x v="0"/>
  </r>
  <r>
    <x v="275"/>
    <x v="1"/>
    <n v="-1"/>
    <d v="2023-09-12T12:30:00"/>
    <d v="2023-09-12T00:00:00"/>
    <x v="0"/>
    <x v="0"/>
    <s v=" DealingWithHateHighSchool "/>
    <s v=" Instagram "/>
    <x v="1"/>
    <s v=" #OnlineHate #HighSchoolReality "/>
    <n v="18"/>
    <n v="36"/>
    <n v="54"/>
    <s v=" Canada"/>
    <x v="1"/>
  </r>
  <r>
    <x v="276"/>
    <x v="1"/>
    <n v="-1"/>
    <d v="2023-09-13T16:45:00"/>
    <d v="2023-09-13T00:00:00"/>
    <x v="142"/>
    <x v="20"/>
    <s v=" ToughDayHighSchool "/>
    <s v=" Facebook "/>
    <x v="2"/>
    <s v=" #BadDay #HighSchoolBlues "/>
    <n v="20"/>
    <n v="40"/>
    <n v="60"/>
    <s v=" UK"/>
    <x v="2"/>
  </r>
  <r>
    <x v="274"/>
    <x v="1"/>
    <n v="-1"/>
    <d v="2023-09-14T18:20:00"/>
    <d v="2023-09-14T00:00:00"/>
    <x v="3"/>
    <x v="3"/>
    <s v=" SportsTeamRejectionHighSchool "/>
    <s v=" Twitter "/>
    <x v="0"/>
    <s v=" #Disappointment #HighSchoolSports "/>
    <n v="17"/>
    <n v="34"/>
    <n v="51"/>
    <s v=" USA"/>
    <x v="0"/>
  </r>
  <r>
    <x v="275"/>
    <x v="1"/>
    <n v="-1"/>
    <d v="2023-09-15T14:15:00"/>
    <d v="2023-09-15T00:00:00"/>
    <x v="163"/>
    <x v="67"/>
    <s v=" CafeteriaConflictHighSchool "/>
    <s v=" Instagram "/>
    <x v="1"/>
    <s v=" #CafeteriaDrama #HighSchoolTension "/>
    <n v="21"/>
    <n v="41"/>
    <n v="62"/>
    <s v=" Canada"/>
    <x v="1"/>
  </r>
  <r>
    <x v="276"/>
    <x v="1"/>
    <n v="-1"/>
    <d v="2023-09-16T17:30:00"/>
    <d v="2023-09-16T00:00:00"/>
    <x v="91"/>
    <x v="27"/>
    <s v=" ProjectGradeDisappointmentHighSchool "/>
    <s v=" Facebook "/>
    <x v="2"/>
    <s v=" #AcademicFrustration #HighSchoolStress "/>
    <n v="19"/>
    <n v="38"/>
    <n v="57"/>
    <s v=" UK"/>
    <x v="2"/>
  </r>
  <r>
    <x v="274"/>
    <x v="1"/>
    <n v="-1"/>
    <d v="2023-09-17T20:45:00"/>
    <d v="2023-09-17T00:00:00"/>
    <x v="93"/>
    <x v="61"/>
    <s v=" PersonalSetbackHighSchool "/>
    <s v=" Twitter "/>
    <x v="0"/>
    <s v=" #LifeChallenges #HighSchoolStruggles "/>
    <n v="22"/>
    <n v="44"/>
    <n v="66"/>
    <s v=" USA"/>
    <x v="0"/>
  </r>
  <r>
    <x v="274"/>
    <x v="1"/>
    <n v="-1"/>
    <d v="2023-09-18T22:00:00"/>
    <d v="2023-09-18T00:00:00"/>
    <x v="145"/>
    <x v="70"/>
    <s v=" LonelySaturdayHighSchool "/>
    <s v=" Instagram "/>
    <x v="1"/>
    <s v=" #LonelyNights #HighSchoolEmotions "/>
    <n v="16"/>
    <n v="31"/>
    <n v="47"/>
    <s v=" Canada"/>
    <x v="1"/>
  </r>
  <r>
    <x v="275"/>
    <x v="1"/>
    <n v="-1"/>
    <d v="2023-09-19T15:15:00"/>
    <d v="2023-09-19T00:00:00"/>
    <x v="19"/>
    <x v="10"/>
    <s v=" CyberbullyingVictimHighSchool "/>
    <s v=" Facebook "/>
    <x v="2"/>
    <s v=" #StopCyberbullying #HighSchoolReality "/>
    <n v="14"/>
    <n v="27"/>
    <n v="41"/>
    <s v=" UK"/>
    <x v="2"/>
  </r>
  <r>
    <x v="276"/>
    <x v="1"/>
    <n v="-1"/>
    <d v="2023-09-20T12:30:00"/>
    <d v="2023-09-20T00:00:00"/>
    <x v="0"/>
    <x v="0"/>
    <s v=" RainyDayBluesHighSchool "/>
    <s v=" Twitter "/>
    <x v="0"/>
    <s v=" #BadLuck #HighSchoolWeather "/>
    <n v="18"/>
    <n v="35"/>
    <n v="53"/>
    <s v=" USA"/>
    <x v="0"/>
  </r>
  <r>
    <x v="274"/>
    <x v="1"/>
    <n v="-1"/>
    <d v="2023-09-21T16:45:00"/>
    <d v="2023-09-21T00:00:00"/>
    <x v="142"/>
    <x v="20"/>
    <s v=" MissedOpportunityHighSchool "/>
    <s v=" Instagram "/>
    <x v="1"/>
    <s v=" #MissedChances #HighSchoolRegret "/>
    <n v="20"/>
    <n v="39"/>
    <n v="59"/>
    <s v=" Canada"/>
    <x v="1"/>
  </r>
  <r>
    <x v="275"/>
    <x v="1"/>
    <n v="-1"/>
    <d v="2023-09-22T18:20:00"/>
    <d v="2023-09-22T00:00:00"/>
    <x v="3"/>
    <x v="3"/>
    <s v=" RumorVictimHighSchool "/>
    <s v=" Facebook "/>
    <x v="2"/>
    <s v=" #RumorMills #HighSchoolDrama "/>
    <n v="23"/>
    <n v="46"/>
    <n v="69"/>
    <s v=" UK"/>
    <x v="2"/>
  </r>
  <r>
    <x v="276"/>
    <x v="1"/>
    <n v="-1"/>
    <d v="2023-09-23T14:15:00"/>
    <d v="2023-09-23T00:00:00"/>
    <x v="163"/>
    <x v="67"/>
    <s v=" FlatTireWoesHighSchool "/>
    <s v=" Twitter "/>
    <x v="0"/>
    <s v=" #BadLuckDay #HighSchoolStruggles "/>
    <n v="25"/>
    <n v="50"/>
    <n v="75"/>
    <s v=" USA"/>
    <x v="0"/>
  </r>
  <r>
    <x v="274"/>
    <x v="1"/>
    <n v="-1"/>
    <d v="2023-09-24T17:30:00"/>
    <d v="2023-09-24T00:00:00"/>
    <x v="91"/>
    <x v="27"/>
    <s v=" FriendMovingAwayHighSchool "/>
    <s v=" Instagram "/>
    <x v="1"/>
    <s v=" #SayingGoodbye #HighSchoolEmotions "/>
    <n v="21"/>
    <n v="42"/>
    <n v="63"/>
    <s v=" Canada"/>
    <x v="1"/>
  </r>
  <r>
    <x v="274"/>
    <x v="1"/>
    <n v="-1"/>
    <d v="2023-09-25T20:45:00"/>
    <d v="2023-09-25T00:00:00"/>
    <x v="93"/>
    <x v="61"/>
    <s v=" CollegeRejectionHighSchool "/>
    <s v=" Facebook "/>
    <x v="2"/>
    <s v=" #CollegeDreams #HighSchoolJourney "/>
    <n v="19"/>
    <n v="37"/>
    <n v="56"/>
    <s v=" UK"/>
    <x v="2"/>
  </r>
  <r>
    <x v="275"/>
    <x v="1"/>
    <n v="-1"/>
    <d v="2023-09-26T14:15:00"/>
    <d v="2023-09-26T00:00:00"/>
    <x v="104"/>
    <x v="67"/>
    <s v=" GamingToxicityHighSchool "/>
    <s v=" Twitter "/>
    <x v="0"/>
    <s v=" #OnlineGaming #HighSchoolGamer "/>
    <n v="16"/>
    <n v="32"/>
    <n v="48"/>
    <s v=" USA"/>
    <x v="0"/>
  </r>
  <r>
    <x v="276"/>
    <x v="1"/>
    <n v="-1"/>
    <d v="2023-09-27T17:30:00"/>
    <d v="2023-09-27T00:00:00"/>
    <x v="28"/>
    <x v="27"/>
    <s v=" BadHairDayBluesHighSchool "/>
    <s v=" Instagram "/>
    <x v="1"/>
    <s v=" #BadHairDay #HighSchoolConfidence "/>
    <n v="18"/>
    <n v="36"/>
    <n v="54"/>
    <s v=" Canada"/>
    <x v="1"/>
  </r>
  <r>
    <x v="274"/>
    <x v="1"/>
    <n v="-1"/>
    <d v="2023-09-28T22:00:00"/>
    <d v="2023-09-28T00:00:00"/>
    <x v="145"/>
    <x v="70"/>
    <s v=" ProjectFailureDespairHighSchool "/>
    <s v=" Facebook "/>
    <x v="2"/>
    <s v=" #ProjectStruggles #HighSchoolHardships "/>
    <n v="21"/>
    <n v="41"/>
    <n v="62"/>
    <s v=" UK"/>
    <x v="2"/>
  </r>
  <r>
    <x v="275"/>
    <x v="1"/>
    <n v="-1"/>
    <d v="2023-09-29T15:45:00"/>
    <d v="2023-09-29T00:00:00"/>
    <x v="39"/>
    <x v="2"/>
    <s v=" OpinionsHateHighSchool "/>
    <s v=" Twitter "/>
    <x v="0"/>
    <s v=" #OnlineOpinions #HighSchoolCriticism "/>
    <n v="24"/>
    <n v="48"/>
    <n v="72"/>
    <s v=" USA"/>
    <x v="0"/>
  </r>
  <r>
    <x v="276"/>
    <x v="1"/>
    <n v="-1"/>
    <d v="2023-09-30T18:20:00"/>
    <d v="2023-09-30T00:00:00"/>
    <x v="3"/>
    <x v="3"/>
    <s v=" TechMalfunctionWoesHighSchool "/>
    <s v=" Instagram "/>
    <x v="1"/>
    <s v=" #TechIssues #HighSchoolTech "/>
    <n v="22"/>
    <n v="43"/>
    <n v="65"/>
    <s v=" Canada"/>
    <x v="1"/>
  </r>
  <r>
    <x v="274"/>
    <x v="1"/>
    <n v="-1"/>
    <d v="2023-10-01T14:15:00"/>
    <d v="2023-10-01T00:00:00"/>
    <x v="163"/>
    <x v="67"/>
    <s v=" MissedEventBluesHighSchool "/>
    <s v=" Facebook "/>
    <x v="2"/>
    <s v=" #MissedMoments #HighSchoolRegret "/>
    <n v="20"/>
    <n v="39"/>
    <n v="59"/>
    <s v=" UK"/>
    <x v="2"/>
  </r>
  <r>
    <x v="277"/>
    <x v="2"/>
    <n v="0"/>
    <d v="2023-10-02T16:45:00"/>
    <d v="2023-10-02T00:00:00"/>
    <x v="21"/>
    <x v="20"/>
    <s v=" StudyTechniqueExperimentHighSchool "/>
    <s v=" Instagram "/>
    <x v="1"/>
    <s v=" #StudyStrategies #HighSchoolExams "/>
    <n v="23"/>
    <n v="42"/>
    <n v="65"/>
    <s v=" USA"/>
    <x v="0"/>
  </r>
  <r>
    <x v="277"/>
    <x v="2"/>
    <n v="0"/>
    <d v="2023-10-03T12:30:00"/>
    <d v="2023-10-03T00:00:00"/>
    <x v="135"/>
    <x v="0"/>
    <s v=" CommunityCleanupHighSchool "/>
    <s v=" Twitter "/>
    <x v="0"/>
    <s v=" #EnvironmentalEfforts #HighSchoolCommunity "/>
    <n v="26"/>
    <n v="50"/>
    <n v="76"/>
    <s v=" Canada"/>
    <x v="1"/>
  </r>
  <r>
    <x v="277"/>
    <x v="2"/>
    <n v="0"/>
    <d v="2023-10-04T18:20:00"/>
    <d v="2023-10-04T00:00:00"/>
    <x v="3"/>
    <x v="3"/>
    <s v=" BookRecommendationsHighSchool "/>
    <s v=" Facebook "/>
    <x v="2"/>
    <s v=" #BookClub #HighSchoolReads "/>
    <n v="19"/>
    <n v="38"/>
    <n v="57"/>
    <s v=" UK"/>
    <x v="2"/>
  </r>
  <r>
    <x v="277"/>
    <x v="2"/>
    <n v="0"/>
    <d v="2023-10-05T14:15:00"/>
    <d v="2023-10-05T00:00:00"/>
    <x v="163"/>
    <x v="67"/>
    <s v=" BakeSaleRecipeExperimentHighSchool "/>
    <s v=" Instagram "/>
    <x v="1"/>
    <s v=" #BakingAdventures #HighSchoolBakes "/>
    <n v="21"/>
    <n v="43"/>
    <n v="64"/>
    <s v=" USA"/>
    <x v="0"/>
  </r>
  <r>
    <x v="277"/>
    <x v="2"/>
    <n v="0"/>
    <d v="2023-10-06T17:30:00"/>
    <d v="2023-10-06T00:00:00"/>
    <x v="91"/>
    <x v="27"/>
    <s v=" SchoolProjectCollaborationHighSchool "/>
    <s v=" Twitter "/>
    <x v="0"/>
    <s v=" #Teamwork #HighSchoolProjects "/>
    <n v="18"/>
    <n v="36"/>
    <n v="54"/>
    <s v=" Canada"/>
    <x v="1"/>
  </r>
  <r>
    <x v="277"/>
    <x v="2"/>
    <n v="0"/>
    <d v="2023-10-07T20:45:00"/>
    <d v="2023-10-07T00:00:00"/>
    <x v="93"/>
    <x v="61"/>
    <s v=" ExtracurricularExplorationHighSchool "/>
    <s v=" Instagram "/>
    <x v="1"/>
    <s v=" #SchoolClubs #HighSchoolInterests "/>
    <n v="22"/>
    <n v="45"/>
    <n v="67"/>
    <s v=" UK"/>
    <x v="2"/>
  </r>
  <r>
    <x v="277"/>
    <x v="2"/>
    <n v="0"/>
    <d v="2023-10-08T15:15:00"/>
    <d v="2023-10-08T00:00:00"/>
    <x v="10"/>
    <x v="10"/>
    <s v=" PartTimeJobExplorationHighSchool "/>
    <s v=" Facebook "/>
    <x v="2"/>
    <s v=" #CareerDevelopment #HighSchoolJobs "/>
    <n v="24"/>
    <n v="48"/>
    <n v="72"/>
    <s v=" USA"/>
    <x v="0"/>
  </r>
  <r>
    <x v="277"/>
    <x v="2"/>
    <n v="0"/>
    <d v="2023-10-09T22:00:00"/>
    <d v="2023-10-09T00:00:00"/>
    <x v="107"/>
    <x v="70"/>
    <s v=" SchoolAssemblyParticipationHighSchool "/>
    <s v=" Twitter "/>
    <x v="0"/>
    <s v=" #SchoolEvents #HighSchoolConnectivity "/>
    <n v="20"/>
    <n v="40"/>
    <n v="60"/>
    <s v=" Canada"/>
    <x v="1"/>
  </r>
  <r>
    <x v="277"/>
    <x v="2"/>
    <n v="0"/>
    <d v="2023-10-10T14:15:00"/>
    <d v="2023-10-10T00:00:00"/>
    <x v="104"/>
    <x v="67"/>
    <s v=" PhotographyHobbyHighSchool "/>
    <s v=" Instagram "/>
    <x v="1"/>
    <s v=" #PhotographyJourney #HighSchoolHobbies "/>
    <n v="25"/>
    <n v="49"/>
    <n v="74"/>
    <s v=" UK"/>
    <x v="2"/>
  </r>
  <r>
    <x v="277"/>
    <x v="2"/>
    <n v="0"/>
    <d v="2023-10-11T16:45:00"/>
    <d v="2023-10-11T00:00:00"/>
    <x v="142"/>
    <x v="20"/>
    <s v=" ScienceFairParticipationHighSchool "/>
    <s v=" Facebook "/>
    <x v="2"/>
    <s v=" #ScienceFair #HighSchoolScience "/>
    <n v="19"/>
    <n v="37"/>
    <n v="56"/>
    <s v=" USA"/>
    <x v="0"/>
  </r>
  <r>
    <x v="277"/>
    <x v="2"/>
    <n v="0"/>
    <d v="2023-10-12T18:20:00"/>
    <d v="2023-10-12T00:00:00"/>
    <x v="3"/>
    <x v="3"/>
    <s v=" TimeManagementWorkshopHighSchool "/>
    <s v=" Twitter "/>
    <x v="0"/>
    <s v=" #EfficiencyGoals #HighSchoolSkills "/>
    <n v="23"/>
    <n v="44"/>
    <n v="67"/>
    <s v=" Canada"/>
    <x v="1"/>
  </r>
  <r>
    <x v="277"/>
    <x v="2"/>
    <n v="0"/>
    <d v="2023-10-13T12:30:00"/>
    <d v="2023-10-13T00:00:00"/>
    <x v="135"/>
    <x v="0"/>
    <s v=" CharityEventVolunteerHighSchool "/>
    <s v=" Instagram "/>
    <x v="1"/>
    <s v=" #CommunityService #HighSchoolVolunteer "/>
    <n v="20"/>
    <n v="39"/>
    <n v="59"/>
    <s v=" UK"/>
    <x v="2"/>
  </r>
  <r>
    <x v="277"/>
    <x v="2"/>
    <n v="0"/>
    <d v="2023-10-14T17:30:00"/>
    <d v="2023-10-14T00:00:00"/>
    <x v="91"/>
    <x v="27"/>
    <s v=" GroupProjectCollaborationHighSchool "/>
    <s v=" Facebook "/>
    <x v="2"/>
    <s v=" #TeamSpirit #HighSchoolProjects "/>
    <n v="18"/>
    <n v="35"/>
    <n v="53"/>
    <s v=" USA"/>
    <x v="0"/>
  </r>
  <r>
    <x v="277"/>
    <x v="2"/>
    <n v="0"/>
    <d v="2023-10-15T20:45:00"/>
    <d v="2023-10-15T00:00:00"/>
    <x v="93"/>
    <x v="61"/>
    <s v=" DebateClubParticipationHighSchool "/>
    <s v=" Twitter "/>
    <x v="0"/>
    <s v=" #DebateSkills #HighSchoolIntellect "/>
    <n v="22"/>
    <n v="43"/>
    <n v="65"/>
    <s v=" Canada"/>
    <x v="1"/>
  </r>
  <r>
    <x v="278"/>
    <x v="0"/>
    <n v="1"/>
    <d v="2023-10-16T15:45:00"/>
    <d v="2023-10-16T00:00:00"/>
    <x v="2"/>
    <x v="2"/>
    <s v=" BirthdaySurpriseHighSchool "/>
    <s v=" Instagram "/>
    <x v="1"/>
    <s v=" #SurpriseParty #HighSchoolCelebration "/>
    <n v="27"/>
    <n v="52"/>
    <n v="79"/>
    <s v=" UK"/>
    <x v="2"/>
  </r>
  <r>
    <x v="278"/>
    <x v="0"/>
    <n v="1"/>
    <d v="2023-10-17T12:30:00"/>
    <d v="2023-10-17T00:00:00"/>
    <x v="135"/>
    <x v="0"/>
    <s v=" CodingSuccessHighSchool "/>
    <s v=" Twitter "/>
    <x v="0"/>
    <s v=" #CodingTriumph #HighSchoolTech "/>
    <n v="24"/>
    <n v="48"/>
    <n v="72"/>
    <s v=" USA"/>
    <x v="0"/>
  </r>
  <r>
    <x v="278"/>
    <x v="0"/>
    <n v="1"/>
    <d v="2023-10-18T16:45:00"/>
    <d v="2023-10-18T00:00:00"/>
    <x v="21"/>
    <x v="20"/>
    <s v=" TalentShowSupportHighSchool "/>
    <s v=" Facebook "/>
    <x v="2"/>
    <s v=" #TalentShow #HighSchoolEntertainment "/>
    <n v="19"/>
    <n v="38"/>
    <n v="57"/>
    <s v=" Canada"/>
    <x v="1"/>
  </r>
  <r>
    <x v="278"/>
    <x v="0"/>
    <n v="1"/>
    <d v="2023-10-19T18:20:00"/>
    <d v="2023-10-19T00:00:00"/>
    <x v="60"/>
    <x v="3"/>
    <s v=" WeekendHikeHighSchool "/>
    <s v=" Instagram "/>
    <x v="1"/>
    <s v=" #NatureAdventures #HighSchoolFriends "/>
    <n v="21"/>
    <n v="42"/>
    <n v="63"/>
    <s v=" UK"/>
    <x v="2"/>
  </r>
  <r>
    <x v="278"/>
    <x v="0"/>
    <n v="1"/>
    <d v="2023-10-20T14:15:00"/>
    <d v="2023-10-20T00:00:00"/>
    <x v="104"/>
    <x v="67"/>
    <s v=" SportsVictoryHighSchool "/>
    <s v=" Twitter "/>
    <x v="0"/>
    <s v=" #SportsTriumph #HighSchoolAthletics "/>
    <n v="26"/>
    <n v="50"/>
    <n v="76"/>
    <s v=" USA"/>
    <x v="0"/>
  </r>
  <r>
    <x v="278"/>
    <x v="0"/>
    <n v="1"/>
    <d v="2023-10-21T17:30:00"/>
    <d v="2023-10-21T00:00:00"/>
    <x v="28"/>
    <x v="27"/>
    <s v=" PenPalConnectionHighSchool "/>
    <s v=" Facebook "/>
    <x v="2"/>
    <s v=" #GlobalFriendship #HighSchoolCorrespondence "/>
    <n v="23"/>
    <n v="45"/>
    <n v="68"/>
    <s v=" Canada"/>
    <x v="1"/>
  </r>
  <r>
    <x v="278"/>
    <x v="0"/>
    <n v="1"/>
    <d v="2023-10-22T20:45:00"/>
    <d v="2023-10-22T00:00:00"/>
    <x v="173"/>
    <x v="61"/>
    <s v=" MuralCreationHighSchool "/>
    <s v=" Instagram "/>
    <x v="1"/>
    <s v=" #ArtCollaboration #HighSchoolCreativity "/>
    <n v="22"/>
    <n v="43"/>
    <n v="65"/>
    <s v=" UK"/>
    <x v="2"/>
  </r>
  <r>
    <x v="278"/>
    <x v="0"/>
    <n v="1"/>
    <d v="2015-11-10T16:45:00"/>
    <d v="2015-11-10T00:00:00"/>
    <x v="142"/>
    <x v="20"/>
    <s v=" ArtExhibitionJoyHighSchool "/>
    <s v=" Instagram "/>
    <x v="1"/>
    <s v=" #ArtisticExpression #HighSchoolCreativity "/>
    <n v="23"/>
    <n v="44"/>
    <n v="67"/>
    <s v=" USA"/>
    <x v="0"/>
  </r>
  <r>
    <x v="278"/>
    <x v="0"/>
    <n v="1"/>
    <d v="2016-09-14T12:30:00"/>
    <d v="2016-09-14T00:00:00"/>
    <x v="0"/>
    <x v="0"/>
    <s v=" TrackFieldSuccessHighSchool "/>
    <s v=" Twitter "/>
    <x v="0"/>
    <s v=" #AthleticAchievement #HighSchoolSports "/>
    <n v="26"/>
    <n v="51"/>
    <n v="77"/>
    <s v=" Canada"/>
    <x v="1"/>
  </r>
  <r>
    <x v="278"/>
    <x v="0"/>
    <n v="1"/>
    <d v="2017-08-18T18:20:00"/>
    <d v="2017-08-18T00:00:00"/>
    <x v="3"/>
    <x v="3"/>
    <s v=" ScienceProjectSuccessHighSchool "/>
    <s v=" Facebook "/>
    <x v="2"/>
    <s v=" #ScienceFairWinner #HighSchoolScience "/>
    <n v="20"/>
    <n v="39"/>
    <n v="59"/>
    <s v=" UK"/>
    <x v="2"/>
  </r>
  <r>
    <x v="278"/>
    <x v="0"/>
    <n v="1"/>
    <d v="2018-06-22T14:15:00"/>
    <d v="2018-06-22T00:00:00"/>
    <x v="104"/>
    <x v="67"/>
    <s v=" BirthdayPartyJoyHighSchool "/>
    <s v=" Instagram "/>
    <x v="1"/>
    <s v=" #SurpriseCelebration #HighSchoolFriendship "/>
    <n v="25"/>
    <n v="48"/>
    <n v="73"/>
    <s v=" USA"/>
    <x v="0"/>
  </r>
  <r>
    <x v="278"/>
    <x v="0"/>
    <n v="1"/>
    <d v="2019-04-05T17:30:00"/>
    <d v="2019-04-05T00:00:00"/>
    <x v="28"/>
    <x v="27"/>
    <s v=" CharityFundraisingTriumphHighSchool "/>
    <s v=" Twitter "/>
    <x v="0"/>
    <s v=" #CommunityGiving #HighSchoolPhilanthropy "/>
    <n v="22"/>
    <n v="42"/>
    <n v="64"/>
    <s v=" Canada"/>
    <x v="1"/>
  </r>
  <r>
    <x v="278"/>
    <x v="0"/>
    <n v="1"/>
    <d v="2020-02-29T20:45:00"/>
    <d v="2020-02-29T00:00:00"/>
    <x v="93"/>
    <x v="61"/>
    <s v=" MulticulturalFestivalJoyHighSchool "/>
    <s v=" Facebook "/>
    <x v="2"/>
    <s v=" #CulturalCelebration #HighSchoolUnity "/>
    <n v="21"/>
    <n v="43"/>
    <n v="64"/>
    <s v=" UK"/>
    <x v="2"/>
  </r>
  <r>
    <x v="278"/>
    <x v="0"/>
    <n v="1"/>
    <d v="2020-11-15T15:15:00"/>
    <d v="2020-11-15T00:00:00"/>
    <x v="19"/>
    <x v="10"/>
    <s v=" VirtualTalentShowSuccessHighSchool "/>
    <s v=" Instagram "/>
    <x v="1"/>
    <s v=" #VirtualEntertainment #HighSchoolPositivity "/>
    <n v="24"/>
    <n v="47"/>
    <n v="71"/>
    <s v=" US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291295-D719-2646-ADF5-8C149946EE54}" name="PivotTable13"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E16" firstHeaderRow="1" firstDataRow="2" firstDataCol="1"/>
  <pivotFields count="23">
    <pivotField showAll="0"/>
    <pivotField showAll="0"/>
    <pivotField axis="axisCol" showAll="0">
      <items count="4">
        <item x="1"/>
        <item x="2"/>
        <item x="0"/>
        <item t="default"/>
      </items>
    </pivotField>
    <pivotField numFmtId="22" showAll="0"/>
    <pivotField numFmtId="14" showAll="0"/>
    <pivotField numFmtId="170" showAll="0">
      <items count="175">
        <item x="17"/>
        <item x="166"/>
        <item x="137"/>
        <item x="143"/>
        <item x="139"/>
        <item x="117"/>
        <item x="55"/>
        <item x="43"/>
        <item x="96"/>
        <item x="63"/>
        <item x="98"/>
        <item x="36"/>
        <item x="5"/>
        <item x="22"/>
        <item x="122"/>
        <item x="45"/>
        <item x="31"/>
        <item x="113"/>
        <item x="48"/>
        <item x="115"/>
        <item x="148"/>
        <item x="108"/>
        <item x="11"/>
        <item x="54"/>
        <item x="124"/>
        <item x="134"/>
        <item x="81"/>
        <item x="18"/>
        <item x="118"/>
        <item x="79"/>
        <item x="24"/>
        <item x="110"/>
        <item x="99"/>
        <item x="135"/>
        <item x="140"/>
        <item x="165"/>
        <item x="83"/>
        <item x="44"/>
        <item x="95"/>
        <item x="92"/>
        <item x="163"/>
        <item x="32"/>
        <item x="23"/>
        <item x="128"/>
        <item x="6"/>
        <item x="12"/>
        <item x="27"/>
        <item x="138"/>
        <item x="19"/>
        <item x="78"/>
        <item x="39"/>
        <item x="51"/>
        <item x="172"/>
        <item x="94"/>
        <item x="87"/>
        <item x="82"/>
        <item x="142"/>
        <item x="153"/>
        <item x="146"/>
        <item x="171"/>
        <item x="112"/>
        <item x="28"/>
        <item x="33"/>
        <item x="70"/>
        <item x="120"/>
        <item x="13"/>
        <item x="86"/>
        <item x="60"/>
        <item x="40"/>
        <item x="69"/>
        <item x="131"/>
        <item x="88"/>
        <item x="152"/>
        <item x="7"/>
        <item x="58"/>
        <item x="109"/>
        <item x="168"/>
        <item x="167"/>
        <item x="80"/>
        <item x="52"/>
        <item x="93"/>
        <item x="129"/>
        <item x="46"/>
        <item x="160"/>
        <item x="114"/>
        <item x="157"/>
        <item x="107"/>
        <item x="159"/>
        <item x="162"/>
        <item x="154"/>
        <item x="150"/>
        <item x="119"/>
        <item x="125"/>
        <item x="111"/>
        <item x="67"/>
        <item x="8"/>
        <item x="76"/>
        <item x="49"/>
        <item x="20"/>
        <item x="1"/>
        <item x="53"/>
        <item x="56"/>
        <item x="14"/>
        <item x="61"/>
        <item x="121"/>
        <item x="90"/>
        <item x="130"/>
        <item x="41"/>
        <item x="158"/>
        <item x="105"/>
        <item x="144"/>
        <item x="64"/>
        <item x="97"/>
        <item x="89"/>
        <item x="101"/>
        <item x="9"/>
        <item x="0"/>
        <item x="147"/>
        <item x="116"/>
        <item x="30"/>
        <item x="15"/>
        <item x="156"/>
        <item x="161"/>
        <item x="151"/>
        <item x="104"/>
        <item x="50"/>
        <item x="72"/>
        <item x="47"/>
        <item x="127"/>
        <item x="68"/>
        <item x="10"/>
        <item x="133"/>
        <item x="71"/>
        <item x="2"/>
        <item x="65"/>
        <item x="35"/>
        <item x="132"/>
        <item x="25"/>
        <item x="77"/>
        <item x="21"/>
        <item x="106"/>
        <item x="37"/>
        <item x="16"/>
        <item x="91"/>
        <item x="102"/>
        <item x="29"/>
        <item x="74"/>
        <item x="155"/>
        <item x="3"/>
        <item x="85"/>
        <item x="57"/>
        <item x="42"/>
        <item x="75"/>
        <item x="62"/>
        <item x="26"/>
        <item x="4"/>
        <item x="34"/>
        <item x="103"/>
        <item x="170"/>
        <item x="38"/>
        <item x="66"/>
        <item x="173"/>
        <item x="100"/>
        <item x="59"/>
        <item x="84"/>
        <item x="164"/>
        <item x="73"/>
        <item x="145"/>
        <item x="136"/>
        <item x="169"/>
        <item x="149"/>
        <item x="123"/>
        <item x="126"/>
        <item x="141"/>
        <item t="default"/>
      </items>
    </pivotField>
    <pivotField showAll="0"/>
    <pivotField showAll="0"/>
    <pivotField showAll="0">
      <items count="5">
        <item x="2"/>
        <item x="1"/>
        <item x="3"/>
        <item x="0"/>
        <item t="default"/>
      </items>
    </pivotField>
    <pivotField axis="axisRow" showAll="0">
      <items count="4">
        <item x="2"/>
        <item x="1"/>
        <item x="0"/>
        <item t="default"/>
      </items>
    </pivotField>
    <pivotField showAll="0"/>
    <pivotField showAll="0"/>
    <pivotField showAll="0"/>
    <pivotField dataField="1"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items count="23">
        <item x="10"/>
        <item x="18"/>
        <item x="19"/>
        <item x="21"/>
        <item x="17"/>
        <item x="15"/>
        <item x="1"/>
        <item x="5"/>
        <item x="7"/>
        <item x="11"/>
        <item x="0"/>
        <item x="8"/>
        <item x="6"/>
        <item x="2"/>
        <item x="12"/>
        <item x="9"/>
        <item x="3"/>
        <item x="4"/>
        <item x="13"/>
        <item x="14"/>
        <item x="16"/>
        <item x="20"/>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9"/>
  </rowFields>
  <rowItems count="4">
    <i>
      <x/>
    </i>
    <i>
      <x v="1"/>
    </i>
    <i>
      <x v="2"/>
    </i>
    <i t="grand">
      <x/>
    </i>
  </rowItems>
  <colFields count="1">
    <field x="2"/>
  </colFields>
  <colItems count="4">
    <i>
      <x/>
    </i>
    <i>
      <x v="1"/>
    </i>
    <i>
      <x v="2"/>
    </i>
    <i t="grand">
      <x/>
    </i>
  </colItems>
  <dataFields count="1">
    <dataField name="Sum of Interaction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562113-5A29-9842-832F-3AA8C80A0070}" name="PivotTable11"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I80:AM143" firstHeaderRow="1" firstDataRow="2" firstDataCol="1" rowPageCount="1" colPageCount="1"/>
  <pivotFields count="16">
    <pivotField showAll="0">
      <items count="280">
        <item x="17"/>
        <item x="74"/>
        <item x="128"/>
        <item x="241"/>
        <item x="12"/>
        <item x="112"/>
        <item x="18"/>
        <item x="159"/>
        <item x="151"/>
        <item x="13"/>
        <item x="217"/>
        <item x="91"/>
        <item x="73"/>
        <item x="10"/>
        <item x="116"/>
        <item x="3"/>
        <item x="19"/>
        <item x="122"/>
        <item x="63"/>
        <item x="54"/>
        <item x="125"/>
        <item x="96"/>
        <item x="39"/>
        <item x="161"/>
        <item x="216"/>
        <item x="153"/>
        <item x="14"/>
        <item x="103"/>
        <item x="276"/>
        <item x="196"/>
        <item x="179"/>
        <item x="20"/>
        <item x="93"/>
        <item x="110"/>
        <item x="121"/>
        <item x="267"/>
        <item x="53"/>
        <item x="251"/>
        <item x="21"/>
        <item x="107"/>
        <item x="219"/>
        <item x="225"/>
        <item x="262"/>
        <item x="249"/>
        <item x="226"/>
        <item x="230"/>
        <item x="43"/>
        <item x="37"/>
        <item x="84"/>
        <item x="126"/>
        <item x="88"/>
        <item x="27"/>
        <item x="22"/>
        <item x="69"/>
        <item x="233"/>
        <item x="117"/>
        <item x="79"/>
        <item x="32"/>
        <item x="149"/>
        <item x="263"/>
        <item x="229"/>
        <item x="144"/>
        <item x="258"/>
        <item x="165"/>
        <item x="90"/>
        <item x="167"/>
        <item x="133"/>
        <item x="111"/>
        <item x="67"/>
        <item x="189"/>
        <item x="158"/>
        <item x="192"/>
        <item x="92"/>
        <item x="178"/>
        <item x="60"/>
        <item x="47"/>
        <item x="190"/>
        <item x="104"/>
        <item x="75"/>
        <item x="99"/>
        <item x="15"/>
        <item x="184"/>
        <item x="269"/>
        <item x="6"/>
        <item x="59"/>
        <item x="102"/>
        <item x="138"/>
        <item x="227"/>
        <item x="46"/>
        <item x="30"/>
        <item x="139"/>
        <item x="272"/>
        <item x="223"/>
        <item x="181"/>
        <item x="83"/>
        <item x="36"/>
        <item x="214"/>
        <item x="134"/>
        <item x="224"/>
        <item x="237"/>
        <item x="11"/>
        <item x="204"/>
        <item x="40"/>
        <item x="101"/>
        <item x="254"/>
        <item x="57"/>
        <item x="235"/>
        <item x="152"/>
        <item x="166"/>
        <item x="31"/>
        <item x="28"/>
        <item x="23"/>
        <item x="119"/>
        <item x="187"/>
        <item x="215"/>
        <item x="4"/>
        <item x="95"/>
        <item x="155"/>
        <item x="86"/>
        <item x="157"/>
        <item x="208"/>
        <item x="100"/>
        <item x="62"/>
        <item x="52"/>
        <item x="41"/>
        <item x="44"/>
        <item x="222"/>
        <item x="82"/>
        <item x="205"/>
        <item x="150"/>
        <item x="109"/>
        <item x="172"/>
        <item x="34"/>
        <item x="194"/>
        <item x="177"/>
        <item x="48"/>
        <item x="203"/>
        <item x="7"/>
        <item x="132"/>
        <item x="278"/>
        <item x="252"/>
        <item x="143"/>
        <item x="160"/>
        <item x="275"/>
        <item x="200"/>
        <item x="195"/>
        <item x="175"/>
        <item x="243"/>
        <item x="65"/>
        <item x="56"/>
        <item x="228"/>
        <item x="35"/>
        <item x="80"/>
        <item x="232"/>
        <item x="234"/>
        <item x="255"/>
        <item x="169"/>
        <item x="268"/>
        <item x="68"/>
        <item x="156"/>
        <item x="148"/>
        <item x="164"/>
        <item x="114"/>
        <item x="87"/>
        <item x="64"/>
        <item x="55"/>
        <item x="135"/>
        <item x="183"/>
        <item x="98"/>
        <item x="66"/>
        <item x="50"/>
        <item x="236"/>
        <item x="202"/>
        <item x="8"/>
        <item x="253"/>
        <item x="118"/>
        <item x="24"/>
        <item x="207"/>
        <item x="61"/>
        <item x="176"/>
        <item x="49"/>
        <item x="199"/>
        <item x="185"/>
        <item x="209"/>
        <item x="9"/>
        <item x="173"/>
        <item x="186"/>
        <item x="71"/>
        <item x="154"/>
        <item x="257"/>
        <item x="137"/>
        <item x="248"/>
        <item x="273"/>
        <item x="115"/>
        <item x="261"/>
        <item x="1"/>
        <item x="277"/>
        <item x="2"/>
        <item x="170"/>
        <item x="124"/>
        <item x="105"/>
        <item x="72"/>
        <item x="77"/>
        <item x="70"/>
        <item x="244"/>
        <item x="265"/>
        <item x="130"/>
        <item x="113"/>
        <item x="97"/>
        <item x="108"/>
        <item x="141"/>
        <item x="85"/>
        <item x="136"/>
        <item x="271"/>
        <item x="0"/>
        <item x="206"/>
        <item x="246"/>
        <item x="231"/>
        <item x="25"/>
        <item x="131"/>
        <item x="81"/>
        <item x="145"/>
        <item x="162"/>
        <item x="213"/>
        <item x="123"/>
        <item x="193"/>
        <item x="182"/>
        <item x="58"/>
        <item x="147"/>
        <item x="270"/>
        <item x="247"/>
        <item x="51"/>
        <item x="197"/>
        <item x="168"/>
        <item x="45"/>
        <item x="42"/>
        <item x="218"/>
        <item x="191"/>
        <item x="264"/>
        <item x="274"/>
        <item x="5"/>
        <item x="240"/>
        <item x="120"/>
        <item x="89"/>
        <item x="174"/>
        <item x="33"/>
        <item x="76"/>
        <item x="29"/>
        <item x="26"/>
        <item x="250"/>
        <item x="201"/>
        <item x="198"/>
        <item x="188"/>
        <item x="171"/>
        <item x="211"/>
        <item x="180"/>
        <item x="210"/>
        <item x="16"/>
        <item x="127"/>
        <item x="239"/>
        <item x="245"/>
        <item x="38"/>
        <item x="212"/>
        <item x="142"/>
        <item x="106"/>
        <item x="260"/>
        <item x="238"/>
        <item x="221"/>
        <item x="242"/>
        <item x="256"/>
        <item x="140"/>
        <item x="266"/>
        <item x="259"/>
        <item x="220"/>
        <item x="146"/>
        <item x="163"/>
        <item x="129"/>
        <item x="94"/>
        <item x="78"/>
        <item t="default"/>
      </items>
    </pivotField>
    <pivotField showAll="0">
      <items count="4">
        <item x="1"/>
        <item x="2"/>
        <item x="0"/>
        <item t="default"/>
      </items>
    </pivotField>
    <pivotField numFmtId="1" showAll="0"/>
    <pivotField numFmtId="22" showAll="0"/>
    <pivotField numFmtId="14" showAll="0"/>
    <pivotField numFmtId="171" showAll="0"/>
    <pivotField axis="axisRow" showAll="0">
      <items count="108">
        <item x="17"/>
        <item x="81"/>
        <item x="86"/>
        <item x="104"/>
        <item x="73"/>
        <item x="98"/>
        <item x="95"/>
        <item x="79"/>
        <item x="46"/>
        <item x="8"/>
        <item x="63"/>
        <item x="53"/>
        <item x="43"/>
        <item x="19"/>
        <item x="1"/>
        <item x="33"/>
        <item x="5"/>
        <item x="21"/>
        <item x="84"/>
        <item x="40"/>
        <item x="14"/>
        <item x="75"/>
        <item x="42"/>
        <item x="77"/>
        <item x="83"/>
        <item x="59"/>
        <item x="71"/>
        <item x="11"/>
        <item x="37"/>
        <item x="101"/>
        <item x="68"/>
        <item x="92"/>
        <item x="56"/>
        <item x="18"/>
        <item x="80"/>
        <item x="55"/>
        <item x="23"/>
        <item x="72"/>
        <item x="64"/>
        <item x="9"/>
        <item x="0"/>
        <item x="96"/>
        <item x="78"/>
        <item x="28"/>
        <item x="15"/>
        <item x="39"/>
        <item x="62"/>
        <item x="60"/>
        <item x="67"/>
        <item x="29"/>
        <item x="22"/>
        <item x="88"/>
        <item x="6"/>
        <item x="12"/>
        <item x="26"/>
        <item x="94"/>
        <item x="10"/>
        <item x="91"/>
        <item x="49"/>
        <item x="2"/>
        <item x="44"/>
        <item x="32"/>
        <item x="90"/>
        <item x="24"/>
        <item x="54"/>
        <item x="57"/>
        <item x="20"/>
        <item x="69"/>
        <item x="34"/>
        <item x="16"/>
        <item x="106"/>
        <item x="74"/>
        <item x="27"/>
        <item x="30"/>
        <item x="48"/>
        <item x="82"/>
        <item x="13"/>
        <item x="51"/>
        <item x="100"/>
        <item x="3"/>
        <item x="36"/>
        <item x="47"/>
        <item x="89"/>
        <item x="38"/>
        <item x="52"/>
        <item x="7"/>
        <item x="25"/>
        <item x="4"/>
        <item x="31"/>
        <item x="66"/>
        <item x="105"/>
        <item x="35"/>
        <item x="45"/>
        <item x="61"/>
        <item x="65"/>
        <item x="41"/>
        <item x="58"/>
        <item x="103"/>
        <item x="76"/>
        <item x="50"/>
        <item x="70"/>
        <item x="93"/>
        <item x="102"/>
        <item x="99"/>
        <item x="85"/>
        <item x="87"/>
        <item x="97"/>
        <item t="default"/>
      </items>
    </pivotField>
    <pivotField showAll="0"/>
    <pivotField showAll="0"/>
    <pivotField axis="axisCol" showAll="0">
      <items count="4">
        <item x="2"/>
        <item x="1"/>
        <item x="0"/>
        <item t="default"/>
      </items>
    </pivotField>
    <pivotField showAll="0"/>
    <pivotField showAll="0"/>
    <pivotField showAll="0"/>
    <pivotField dataField="1" showAll="0"/>
    <pivotField showAll="0"/>
    <pivotField axis="axisPage" multipleItemSelectionAllowed="1" showAll="0">
      <items count="34">
        <item h="1" x="3"/>
        <item h="1" x="17"/>
        <item h="1" x="18"/>
        <item h="1" x="6"/>
        <item h="1" x="25"/>
        <item h="1" x="1"/>
        <item h="1" x="24"/>
        <item h="1" x="27"/>
        <item h="1" x="20"/>
        <item h="1" x="19"/>
        <item h="1" x="5"/>
        <item h="1" x="9"/>
        <item h="1" x="8"/>
        <item h="1" x="4"/>
        <item h="1" x="28"/>
        <item h="1" x="11"/>
        <item h="1" x="29"/>
        <item h="1" x="7"/>
        <item h="1" x="21"/>
        <item h="1" x="30"/>
        <item h="1" x="23"/>
        <item h="1" x="12"/>
        <item h="1" x="26"/>
        <item h="1" x="22"/>
        <item h="1" x="15"/>
        <item h="1" x="31"/>
        <item h="1" x="13"/>
        <item h="1" x="14"/>
        <item h="1" x="10"/>
        <item h="1" x="16"/>
        <item h="1" x="32"/>
        <item x="2"/>
        <item h="1" x="0"/>
        <item t="default"/>
      </items>
    </pivotField>
  </pivotFields>
  <rowFields count="1">
    <field x="6"/>
  </rowFields>
  <rowItems count="62">
    <i>
      <x/>
    </i>
    <i>
      <x v="4"/>
    </i>
    <i>
      <x v="9"/>
    </i>
    <i>
      <x v="11"/>
    </i>
    <i>
      <x v="12"/>
    </i>
    <i>
      <x v="14"/>
    </i>
    <i>
      <x v="15"/>
    </i>
    <i>
      <x v="17"/>
    </i>
    <i>
      <x v="19"/>
    </i>
    <i>
      <x v="20"/>
    </i>
    <i>
      <x v="22"/>
    </i>
    <i>
      <x v="23"/>
    </i>
    <i>
      <x v="26"/>
    </i>
    <i>
      <x v="27"/>
    </i>
    <i>
      <x v="28"/>
    </i>
    <i>
      <x v="33"/>
    </i>
    <i>
      <x v="35"/>
    </i>
    <i>
      <x v="36"/>
    </i>
    <i>
      <x v="38"/>
    </i>
    <i>
      <x v="39"/>
    </i>
    <i>
      <x v="40"/>
    </i>
    <i>
      <x v="43"/>
    </i>
    <i>
      <x v="45"/>
    </i>
    <i>
      <x v="46"/>
    </i>
    <i>
      <x v="47"/>
    </i>
    <i>
      <x v="48"/>
    </i>
    <i>
      <x v="49"/>
    </i>
    <i>
      <x v="50"/>
    </i>
    <i>
      <x v="52"/>
    </i>
    <i>
      <x v="53"/>
    </i>
    <i>
      <x v="54"/>
    </i>
    <i>
      <x v="56"/>
    </i>
    <i>
      <x v="59"/>
    </i>
    <i>
      <x v="60"/>
    </i>
    <i>
      <x v="63"/>
    </i>
    <i>
      <x v="65"/>
    </i>
    <i>
      <x v="66"/>
    </i>
    <i>
      <x v="67"/>
    </i>
    <i>
      <x v="68"/>
    </i>
    <i>
      <x v="72"/>
    </i>
    <i>
      <x v="73"/>
    </i>
    <i>
      <x v="76"/>
    </i>
    <i>
      <x v="77"/>
    </i>
    <i>
      <x v="79"/>
    </i>
    <i>
      <x v="80"/>
    </i>
    <i>
      <x v="81"/>
    </i>
    <i>
      <x v="83"/>
    </i>
    <i>
      <x v="85"/>
    </i>
    <i>
      <x v="86"/>
    </i>
    <i>
      <x v="88"/>
    </i>
    <i>
      <x v="90"/>
    </i>
    <i>
      <x v="92"/>
    </i>
    <i>
      <x v="93"/>
    </i>
    <i>
      <x v="94"/>
    </i>
    <i>
      <x v="95"/>
    </i>
    <i>
      <x v="96"/>
    </i>
    <i>
      <x v="99"/>
    </i>
    <i>
      <x v="100"/>
    </i>
    <i>
      <x v="102"/>
    </i>
    <i>
      <x v="105"/>
    </i>
    <i>
      <x v="106"/>
    </i>
    <i t="grand">
      <x/>
    </i>
  </rowItems>
  <colFields count="1">
    <field x="9"/>
  </colFields>
  <colItems count="4">
    <i>
      <x/>
    </i>
    <i>
      <x v="1"/>
    </i>
    <i>
      <x v="2"/>
    </i>
    <i t="grand">
      <x/>
    </i>
  </colItems>
  <pageFields count="1">
    <pageField fld="15" hier="-1"/>
  </pageFields>
  <dataFields count="1">
    <dataField name="Sum of Interactions" fld="13" baseField="0" baseItem="0"/>
  </dataFields>
  <chartFormats count="3">
    <chartFormat chart="4" format="16" series="1">
      <pivotArea type="data" outline="0" fieldPosition="0">
        <references count="2">
          <reference field="4294967294" count="1" selected="0">
            <x v="0"/>
          </reference>
          <reference field="9" count="1" selected="0">
            <x v="0"/>
          </reference>
        </references>
      </pivotArea>
    </chartFormat>
    <chartFormat chart="4" format="17" series="1">
      <pivotArea type="data" outline="0" fieldPosition="0">
        <references count="2">
          <reference field="4294967294" count="1" selected="0">
            <x v="0"/>
          </reference>
          <reference field="9" count="1" selected="0">
            <x v="1"/>
          </reference>
        </references>
      </pivotArea>
    </chartFormat>
    <chartFormat chart="4" format="1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ED659B-63DE-8F45-8127-A4FCD0356DE7}" name="PivotTable10"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77:T186" firstHeaderRow="1" firstDataRow="2" firstDataCol="1" rowPageCount="1" colPageCount="1"/>
  <pivotFields count="23">
    <pivotField showAll="0"/>
    <pivotField showAll="0"/>
    <pivotField showAll="0">
      <items count="4">
        <item x="1"/>
        <item x="2"/>
        <item x="0"/>
        <item t="default"/>
      </items>
    </pivotField>
    <pivotField numFmtId="22" showAll="0"/>
    <pivotField numFmtId="14" showAll="0"/>
    <pivotField numFmtId="171" showAll="0">
      <items count="175">
        <item x="17"/>
        <item x="166"/>
        <item x="137"/>
        <item x="143"/>
        <item x="139"/>
        <item x="117"/>
        <item x="55"/>
        <item x="43"/>
        <item x="96"/>
        <item x="63"/>
        <item x="98"/>
        <item x="36"/>
        <item x="5"/>
        <item x="22"/>
        <item x="122"/>
        <item x="45"/>
        <item x="31"/>
        <item x="113"/>
        <item x="48"/>
        <item x="115"/>
        <item x="148"/>
        <item x="108"/>
        <item x="11"/>
        <item x="54"/>
        <item x="124"/>
        <item x="134"/>
        <item x="81"/>
        <item x="18"/>
        <item x="118"/>
        <item x="79"/>
        <item x="24"/>
        <item x="110"/>
        <item x="99"/>
        <item x="135"/>
        <item x="140"/>
        <item x="165"/>
        <item x="83"/>
        <item x="44"/>
        <item x="95"/>
        <item x="92"/>
        <item x="163"/>
        <item x="32"/>
        <item x="23"/>
        <item x="128"/>
        <item x="6"/>
        <item x="12"/>
        <item x="27"/>
        <item x="138"/>
        <item x="19"/>
        <item x="78"/>
        <item x="39"/>
        <item x="51"/>
        <item x="172"/>
        <item x="94"/>
        <item x="87"/>
        <item x="82"/>
        <item x="142"/>
        <item x="153"/>
        <item x="146"/>
        <item x="171"/>
        <item x="112"/>
        <item x="28"/>
        <item x="33"/>
        <item x="70"/>
        <item x="120"/>
        <item x="13"/>
        <item x="86"/>
        <item x="60"/>
        <item x="40"/>
        <item x="69"/>
        <item x="131"/>
        <item x="88"/>
        <item x="152"/>
        <item x="7"/>
        <item x="58"/>
        <item x="109"/>
        <item x="168"/>
        <item x="167"/>
        <item x="80"/>
        <item x="52"/>
        <item x="93"/>
        <item x="129"/>
        <item x="46"/>
        <item x="160"/>
        <item x="114"/>
        <item x="157"/>
        <item x="107"/>
        <item x="159"/>
        <item x="162"/>
        <item x="154"/>
        <item x="150"/>
        <item x="119"/>
        <item x="125"/>
        <item x="111"/>
        <item x="67"/>
        <item x="8"/>
        <item x="76"/>
        <item x="49"/>
        <item x="20"/>
        <item x="1"/>
        <item x="53"/>
        <item x="56"/>
        <item x="14"/>
        <item x="61"/>
        <item x="121"/>
        <item x="90"/>
        <item x="130"/>
        <item x="41"/>
        <item x="158"/>
        <item x="105"/>
        <item x="144"/>
        <item x="64"/>
        <item x="97"/>
        <item x="89"/>
        <item x="101"/>
        <item x="9"/>
        <item x="0"/>
        <item x="147"/>
        <item x="116"/>
        <item x="30"/>
        <item x="15"/>
        <item x="156"/>
        <item x="161"/>
        <item x="151"/>
        <item x="104"/>
        <item x="50"/>
        <item x="72"/>
        <item x="47"/>
        <item x="127"/>
        <item x="68"/>
        <item x="10"/>
        <item x="133"/>
        <item x="71"/>
        <item x="2"/>
        <item x="65"/>
        <item x="35"/>
        <item x="132"/>
        <item x="25"/>
        <item x="77"/>
        <item x="21"/>
        <item x="106"/>
        <item x="37"/>
        <item x="16"/>
        <item x="91"/>
        <item x="102"/>
        <item x="29"/>
        <item x="74"/>
        <item x="155"/>
        <item x="3"/>
        <item x="85"/>
        <item x="57"/>
        <item x="42"/>
        <item x="75"/>
        <item x="62"/>
        <item x="26"/>
        <item x="4"/>
        <item x="34"/>
        <item x="103"/>
        <item x="170"/>
        <item x="38"/>
        <item x="66"/>
        <item x="173"/>
        <item x="100"/>
        <item x="59"/>
        <item x="84"/>
        <item x="164"/>
        <item x="73"/>
        <item x="145"/>
        <item x="136"/>
        <item x="169"/>
        <item x="149"/>
        <item x="123"/>
        <item x="126"/>
        <item x="141"/>
        <item t="default"/>
      </items>
    </pivotField>
    <pivotField axis="axisRow" showAll="0">
      <items count="108">
        <item x="17"/>
        <item x="81"/>
        <item x="86"/>
        <item x="104"/>
        <item x="73"/>
        <item x="98"/>
        <item x="95"/>
        <item x="79"/>
        <item x="46"/>
        <item x="8"/>
        <item x="63"/>
        <item x="53"/>
        <item x="43"/>
        <item x="19"/>
        <item x="1"/>
        <item x="33"/>
        <item x="5"/>
        <item x="21"/>
        <item x="84"/>
        <item x="40"/>
        <item x="14"/>
        <item x="75"/>
        <item x="42"/>
        <item x="77"/>
        <item x="83"/>
        <item x="59"/>
        <item x="71"/>
        <item x="11"/>
        <item x="37"/>
        <item x="101"/>
        <item x="68"/>
        <item x="92"/>
        <item x="56"/>
        <item x="18"/>
        <item x="80"/>
        <item x="55"/>
        <item x="23"/>
        <item x="72"/>
        <item x="64"/>
        <item x="9"/>
        <item x="0"/>
        <item x="96"/>
        <item x="78"/>
        <item x="28"/>
        <item x="15"/>
        <item x="39"/>
        <item x="62"/>
        <item x="60"/>
        <item x="67"/>
        <item x="29"/>
        <item x="22"/>
        <item x="88"/>
        <item x="6"/>
        <item x="12"/>
        <item x="26"/>
        <item x="94"/>
        <item x="10"/>
        <item x="91"/>
        <item x="49"/>
        <item x="2"/>
        <item x="44"/>
        <item x="32"/>
        <item x="90"/>
        <item x="24"/>
        <item x="54"/>
        <item x="57"/>
        <item x="20"/>
        <item x="69"/>
        <item x="34"/>
        <item x="16"/>
        <item x="106"/>
        <item x="74"/>
        <item x="27"/>
        <item x="30"/>
        <item x="48"/>
        <item x="82"/>
        <item x="13"/>
        <item x="51"/>
        <item x="100"/>
        <item x="3"/>
        <item x="36"/>
        <item x="47"/>
        <item x="89"/>
        <item x="38"/>
        <item x="52"/>
        <item x="7"/>
        <item x="25"/>
        <item x="4"/>
        <item x="31"/>
        <item x="66"/>
        <item x="105"/>
        <item x="35"/>
        <item x="45"/>
        <item x="61"/>
        <item x="65"/>
        <item x="41"/>
        <item x="58"/>
        <item x="103"/>
        <item x="76"/>
        <item x="50"/>
        <item x="70"/>
        <item x="93"/>
        <item x="102"/>
        <item x="99"/>
        <item x="85"/>
        <item x="87"/>
        <item x="97"/>
        <item t="default"/>
      </items>
    </pivotField>
    <pivotField showAll="0"/>
    <pivotField showAll="0">
      <items count="5">
        <item x="2"/>
        <item x="1"/>
        <item x="3"/>
        <item x="0"/>
        <item t="default"/>
      </items>
    </pivotField>
    <pivotField axis="axisCol" showAll="0">
      <items count="4">
        <item x="2"/>
        <item x="1"/>
        <item x="0"/>
        <item t="default"/>
      </items>
    </pivotField>
    <pivotField showAll="0"/>
    <pivotField showAll="0"/>
    <pivotField showAll="0"/>
    <pivotField dataField="1" showAll="0">
      <items count="46">
        <item x="1"/>
        <item x="10"/>
        <item x="3"/>
        <item x="25"/>
        <item x="12"/>
        <item x="6"/>
        <item x="16"/>
        <item x="18"/>
        <item x="4"/>
        <item x="14"/>
        <item x="38"/>
        <item x="13"/>
        <item x="36"/>
        <item x="0"/>
        <item x="37"/>
        <item x="21"/>
        <item x="31"/>
        <item x="19"/>
        <item x="8"/>
        <item x="15"/>
        <item x="32"/>
        <item x="20"/>
        <item x="29"/>
        <item x="35"/>
        <item x="2"/>
        <item x="28"/>
        <item x="22"/>
        <item x="40"/>
        <item x="34"/>
        <item x="17"/>
        <item x="9"/>
        <item x="41"/>
        <item x="23"/>
        <item x="44"/>
        <item x="24"/>
        <item x="43"/>
        <item x="30"/>
        <item x="5"/>
        <item x="39"/>
        <item x="42"/>
        <item x="33"/>
        <item x="11"/>
        <item x="7"/>
        <item x="27"/>
        <item x="26"/>
        <item t="default"/>
      </items>
    </pivotField>
    <pivotField showAll="0"/>
    <pivotField axis="axisPage" multipleItemSelectionAllowed="1"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items count="23">
        <item x="10"/>
        <item x="18"/>
        <item x="19"/>
        <item x="21"/>
        <item x="17"/>
        <item x="15"/>
        <item x="1"/>
        <item x="5"/>
        <item x="7"/>
        <item x="11"/>
        <item x="0"/>
        <item x="8"/>
        <item x="6"/>
        <item x="2"/>
        <item x="12"/>
        <item x="9"/>
        <item x="3"/>
        <item x="4"/>
        <item x="13"/>
        <item x="14"/>
        <item x="16"/>
        <item x="20"/>
        <item t="default"/>
      </items>
    </pivotField>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6"/>
  </rowFields>
  <rowItems count="10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t="grand">
      <x/>
    </i>
  </rowItems>
  <colFields count="1">
    <field x="9"/>
  </colFields>
  <colItems count="4">
    <i>
      <x/>
    </i>
    <i>
      <x v="1"/>
    </i>
    <i>
      <x v="2"/>
    </i>
    <i t="grand">
      <x/>
    </i>
  </colItems>
  <pageFields count="1">
    <pageField fld="15" hier="-1"/>
  </pageFields>
  <dataFields count="1">
    <dataField name="Sum of Interaction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E17BA4-5A0E-FE4D-ACA8-F74F5FD98DBC}" name="PivotTable9"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65:S70" firstHeaderRow="1" firstDataRow="2" firstDataCol="1"/>
  <pivotFields count="23">
    <pivotField showAll="0"/>
    <pivotField showAll="0"/>
    <pivotField axis="axisCol" showAll="0">
      <items count="4">
        <item x="1"/>
        <item x="2"/>
        <item x="0"/>
        <item t="default"/>
      </items>
    </pivotField>
    <pivotField numFmtId="22" showAll="0"/>
    <pivotField numFmtId="14" showAll="0"/>
    <pivotField numFmtId="171" showAll="0">
      <items count="175">
        <item x="17"/>
        <item x="166"/>
        <item x="137"/>
        <item x="143"/>
        <item x="139"/>
        <item x="117"/>
        <item x="55"/>
        <item x="43"/>
        <item x="96"/>
        <item x="63"/>
        <item x="98"/>
        <item x="36"/>
        <item x="5"/>
        <item x="22"/>
        <item x="122"/>
        <item x="45"/>
        <item x="31"/>
        <item x="113"/>
        <item x="48"/>
        <item x="115"/>
        <item x="148"/>
        <item x="108"/>
        <item x="11"/>
        <item x="54"/>
        <item x="124"/>
        <item x="134"/>
        <item x="81"/>
        <item x="18"/>
        <item x="118"/>
        <item x="79"/>
        <item x="24"/>
        <item x="110"/>
        <item x="99"/>
        <item x="135"/>
        <item x="140"/>
        <item x="165"/>
        <item x="83"/>
        <item x="44"/>
        <item x="95"/>
        <item x="92"/>
        <item x="163"/>
        <item x="32"/>
        <item x="23"/>
        <item x="128"/>
        <item x="6"/>
        <item x="12"/>
        <item x="27"/>
        <item x="138"/>
        <item x="19"/>
        <item x="78"/>
        <item x="39"/>
        <item x="51"/>
        <item x="172"/>
        <item x="94"/>
        <item x="87"/>
        <item x="82"/>
        <item x="142"/>
        <item x="153"/>
        <item x="146"/>
        <item x="171"/>
        <item x="112"/>
        <item x="28"/>
        <item x="33"/>
        <item x="70"/>
        <item x="120"/>
        <item x="13"/>
        <item x="86"/>
        <item x="60"/>
        <item x="40"/>
        <item x="69"/>
        <item x="131"/>
        <item x="88"/>
        <item x="152"/>
        <item x="7"/>
        <item x="58"/>
        <item x="109"/>
        <item x="168"/>
        <item x="167"/>
        <item x="80"/>
        <item x="52"/>
        <item x="93"/>
        <item x="129"/>
        <item x="46"/>
        <item x="160"/>
        <item x="114"/>
        <item x="157"/>
        <item x="107"/>
        <item x="159"/>
        <item x="162"/>
        <item x="154"/>
        <item x="150"/>
        <item x="119"/>
        <item x="125"/>
        <item x="111"/>
        <item x="67"/>
        <item x="8"/>
        <item x="76"/>
        <item x="49"/>
        <item x="20"/>
        <item x="1"/>
        <item x="53"/>
        <item x="56"/>
        <item x="14"/>
        <item x="61"/>
        <item x="121"/>
        <item x="90"/>
        <item x="130"/>
        <item x="41"/>
        <item x="158"/>
        <item x="105"/>
        <item x="144"/>
        <item x="64"/>
        <item x="97"/>
        <item x="89"/>
        <item x="101"/>
        <item x="9"/>
        <item x="0"/>
        <item x="147"/>
        <item x="116"/>
        <item x="30"/>
        <item x="15"/>
        <item x="156"/>
        <item x="161"/>
        <item x="151"/>
        <item x="104"/>
        <item x="50"/>
        <item x="72"/>
        <item x="47"/>
        <item x="127"/>
        <item x="68"/>
        <item x="10"/>
        <item x="133"/>
        <item x="71"/>
        <item x="2"/>
        <item x="65"/>
        <item x="35"/>
        <item x="132"/>
        <item x="25"/>
        <item x="77"/>
        <item x="21"/>
        <item x="106"/>
        <item x="37"/>
        <item x="16"/>
        <item x="91"/>
        <item x="102"/>
        <item x="29"/>
        <item x="74"/>
        <item x="155"/>
        <item x="3"/>
        <item x="85"/>
        <item x="57"/>
        <item x="42"/>
        <item x="75"/>
        <item x="62"/>
        <item x="26"/>
        <item x="4"/>
        <item x="34"/>
        <item x="103"/>
        <item x="170"/>
        <item x="38"/>
        <item x="66"/>
        <item x="173"/>
        <item x="100"/>
        <item x="59"/>
        <item x="84"/>
        <item x="164"/>
        <item x="73"/>
        <item x="145"/>
        <item x="136"/>
        <item x="169"/>
        <item x="149"/>
        <item x="123"/>
        <item x="126"/>
        <item x="141"/>
        <item t="default"/>
      </items>
    </pivotField>
    <pivotField showAll="0"/>
    <pivotField showAll="0"/>
    <pivotField showAll="0"/>
    <pivotField axis="axisRow" showAll="0">
      <items count="4">
        <item x="2"/>
        <item x="1"/>
        <item x="0"/>
        <item t="default"/>
      </items>
    </pivotField>
    <pivotField showAll="0"/>
    <pivotField showAll="0"/>
    <pivotField showAll="0"/>
    <pivotField dataField="1"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items count="23">
        <item x="10"/>
        <item x="18"/>
        <item x="19"/>
        <item x="21"/>
        <item x="17"/>
        <item x="15"/>
        <item x="1"/>
        <item x="5"/>
        <item x="7"/>
        <item x="11"/>
        <item x="0"/>
        <item x="8"/>
        <item x="6"/>
        <item x="2"/>
        <item x="12"/>
        <item x="9"/>
        <item x="3"/>
        <item x="4"/>
        <item x="13"/>
        <item x="14"/>
        <item x="16"/>
        <item x="20"/>
        <item t="default"/>
      </items>
    </pivotField>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9"/>
  </rowFields>
  <rowItems count="4">
    <i>
      <x/>
    </i>
    <i>
      <x v="1"/>
    </i>
    <i>
      <x v="2"/>
    </i>
    <i t="grand">
      <x/>
    </i>
  </rowItems>
  <colFields count="1">
    <field x="2"/>
  </colFields>
  <colItems count="4">
    <i>
      <x/>
    </i>
    <i>
      <x v="1"/>
    </i>
    <i>
      <x v="2"/>
    </i>
    <i t="grand">
      <x/>
    </i>
  </colItems>
  <dataFields count="1">
    <dataField name="Sum of Interactions" fld="13" baseField="0" baseItem="0"/>
  </dataFields>
  <chartFormats count="9">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2" count="1" selected="0">
            <x v="1"/>
          </reference>
        </references>
      </pivotArea>
    </chartFormat>
    <chartFormat chart="0" format="5" series="1">
      <pivotArea type="data" outline="0" fieldPosition="0">
        <references count="2">
          <reference field="4294967294" count="1" selected="0">
            <x v="0"/>
          </reference>
          <reference field="2" count="1" selected="0">
            <x v="2"/>
          </reference>
        </references>
      </pivotArea>
    </chartFormat>
    <chartFormat chart="3" format="9" series="1">
      <pivotArea type="data" outline="0" fieldPosition="0">
        <references count="2">
          <reference field="4294967294" count="1" selected="0">
            <x v="0"/>
          </reference>
          <reference field="2" count="1" selected="0">
            <x v="0"/>
          </reference>
        </references>
      </pivotArea>
    </chartFormat>
    <chartFormat chart="3" format="10" series="1">
      <pivotArea type="data" outline="0" fieldPosition="0">
        <references count="2">
          <reference field="4294967294" count="1" selected="0">
            <x v="0"/>
          </reference>
          <reference field="2" count="1" selected="0">
            <x v="1"/>
          </reference>
        </references>
      </pivotArea>
    </chartFormat>
    <chartFormat chart="3" format="11"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63D72D-B878-C049-B3F5-629C011E9D72}" name="PivotTable8"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H19:AL54" firstHeaderRow="1" firstDataRow="2" firstDataCol="1"/>
  <pivotFields count="23">
    <pivotField showAll="0"/>
    <pivotField showAll="0"/>
    <pivotField showAll="0"/>
    <pivotField numFmtId="22" showAll="0"/>
    <pivotField numFmtId="14" showAll="0"/>
    <pivotField numFmtId="170" showAll="0">
      <items count="175">
        <item x="17"/>
        <item x="166"/>
        <item x="137"/>
        <item x="143"/>
        <item x="139"/>
        <item x="117"/>
        <item x="55"/>
        <item x="43"/>
        <item x="96"/>
        <item x="63"/>
        <item x="98"/>
        <item x="36"/>
        <item x="5"/>
        <item x="22"/>
        <item x="122"/>
        <item x="45"/>
        <item x="31"/>
        <item x="113"/>
        <item x="48"/>
        <item x="115"/>
        <item x="148"/>
        <item x="108"/>
        <item x="11"/>
        <item x="54"/>
        <item x="124"/>
        <item x="134"/>
        <item x="81"/>
        <item x="18"/>
        <item x="118"/>
        <item x="79"/>
        <item x="24"/>
        <item x="110"/>
        <item x="99"/>
        <item x="135"/>
        <item x="140"/>
        <item x="165"/>
        <item x="83"/>
        <item x="44"/>
        <item x="95"/>
        <item x="92"/>
        <item x="163"/>
        <item x="32"/>
        <item x="23"/>
        <item x="128"/>
        <item x="6"/>
        <item x="12"/>
        <item x="27"/>
        <item x="138"/>
        <item x="19"/>
        <item x="78"/>
        <item x="39"/>
        <item x="51"/>
        <item x="172"/>
        <item x="94"/>
        <item x="87"/>
        <item x="82"/>
        <item x="142"/>
        <item x="153"/>
        <item x="146"/>
        <item x="171"/>
        <item x="112"/>
        <item x="28"/>
        <item x="33"/>
        <item x="70"/>
        <item x="120"/>
        <item x="13"/>
        <item x="86"/>
        <item x="60"/>
        <item x="40"/>
        <item x="69"/>
        <item x="131"/>
        <item x="88"/>
        <item x="152"/>
        <item x="7"/>
        <item x="58"/>
        <item x="109"/>
        <item x="168"/>
        <item x="167"/>
        <item x="80"/>
        <item x="52"/>
        <item x="93"/>
        <item x="129"/>
        <item x="46"/>
        <item x="160"/>
        <item x="114"/>
        <item x="157"/>
        <item x="107"/>
        <item x="159"/>
        <item x="162"/>
        <item x="154"/>
        <item x="150"/>
        <item x="119"/>
        <item x="125"/>
        <item x="111"/>
        <item x="67"/>
        <item x="8"/>
        <item x="76"/>
        <item x="49"/>
        <item x="20"/>
        <item x="1"/>
        <item x="53"/>
        <item x="56"/>
        <item x="14"/>
        <item x="61"/>
        <item x="121"/>
        <item x="90"/>
        <item x="130"/>
        <item x="41"/>
        <item x="158"/>
        <item x="105"/>
        <item x="144"/>
        <item x="64"/>
        <item x="97"/>
        <item x="89"/>
        <item x="101"/>
        <item x="9"/>
        <item x="0"/>
        <item x="147"/>
        <item x="116"/>
        <item x="30"/>
        <item x="15"/>
        <item x="156"/>
        <item x="161"/>
        <item x="151"/>
        <item x="104"/>
        <item x="50"/>
        <item x="72"/>
        <item x="47"/>
        <item x="127"/>
        <item x="68"/>
        <item x="10"/>
        <item x="133"/>
        <item x="71"/>
        <item x="2"/>
        <item x="65"/>
        <item x="35"/>
        <item x="132"/>
        <item x="25"/>
        <item x="77"/>
        <item x="21"/>
        <item x="106"/>
        <item x="37"/>
        <item x="16"/>
        <item x="91"/>
        <item x="102"/>
        <item x="29"/>
        <item x="74"/>
        <item x="155"/>
        <item x="3"/>
        <item x="85"/>
        <item x="57"/>
        <item x="42"/>
        <item x="75"/>
        <item x="62"/>
        <item x="26"/>
        <item x="4"/>
        <item x="34"/>
        <item x="103"/>
        <item x="170"/>
        <item x="38"/>
        <item x="66"/>
        <item x="173"/>
        <item x="100"/>
        <item x="59"/>
        <item x="84"/>
        <item x="164"/>
        <item x="73"/>
        <item x="145"/>
        <item x="136"/>
        <item x="169"/>
        <item x="149"/>
        <item x="123"/>
        <item x="126"/>
        <item x="141"/>
        <item t="default"/>
      </items>
    </pivotField>
    <pivotField showAll="0"/>
    <pivotField showAll="0"/>
    <pivotField showAll="0">
      <items count="5">
        <item x="2"/>
        <item x="1"/>
        <item x="3"/>
        <item x="0"/>
        <item t="default"/>
      </items>
    </pivotField>
    <pivotField axis="axisCol" showAll="0">
      <items count="4">
        <item x="2"/>
        <item x="1"/>
        <item x="0"/>
        <item t="default"/>
      </items>
    </pivotField>
    <pivotField showAll="0"/>
    <pivotField showAll="0"/>
    <pivotField showAll="0"/>
    <pivotField dataField="1" showAll="0"/>
    <pivotField showAll="0"/>
    <pivotField axis="axisRow" showAll="0" sortType="descending">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3">
        <item x="10"/>
        <item x="18"/>
        <item x="19"/>
        <item x="21"/>
        <item x="17"/>
        <item x="15"/>
        <item x="1"/>
        <item x="5"/>
        <item x="7"/>
        <item x="11"/>
        <item x="0"/>
        <item x="8"/>
        <item x="6"/>
        <item x="2"/>
        <item x="12"/>
        <item x="9"/>
        <item x="3"/>
        <item x="4"/>
        <item x="13"/>
        <item x="14"/>
        <item x="16"/>
        <item x="20"/>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5"/>
  </rowFields>
  <rowItems count="34">
    <i>
      <x v="32"/>
    </i>
    <i>
      <x v="31"/>
    </i>
    <i>
      <x v="5"/>
    </i>
    <i>
      <x/>
    </i>
    <i>
      <x v="13"/>
    </i>
    <i>
      <x v="3"/>
    </i>
    <i>
      <x v="17"/>
    </i>
    <i>
      <x v="10"/>
    </i>
    <i>
      <x v="11"/>
    </i>
    <i>
      <x v="15"/>
    </i>
    <i>
      <x v="26"/>
    </i>
    <i>
      <x v="27"/>
    </i>
    <i>
      <x v="12"/>
    </i>
    <i>
      <x v="21"/>
    </i>
    <i>
      <x v="29"/>
    </i>
    <i>
      <x v="2"/>
    </i>
    <i>
      <x v="28"/>
    </i>
    <i>
      <x v="24"/>
    </i>
    <i>
      <x v="1"/>
    </i>
    <i>
      <x v="9"/>
    </i>
    <i>
      <x v="8"/>
    </i>
    <i>
      <x v="30"/>
    </i>
    <i>
      <x v="18"/>
    </i>
    <i>
      <x v="16"/>
    </i>
    <i>
      <x v="23"/>
    </i>
    <i>
      <x v="7"/>
    </i>
    <i>
      <x v="14"/>
    </i>
    <i>
      <x v="25"/>
    </i>
    <i>
      <x v="22"/>
    </i>
    <i>
      <x v="20"/>
    </i>
    <i>
      <x v="19"/>
    </i>
    <i>
      <x v="4"/>
    </i>
    <i>
      <x v="6"/>
    </i>
    <i t="grand">
      <x/>
    </i>
  </rowItems>
  <colFields count="1">
    <field x="9"/>
  </colFields>
  <colItems count="4">
    <i>
      <x/>
    </i>
    <i>
      <x v="1"/>
    </i>
    <i>
      <x v="2"/>
    </i>
    <i t="grand">
      <x/>
    </i>
  </colItems>
  <dataFields count="1">
    <dataField name="Sum of Interactions" fld="13" baseField="0" baseItem="0"/>
  </dataFields>
  <chartFormats count="37">
    <chartFormat chart="0" format="0" series="1">
      <pivotArea type="data" outline="0" fieldPosition="0">
        <references count="2">
          <reference field="4294967294" count="1" selected="0">
            <x v="0"/>
          </reference>
          <reference field="15" count="1" selected="0">
            <x v="32"/>
          </reference>
        </references>
      </pivotArea>
    </chartFormat>
    <chartFormat chart="0" format="1" series="1">
      <pivotArea type="data" outline="0" fieldPosition="0">
        <references count="2">
          <reference field="4294967294" count="1" selected="0">
            <x v="0"/>
          </reference>
          <reference field="15" count="1" selected="0">
            <x v="31"/>
          </reference>
        </references>
      </pivotArea>
    </chartFormat>
    <chartFormat chart="0" format="2" series="1">
      <pivotArea type="data" outline="0" fieldPosition="0">
        <references count="2">
          <reference field="4294967294" count="1" selected="0">
            <x v="0"/>
          </reference>
          <reference field="15" count="1" selected="0">
            <x v="5"/>
          </reference>
        </references>
      </pivotArea>
    </chartFormat>
    <chartFormat chart="0" format="3" series="1">
      <pivotArea type="data" outline="0" fieldPosition="0">
        <references count="2">
          <reference field="4294967294" count="1" selected="0">
            <x v="0"/>
          </reference>
          <reference field="15" count="1" selected="0">
            <x v="0"/>
          </reference>
        </references>
      </pivotArea>
    </chartFormat>
    <chartFormat chart="0" format="4" series="1">
      <pivotArea type="data" outline="0" fieldPosition="0">
        <references count="2">
          <reference field="4294967294" count="1" selected="0">
            <x v="0"/>
          </reference>
          <reference field="15" count="1" selected="0">
            <x v="13"/>
          </reference>
        </references>
      </pivotArea>
    </chartFormat>
    <chartFormat chart="0" format="5" series="1">
      <pivotArea type="data" outline="0" fieldPosition="0">
        <references count="2">
          <reference field="4294967294" count="1" selected="0">
            <x v="0"/>
          </reference>
          <reference field="15" count="1" selected="0">
            <x v="3"/>
          </reference>
        </references>
      </pivotArea>
    </chartFormat>
    <chartFormat chart="0" format="6" series="1">
      <pivotArea type="data" outline="0" fieldPosition="0">
        <references count="2">
          <reference field="4294967294" count="1" selected="0">
            <x v="0"/>
          </reference>
          <reference field="15" count="1" selected="0">
            <x v="17"/>
          </reference>
        </references>
      </pivotArea>
    </chartFormat>
    <chartFormat chart="0" format="7" series="1">
      <pivotArea type="data" outline="0" fieldPosition="0">
        <references count="2">
          <reference field="4294967294" count="1" selected="0">
            <x v="0"/>
          </reference>
          <reference field="15" count="1" selected="0">
            <x v="10"/>
          </reference>
        </references>
      </pivotArea>
    </chartFormat>
    <chartFormat chart="0" format="8" series="1">
      <pivotArea type="data" outline="0" fieldPosition="0">
        <references count="2">
          <reference field="4294967294" count="1" selected="0">
            <x v="0"/>
          </reference>
          <reference field="15" count="1" selected="0">
            <x v="11"/>
          </reference>
        </references>
      </pivotArea>
    </chartFormat>
    <chartFormat chart="0" format="9" series="1">
      <pivotArea type="data" outline="0" fieldPosition="0">
        <references count="2">
          <reference field="4294967294" count="1" selected="0">
            <x v="0"/>
          </reference>
          <reference field="15" count="1" selected="0">
            <x v="15"/>
          </reference>
        </references>
      </pivotArea>
    </chartFormat>
    <chartFormat chart="0" format="10" series="1">
      <pivotArea type="data" outline="0" fieldPosition="0">
        <references count="2">
          <reference field="4294967294" count="1" selected="0">
            <x v="0"/>
          </reference>
          <reference field="15" count="1" selected="0">
            <x v="26"/>
          </reference>
        </references>
      </pivotArea>
    </chartFormat>
    <chartFormat chart="0" format="11" series="1">
      <pivotArea type="data" outline="0" fieldPosition="0">
        <references count="2">
          <reference field="4294967294" count="1" selected="0">
            <x v="0"/>
          </reference>
          <reference field="15" count="1" selected="0">
            <x v="27"/>
          </reference>
        </references>
      </pivotArea>
    </chartFormat>
    <chartFormat chart="0" format="12" series="1">
      <pivotArea type="data" outline="0" fieldPosition="0">
        <references count="2">
          <reference field="4294967294" count="1" selected="0">
            <x v="0"/>
          </reference>
          <reference field="15" count="1" selected="0">
            <x v="12"/>
          </reference>
        </references>
      </pivotArea>
    </chartFormat>
    <chartFormat chart="0" format="13" series="1">
      <pivotArea type="data" outline="0" fieldPosition="0">
        <references count="2">
          <reference field="4294967294" count="1" selected="0">
            <x v="0"/>
          </reference>
          <reference field="15" count="1" selected="0">
            <x v="21"/>
          </reference>
        </references>
      </pivotArea>
    </chartFormat>
    <chartFormat chart="0" format="14" series="1">
      <pivotArea type="data" outline="0" fieldPosition="0">
        <references count="2">
          <reference field="4294967294" count="1" selected="0">
            <x v="0"/>
          </reference>
          <reference field="15" count="1" selected="0">
            <x v="29"/>
          </reference>
        </references>
      </pivotArea>
    </chartFormat>
    <chartFormat chart="0" format="15" series="1">
      <pivotArea type="data" outline="0" fieldPosition="0">
        <references count="2">
          <reference field="4294967294" count="1" selected="0">
            <x v="0"/>
          </reference>
          <reference field="15" count="1" selected="0">
            <x v="2"/>
          </reference>
        </references>
      </pivotArea>
    </chartFormat>
    <chartFormat chart="0" format="16" series="1">
      <pivotArea type="data" outline="0" fieldPosition="0">
        <references count="2">
          <reference field="4294967294" count="1" selected="0">
            <x v="0"/>
          </reference>
          <reference field="15" count="1" selected="0">
            <x v="28"/>
          </reference>
        </references>
      </pivotArea>
    </chartFormat>
    <chartFormat chart="0" format="17" series="1">
      <pivotArea type="data" outline="0" fieldPosition="0">
        <references count="2">
          <reference field="4294967294" count="1" selected="0">
            <x v="0"/>
          </reference>
          <reference field="15" count="1" selected="0">
            <x v="24"/>
          </reference>
        </references>
      </pivotArea>
    </chartFormat>
    <chartFormat chart="0" format="18" series="1">
      <pivotArea type="data" outline="0" fieldPosition="0">
        <references count="2">
          <reference field="4294967294" count="1" selected="0">
            <x v="0"/>
          </reference>
          <reference field="15" count="1" selected="0">
            <x v="1"/>
          </reference>
        </references>
      </pivotArea>
    </chartFormat>
    <chartFormat chart="0" format="19" series="1">
      <pivotArea type="data" outline="0" fieldPosition="0">
        <references count="2">
          <reference field="4294967294" count="1" selected="0">
            <x v="0"/>
          </reference>
          <reference field="15" count="1" selected="0">
            <x v="9"/>
          </reference>
        </references>
      </pivotArea>
    </chartFormat>
    <chartFormat chart="0" format="20" series="1">
      <pivotArea type="data" outline="0" fieldPosition="0">
        <references count="2">
          <reference field="4294967294" count="1" selected="0">
            <x v="0"/>
          </reference>
          <reference field="15" count="1" selected="0">
            <x v="8"/>
          </reference>
        </references>
      </pivotArea>
    </chartFormat>
    <chartFormat chart="0" format="21" series="1">
      <pivotArea type="data" outline="0" fieldPosition="0">
        <references count="2">
          <reference field="4294967294" count="1" selected="0">
            <x v="0"/>
          </reference>
          <reference field="15" count="1" selected="0">
            <x v="30"/>
          </reference>
        </references>
      </pivotArea>
    </chartFormat>
    <chartFormat chart="0" format="22" series="1">
      <pivotArea type="data" outline="0" fieldPosition="0">
        <references count="2">
          <reference field="4294967294" count="1" selected="0">
            <x v="0"/>
          </reference>
          <reference field="15" count="1" selected="0">
            <x v="18"/>
          </reference>
        </references>
      </pivotArea>
    </chartFormat>
    <chartFormat chart="0" format="23" series="1">
      <pivotArea type="data" outline="0" fieldPosition="0">
        <references count="2">
          <reference field="4294967294" count="1" selected="0">
            <x v="0"/>
          </reference>
          <reference field="15" count="1" selected="0">
            <x v="16"/>
          </reference>
        </references>
      </pivotArea>
    </chartFormat>
    <chartFormat chart="0" format="24" series="1">
      <pivotArea type="data" outline="0" fieldPosition="0">
        <references count="2">
          <reference field="4294967294" count="1" selected="0">
            <x v="0"/>
          </reference>
          <reference field="15" count="1" selected="0">
            <x v="23"/>
          </reference>
        </references>
      </pivotArea>
    </chartFormat>
    <chartFormat chart="0" format="25" series="1">
      <pivotArea type="data" outline="0" fieldPosition="0">
        <references count="2">
          <reference field="4294967294" count="1" selected="0">
            <x v="0"/>
          </reference>
          <reference field="15" count="1" selected="0">
            <x v="7"/>
          </reference>
        </references>
      </pivotArea>
    </chartFormat>
    <chartFormat chart="0" format="26" series="1">
      <pivotArea type="data" outline="0" fieldPosition="0">
        <references count="2">
          <reference field="4294967294" count="1" selected="0">
            <x v="0"/>
          </reference>
          <reference field="15" count="1" selected="0">
            <x v="14"/>
          </reference>
        </references>
      </pivotArea>
    </chartFormat>
    <chartFormat chart="0" format="27" series="1">
      <pivotArea type="data" outline="0" fieldPosition="0">
        <references count="2">
          <reference field="4294967294" count="1" selected="0">
            <x v="0"/>
          </reference>
          <reference field="15" count="1" selected="0">
            <x v="25"/>
          </reference>
        </references>
      </pivotArea>
    </chartFormat>
    <chartFormat chart="0" format="28" series="1">
      <pivotArea type="data" outline="0" fieldPosition="0">
        <references count="2">
          <reference field="4294967294" count="1" selected="0">
            <x v="0"/>
          </reference>
          <reference field="15" count="1" selected="0">
            <x v="22"/>
          </reference>
        </references>
      </pivotArea>
    </chartFormat>
    <chartFormat chart="0" format="29" series="1">
      <pivotArea type="data" outline="0" fieldPosition="0">
        <references count="2">
          <reference field="4294967294" count="1" selected="0">
            <x v="0"/>
          </reference>
          <reference field="15" count="1" selected="0">
            <x v="20"/>
          </reference>
        </references>
      </pivotArea>
    </chartFormat>
    <chartFormat chart="0" format="30" series="1">
      <pivotArea type="data" outline="0" fieldPosition="0">
        <references count="2">
          <reference field="4294967294" count="1" selected="0">
            <x v="0"/>
          </reference>
          <reference field="15" count="1" selected="0">
            <x v="19"/>
          </reference>
        </references>
      </pivotArea>
    </chartFormat>
    <chartFormat chart="0" format="31" series="1">
      <pivotArea type="data" outline="0" fieldPosition="0">
        <references count="2">
          <reference field="4294967294" count="1" selected="0">
            <x v="0"/>
          </reference>
          <reference field="15" count="1" selected="0">
            <x v="4"/>
          </reference>
        </references>
      </pivotArea>
    </chartFormat>
    <chartFormat chart="0" format="32" series="1">
      <pivotArea type="data" outline="0" fieldPosition="0">
        <references count="2">
          <reference field="4294967294" count="1" selected="0">
            <x v="0"/>
          </reference>
          <reference field="15" count="1" selected="0">
            <x v="6"/>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9" count="1" selected="0">
            <x v="1"/>
          </reference>
        </references>
      </pivotArea>
    </chartFormat>
    <chartFormat chart="1" format="6" series="1">
      <pivotArea type="data" outline="0" fieldPosition="0">
        <references count="2">
          <reference field="4294967294" count="1" selected="0">
            <x v="0"/>
          </reference>
          <reference field="9" count="1" selected="0">
            <x v="2"/>
          </reference>
        </references>
      </pivotArea>
    </chartFormat>
    <chartFormat chart="1" format="7"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A327BE-7FB1-4F4B-AE24-E9C40FA9F41A}" name="PivotTable7" cacheId="11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location ref="O22:R46" firstHeaderRow="1" firstDataRow="2" firstDataCol="1"/>
  <pivotFields count="23">
    <pivotField showAll="0"/>
    <pivotField showAll="0"/>
    <pivotField axis="axisCol" showAll="0">
      <items count="4">
        <item x="1"/>
        <item x="2"/>
        <item x="0"/>
        <item t="default"/>
      </items>
    </pivotField>
    <pivotField numFmtId="22" showAll="0"/>
    <pivotField numFmtId="14" showAll="0">
      <items count="534">
        <item x="39"/>
        <item x="54"/>
        <item x="81"/>
        <item x="41"/>
        <item x="82"/>
        <item x="77"/>
        <item x="55"/>
        <item x="66"/>
        <item x="56"/>
        <item x="83"/>
        <item x="43"/>
        <item x="44"/>
        <item x="70"/>
        <item x="84"/>
        <item x="57"/>
        <item x="72"/>
        <item x="85"/>
        <item x="58"/>
        <item x="45"/>
        <item x="289"/>
        <item x="365"/>
        <item x="46"/>
        <item x="280"/>
        <item x="265"/>
        <item x="68"/>
        <item x="372"/>
        <item x="106"/>
        <item x="255"/>
        <item x="388"/>
        <item x="243"/>
        <item x="294"/>
        <item x="86"/>
        <item x="59"/>
        <item x="60"/>
        <item x="47"/>
        <item x="362"/>
        <item x="261"/>
        <item x="105"/>
        <item x="370"/>
        <item x="252"/>
        <item x="285"/>
        <item x="321"/>
        <item x="300"/>
        <item x="117"/>
        <item x="240"/>
        <item x="296"/>
        <item x="69"/>
        <item x="377"/>
        <item x="236"/>
        <item x="341"/>
        <item x="529"/>
        <item x="325"/>
        <item x="387"/>
        <item x="98"/>
        <item x="316"/>
        <item x="247"/>
        <item x="269"/>
        <item x="291"/>
        <item x="111"/>
        <item x="278"/>
        <item x="332"/>
        <item x="304"/>
        <item x="309"/>
        <item x="74"/>
        <item x="122"/>
        <item x="246"/>
        <item x="97"/>
        <item x="293"/>
        <item x="115"/>
        <item x="307"/>
        <item x="110"/>
        <item x="238"/>
        <item x="318"/>
        <item x="61"/>
        <item x="375"/>
        <item x="164"/>
        <item x="275"/>
        <item x="250"/>
        <item x="148"/>
        <item x="288"/>
        <item x="200"/>
        <item x="303"/>
        <item x="345"/>
        <item x="339"/>
        <item x="103"/>
        <item x="312"/>
        <item x="299"/>
        <item x="361"/>
        <item x="87"/>
        <item x="259"/>
        <item x="48"/>
        <item x="78"/>
        <item x="342"/>
        <item x="232"/>
        <item x="334"/>
        <item x="222"/>
        <item x="71"/>
        <item x="324"/>
        <item x="271"/>
        <item x="128"/>
        <item x="279"/>
        <item x="75"/>
        <item x="344"/>
        <item x="227"/>
        <item x="174"/>
        <item x="322"/>
        <item x="88"/>
        <item x="209"/>
        <item x="244"/>
        <item x="96"/>
        <item x="348"/>
        <item x="108"/>
        <item x="308"/>
        <item x="260"/>
        <item x="49"/>
        <item x="530"/>
        <item x="267"/>
        <item x="138"/>
        <item x="170"/>
        <item x="367"/>
        <item x="121"/>
        <item x="248"/>
        <item x="157"/>
        <item x="219"/>
        <item x="188"/>
        <item x="327"/>
        <item x="112"/>
        <item x="286"/>
        <item x="62"/>
        <item x="254"/>
        <item x="359"/>
        <item x="67"/>
        <item x="102"/>
        <item x="315"/>
        <item x="352"/>
        <item x="234"/>
        <item x="357"/>
        <item x="116"/>
        <item x="347"/>
        <item x="73"/>
        <item x="104"/>
        <item x="378"/>
        <item x="163"/>
        <item x="272"/>
        <item x="199"/>
        <item x="384"/>
        <item x="147"/>
        <item x="50"/>
        <item x="257"/>
        <item x="99"/>
        <item x="311"/>
        <item x="190"/>
        <item x="297"/>
        <item x="326"/>
        <item x="114"/>
        <item x="314"/>
        <item x="354"/>
        <item x="79"/>
        <item x="127"/>
        <item x="360"/>
        <item x="63"/>
        <item x="329"/>
        <item x="107"/>
        <item x="350"/>
        <item x="282"/>
        <item x="237"/>
        <item x="385"/>
        <item x="205"/>
        <item x="319"/>
        <item x="120"/>
        <item x="183"/>
        <item x="211"/>
        <item x="277"/>
        <item x="290"/>
        <item x="221"/>
        <item x="155"/>
        <item x="301"/>
        <item x="178"/>
        <item x="323"/>
        <item x="374"/>
        <item x="141"/>
        <item x="364"/>
        <item x="306"/>
        <item x="337"/>
        <item x="51"/>
        <item x="94"/>
        <item x="371"/>
        <item x="89"/>
        <item x="264"/>
        <item x="159"/>
        <item x="173"/>
        <item x="215"/>
        <item x="136"/>
        <item x="156"/>
        <item x="270"/>
        <item x="253"/>
        <item x="226"/>
        <item x="152"/>
        <item x="531"/>
        <item x="137"/>
        <item x="358"/>
        <item x="235"/>
        <item x="52"/>
        <item x="213"/>
        <item x="142"/>
        <item x="346"/>
        <item x="223"/>
        <item x="90"/>
        <item x="168"/>
        <item x="386"/>
        <item x="381"/>
        <item x="333"/>
        <item x="161"/>
        <item x="192"/>
        <item x="340"/>
        <item x="101"/>
        <item x="356"/>
        <item x="176"/>
        <item x="305"/>
        <item x="263"/>
        <item x="145"/>
        <item x="368"/>
        <item x="95"/>
        <item x="317"/>
        <item x="353"/>
        <item x="118"/>
        <item x="196"/>
        <item x="217"/>
        <item x="171"/>
        <item x="366"/>
        <item x="231"/>
        <item x="76"/>
        <item x="131"/>
        <item x="229"/>
        <item x="201"/>
        <item x="64"/>
        <item x="532"/>
        <item x="241"/>
        <item x="281"/>
        <item x="284"/>
        <item x="182"/>
        <item x="274"/>
        <item x="373"/>
        <item x="258"/>
        <item x="207"/>
        <item x="310"/>
        <item x="194"/>
        <item x="91"/>
        <item x="218"/>
        <item x="283"/>
        <item x="119"/>
        <item x="208"/>
        <item x="65"/>
        <item x="92"/>
        <item x="302"/>
        <item x="338"/>
        <item x="376"/>
        <item x="276"/>
        <item x="330"/>
        <item x="154"/>
        <item x="181"/>
        <item x="351"/>
        <item x="135"/>
        <item x="233"/>
        <item x="225"/>
        <item x="53"/>
        <item x="204"/>
        <item x="186"/>
        <item x="132"/>
        <item x="251"/>
        <item x="379"/>
        <item x="158"/>
        <item x="335"/>
        <item x="40"/>
        <item x="177"/>
        <item x="140"/>
        <item x="295"/>
        <item x="151"/>
        <item x="198"/>
        <item x="268"/>
        <item x="124"/>
        <item x="383"/>
        <item x="167"/>
        <item x="113"/>
        <item x="369"/>
        <item x="214"/>
        <item x="162"/>
        <item x="146"/>
        <item x="100"/>
        <item x="189"/>
        <item x="139"/>
        <item x="210"/>
        <item x="298"/>
        <item x="109"/>
        <item x="320"/>
        <item x="42"/>
        <item x="180"/>
        <item x="220"/>
        <item x="184"/>
        <item x="380"/>
        <item x="287"/>
        <item x="193"/>
        <item x="80"/>
        <item x="123"/>
        <item x="143"/>
        <item x="172"/>
        <item x="363"/>
        <item x="266"/>
        <item x="160"/>
        <item x="202"/>
        <item x="216"/>
        <item x="129"/>
        <item x="273"/>
        <item x="175"/>
        <item x="249"/>
        <item x="93"/>
        <item x="149"/>
        <item x="313"/>
        <item x="187"/>
        <item x="343"/>
        <item x="245"/>
        <item x="206"/>
        <item x="165"/>
        <item x="256"/>
        <item x="292"/>
        <item x="349"/>
        <item x="336"/>
        <item x="133"/>
        <item x="239"/>
        <item x="228"/>
        <item x="197"/>
        <item x="328"/>
        <item x="126"/>
        <item x="169"/>
        <item x="224"/>
        <item x="130"/>
        <item x="0"/>
        <item x="1"/>
        <item x="2"/>
        <item x="3"/>
        <item x="4"/>
        <item x="5"/>
        <item x="6"/>
        <item x="7"/>
        <item x="8"/>
        <item x="9"/>
        <item x="10"/>
        <item x="11"/>
        <item x="12"/>
        <item x="13"/>
        <item x="14"/>
        <item x="15"/>
        <item x="16"/>
        <item x="17"/>
        <item x="331"/>
        <item x="144"/>
        <item x="18"/>
        <item x="19"/>
        <item x="20"/>
        <item x="21"/>
        <item x="22"/>
        <item x="23"/>
        <item x="24"/>
        <item x="25"/>
        <item x="26"/>
        <item x="27"/>
        <item x="28"/>
        <item x="29"/>
        <item x="30"/>
        <item x="31"/>
        <item x="32"/>
        <item x="33"/>
        <item x="34"/>
        <item x="35"/>
        <item x="36"/>
        <item x="37"/>
        <item x="38"/>
        <item x="242"/>
        <item x="153"/>
        <item x="355"/>
        <item x="134"/>
        <item x="185"/>
        <item x="203"/>
        <item x="382"/>
        <item x="125"/>
        <item x="262"/>
        <item x="195"/>
        <item x="150"/>
        <item x="389"/>
        <item x="390"/>
        <item x="391"/>
        <item x="392"/>
        <item x="393"/>
        <item x="394"/>
        <item x="395"/>
        <item x="396"/>
        <item x="397"/>
        <item x="398"/>
        <item x="399"/>
        <item x="400"/>
        <item x="401"/>
        <item x="402"/>
        <item x="403"/>
        <item x="404"/>
        <item x="405"/>
        <item x="406"/>
        <item x="407"/>
        <item x="408"/>
        <item x="409"/>
        <item x="410"/>
        <item x="411"/>
        <item x="412"/>
        <item x="413"/>
        <item x="414"/>
        <item x="166"/>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21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19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179"/>
        <item x="513"/>
        <item x="514"/>
        <item x="515"/>
        <item x="516"/>
        <item x="517"/>
        <item x="518"/>
        <item x="230"/>
        <item x="519"/>
        <item x="520"/>
        <item x="521"/>
        <item x="522"/>
        <item x="523"/>
        <item x="524"/>
        <item x="525"/>
        <item x="526"/>
        <item x="527"/>
        <item x="528"/>
        <item t="default"/>
      </items>
    </pivotField>
    <pivotField numFmtId="170" showAll="0">
      <items count="175">
        <item x="17"/>
        <item x="166"/>
        <item x="137"/>
        <item x="143"/>
        <item x="139"/>
        <item x="117"/>
        <item x="55"/>
        <item x="43"/>
        <item x="96"/>
        <item x="63"/>
        <item x="98"/>
        <item x="36"/>
        <item x="5"/>
        <item x="22"/>
        <item x="122"/>
        <item x="45"/>
        <item x="31"/>
        <item x="113"/>
        <item x="48"/>
        <item x="115"/>
        <item x="148"/>
        <item x="108"/>
        <item x="11"/>
        <item x="54"/>
        <item x="124"/>
        <item x="134"/>
        <item x="81"/>
        <item x="18"/>
        <item x="118"/>
        <item x="79"/>
        <item x="24"/>
        <item x="110"/>
        <item x="99"/>
        <item x="135"/>
        <item x="140"/>
        <item x="165"/>
        <item x="83"/>
        <item x="44"/>
        <item x="95"/>
        <item x="92"/>
        <item x="163"/>
        <item x="32"/>
        <item x="23"/>
        <item x="128"/>
        <item x="6"/>
        <item x="12"/>
        <item x="27"/>
        <item x="138"/>
        <item x="19"/>
        <item x="78"/>
        <item x="39"/>
        <item x="51"/>
        <item x="172"/>
        <item x="94"/>
        <item x="87"/>
        <item x="82"/>
        <item x="142"/>
        <item x="153"/>
        <item x="146"/>
        <item x="171"/>
        <item x="112"/>
        <item x="28"/>
        <item x="33"/>
        <item x="70"/>
        <item x="120"/>
        <item x="13"/>
        <item x="86"/>
        <item x="60"/>
        <item x="40"/>
        <item x="69"/>
        <item x="131"/>
        <item x="88"/>
        <item x="152"/>
        <item x="7"/>
        <item x="58"/>
        <item x="109"/>
        <item x="168"/>
        <item x="167"/>
        <item x="80"/>
        <item x="52"/>
        <item x="93"/>
        <item x="129"/>
        <item x="46"/>
        <item x="160"/>
        <item x="114"/>
        <item x="157"/>
        <item x="107"/>
        <item x="159"/>
        <item x="162"/>
        <item x="154"/>
        <item x="150"/>
        <item x="119"/>
        <item x="125"/>
        <item x="111"/>
        <item x="67"/>
        <item x="8"/>
        <item x="76"/>
        <item x="49"/>
        <item x="20"/>
        <item x="1"/>
        <item x="53"/>
        <item x="56"/>
        <item x="14"/>
        <item x="61"/>
        <item x="121"/>
        <item x="90"/>
        <item x="130"/>
        <item x="41"/>
        <item x="158"/>
        <item x="105"/>
        <item x="144"/>
        <item x="64"/>
        <item x="97"/>
        <item x="89"/>
        <item x="101"/>
        <item x="9"/>
        <item x="0"/>
        <item x="147"/>
        <item x="116"/>
        <item x="30"/>
        <item x="15"/>
        <item x="156"/>
        <item x="161"/>
        <item x="151"/>
        <item x="104"/>
        <item x="50"/>
        <item x="72"/>
        <item x="47"/>
        <item x="127"/>
        <item x="68"/>
        <item x="10"/>
        <item x="133"/>
        <item x="71"/>
        <item x="2"/>
        <item x="65"/>
        <item x="35"/>
        <item x="132"/>
        <item x="25"/>
        <item x="77"/>
        <item x="21"/>
        <item x="106"/>
        <item x="37"/>
        <item x="16"/>
        <item x="91"/>
        <item x="102"/>
        <item x="29"/>
        <item x="74"/>
        <item x="155"/>
        <item x="3"/>
        <item x="85"/>
        <item x="57"/>
        <item x="42"/>
        <item x="75"/>
        <item x="62"/>
        <item x="26"/>
        <item x="4"/>
        <item x="34"/>
        <item x="103"/>
        <item x="170"/>
        <item x="38"/>
        <item x="66"/>
        <item x="173"/>
        <item x="100"/>
        <item x="59"/>
        <item x="84"/>
        <item x="164"/>
        <item x="73"/>
        <item x="145"/>
        <item x="136"/>
        <item x="169"/>
        <item x="149"/>
        <item x="123"/>
        <item x="126"/>
        <item x="141"/>
        <item t="default"/>
      </items>
    </pivotField>
    <pivotField showAll="0"/>
    <pivotField showAll="0"/>
    <pivotField showAll="0"/>
    <pivotField showAll="0">
      <items count="4">
        <item x="2"/>
        <item x="1"/>
        <item x="0"/>
        <item t="default"/>
      </items>
    </pivotField>
    <pivotField showAll="0"/>
    <pivotField showAll="0"/>
    <pivotField showAll="0"/>
    <pivotField dataField="1" showAll="0">
      <items count="46">
        <item x="1"/>
        <item x="10"/>
        <item x="3"/>
        <item x="25"/>
        <item x="12"/>
        <item x="6"/>
        <item x="16"/>
        <item x="18"/>
        <item x="4"/>
        <item x="14"/>
        <item x="38"/>
        <item x="13"/>
        <item x="36"/>
        <item x="0"/>
        <item x="37"/>
        <item x="21"/>
        <item x="31"/>
        <item x="19"/>
        <item x="8"/>
        <item x="15"/>
        <item x="32"/>
        <item x="20"/>
        <item x="29"/>
        <item x="35"/>
        <item x="2"/>
        <item x="28"/>
        <item x="22"/>
        <item x="40"/>
        <item x="34"/>
        <item x="17"/>
        <item x="9"/>
        <item x="41"/>
        <item x="23"/>
        <item x="44"/>
        <item x="24"/>
        <item x="43"/>
        <item x="30"/>
        <item x="5"/>
        <item x="39"/>
        <item x="42"/>
        <item x="33"/>
        <item x="11"/>
        <item x="7"/>
        <item x="27"/>
        <item x="26"/>
        <item t="default"/>
      </items>
    </pivotField>
    <pivotField showAll="0">
      <items count="116">
        <item x="4"/>
        <item x="23"/>
        <item x="26"/>
        <item x="27"/>
        <item x="38"/>
        <item x="76"/>
        <item x="80"/>
        <item x="56"/>
        <item x="46"/>
        <item x="68"/>
        <item x="69"/>
        <item x="92"/>
        <item x="90"/>
        <item x="78"/>
        <item x="52"/>
        <item x="48"/>
        <item x="103"/>
        <item x="113"/>
        <item x="14"/>
        <item x="11"/>
        <item x="1"/>
        <item x="8"/>
        <item x="20"/>
        <item x="34"/>
        <item x="25"/>
        <item x="39"/>
        <item x="72"/>
        <item x="36"/>
        <item x="55"/>
        <item x="43"/>
        <item x="102"/>
        <item x="106"/>
        <item x="71"/>
        <item x="70"/>
        <item x="93"/>
        <item x="89"/>
        <item x="81"/>
        <item x="73"/>
        <item x="53"/>
        <item x="47"/>
        <item x="91"/>
        <item x="87"/>
        <item x="79"/>
        <item x="60"/>
        <item x="98"/>
        <item x="59"/>
        <item x="50"/>
        <item x="16"/>
        <item x="35"/>
        <item x="5"/>
        <item x="13"/>
        <item x="22"/>
        <item x="30"/>
        <item x="37"/>
        <item x="40"/>
        <item x="75"/>
        <item x="51"/>
        <item x="45"/>
        <item x="107"/>
        <item x="94"/>
        <item x="82"/>
        <item x="62"/>
        <item x="108"/>
        <item x="95"/>
        <item x="83"/>
        <item x="77"/>
        <item x="54"/>
        <item x="49"/>
        <item x="99"/>
        <item x="109"/>
        <item x="101"/>
        <item x="97"/>
        <item x="85"/>
        <item x="63"/>
        <item x="105"/>
        <item x="100"/>
        <item x="66"/>
        <item x="110"/>
        <item x="86"/>
        <item x="64"/>
        <item x="96"/>
        <item x="84"/>
        <item x="65"/>
        <item x="61"/>
        <item x="104"/>
        <item x="67"/>
        <item x="111"/>
        <item x="114"/>
        <item x="12"/>
        <item x="17"/>
        <item x="33"/>
        <item x="3"/>
        <item x="15"/>
        <item x="18"/>
        <item x="31"/>
        <item x="24"/>
        <item x="28"/>
        <item x="74"/>
        <item x="57"/>
        <item x="44"/>
        <item x="112"/>
        <item x="10"/>
        <item x="32"/>
        <item x="29"/>
        <item x="6"/>
        <item x="19"/>
        <item x="0"/>
        <item x="9"/>
        <item x="2"/>
        <item x="88"/>
        <item x="21"/>
        <item x="41"/>
        <item x="58"/>
        <item x="42"/>
        <item x="7"/>
        <item t="default"/>
      </items>
    </pivotField>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items count="23">
        <item x="10"/>
        <item x="18"/>
        <item x="19"/>
        <item x="21"/>
        <item x="17"/>
        <item x="15"/>
        <item x="1"/>
        <item x="5"/>
        <item x="7"/>
        <item x="11"/>
        <item x="0"/>
        <item x="8"/>
        <item x="6"/>
        <item x="2"/>
        <item x="12"/>
        <item x="9"/>
        <item x="3"/>
        <item x="4"/>
        <item x="13"/>
        <item x="14"/>
        <item x="16"/>
        <item x="20"/>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21"/>
  </rowFields>
  <rowItems count="23">
    <i>
      <x v="1"/>
    </i>
    <i>
      <x v="3"/>
    </i>
    <i>
      <x v="4"/>
    </i>
    <i>
      <x v="6"/>
    </i>
    <i>
      <x v="7"/>
    </i>
    <i>
      <x v="8"/>
    </i>
    <i>
      <x v="9"/>
    </i>
    <i>
      <x v="10"/>
    </i>
    <i>
      <x v="11"/>
    </i>
    <i>
      <x v="12"/>
    </i>
    <i>
      <x v="13"/>
    </i>
    <i>
      <x v="14"/>
    </i>
    <i>
      <x v="15"/>
    </i>
    <i>
      <x v="16"/>
    </i>
    <i>
      <x v="17"/>
    </i>
    <i>
      <x v="18"/>
    </i>
    <i>
      <x v="19"/>
    </i>
    <i>
      <x v="20"/>
    </i>
    <i>
      <x v="21"/>
    </i>
    <i>
      <x v="22"/>
    </i>
    <i>
      <x v="23"/>
    </i>
    <i>
      <x v="24"/>
    </i>
    <i t="grand">
      <x/>
    </i>
  </rowItems>
  <colFields count="1">
    <field x="2"/>
  </colFields>
  <colItems count="3">
    <i>
      <x/>
    </i>
    <i>
      <x v="1"/>
    </i>
    <i>
      <x v="2"/>
    </i>
  </colItems>
  <dataFields count="1">
    <dataField name="Sum of Interactions PER HOUR " fld="13" baseField="0" baseItem="0"/>
  </dataFields>
  <chartFormats count="4">
    <chartFormat chart="14" format="13" series="1">
      <pivotArea type="data" outline="0" fieldPosition="0">
        <references count="2">
          <reference field="4294967294" count="1" selected="0">
            <x v="0"/>
          </reference>
          <reference field="2" count="1" selected="0">
            <x v="0"/>
          </reference>
        </references>
      </pivotArea>
    </chartFormat>
    <chartFormat chart="14" format="14" series="1">
      <pivotArea type="data" outline="0" fieldPosition="0">
        <references count="2">
          <reference field="4294967294" count="1" selected="0">
            <x v="0"/>
          </reference>
          <reference field="2" count="1" selected="0">
            <x v="1"/>
          </reference>
        </references>
      </pivotArea>
    </chartFormat>
    <chartFormat chart="14" format="15" series="1">
      <pivotArea type="data" outline="0" fieldPosition="0">
        <references count="2">
          <reference field="4294967294" count="1" selected="0">
            <x v="0"/>
          </reference>
          <reference field="2" count="1" selected="0">
            <x v="2"/>
          </reference>
        </references>
      </pivotArea>
    </chartFormat>
    <chartFormat chart="14"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6E6254-F04E-A345-9D06-9A5984F5B0B0}" name="PivotTable6"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3:S18" firstHeaderRow="1" firstDataRow="2" firstDataCol="1"/>
  <pivotFields count="23">
    <pivotField showAll="0"/>
    <pivotField showAll="0"/>
    <pivotField axis="axisCol" showAll="0">
      <items count="4">
        <item x="1"/>
        <item x="2"/>
        <item x="0"/>
        <item t="default"/>
      </items>
    </pivotField>
    <pivotField numFmtId="22" showAll="0"/>
    <pivotField numFmtId="14" showAll="0"/>
    <pivotField numFmtId="170" showAll="0">
      <items count="175">
        <item x="17"/>
        <item x="166"/>
        <item x="137"/>
        <item x="143"/>
        <item x="139"/>
        <item x="117"/>
        <item x="55"/>
        <item x="43"/>
        <item x="96"/>
        <item x="63"/>
        <item x="98"/>
        <item x="36"/>
        <item x="5"/>
        <item x="22"/>
        <item x="122"/>
        <item x="45"/>
        <item x="31"/>
        <item x="113"/>
        <item x="48"/>
        <item x="115"/>
        <item x="148"/>
        <item x="108"/>
        <item x="11"/>
        <item x="54"/>
        <item x="124"/>
        <item x="134"/>
        <item x="81"/>
        <item x="18"/>
        <item x="118"/>
        <item x="79"/>
        <item x="24"/>
        <item x="110"/>
        <item x="99"/>
        <item x="135"/>
        <item x="140"/>
        <item x="165"/>
        <item x="83"/>
        <item x="44"/>
        <item x="95"/>
        <item x="92"/>
        <item x="163"/>
        <item x="32"/>
        <item x="23"/>
        <item x="128"/>
        <item x="6"/>
        <item x="12"/>
        <item x="27"/>
        <item x="138"/>
        <item x="19"/>
        <item x="78"/>
        <item x="39"/>
        <item x="51"/>
        <item x="172"/>
        <item x="94"/>
        <item x="87"/>
        <item x="82"/>
        <item x="142"/>
        <item x="153"/>
        <item x="146"/>
        <item x="171"/>
        <item x="112"/>
        <item x="28"/>
        <item x="33"/>
        <item x="70"/>
        <item x="120"/>
        <item x="13"/>
        <item x="86"/>
        <item x="60"/>
        <item x="40"/>
        <item x="69"/>
        <item x="131"/>
        <item x="88"/>
        <item x="152"/>
        <item x="7"/>
        <item x="58"/>
        <item x="109"/>
        <item x="168"/>
        <item x="167"/>
        <item x="80"/>
        <item x="52"/>
        <item x="93"/>
        <item x="129"/>
        <item x="46"/>
        <item x="160"/>
        <item x="114"/>
        <item x="157"/>
        <item x="107"/>
        <item x="159"/>
        <item x="162"/>
        <item x="154"/>
        <item x="150"/>
        <item x="119"/>
        <item x="125"/>
        <item x="111"/>
        <item x="67"/>
        <item x="8"/>
        <item x="76"/>
        <item x="49"/>
        <item x="20"/>
        <item x="1"/>
        <item x="53"/>
        <item x="56"/>
        <item x="14"/>
        <item x="61"/>
        <item x="121"/>
        <item x="90"/>
        <item x="130"/>
        <item x="41"/>
        <item x="158"/>
        <item x="105"/>
        <item x="144"/>
        <item x="64"/>
        <item x="97"/>
        <item x="89"/>
        <item x="101"/>
        <item x="9"/>
        <item x="0"/>
        <item x="147"/>
        <item x="116"/>
        <item x="30"/>
        <item x="15"/>
        <item x="156"/>
        <item x="161"/>
        <item x="151"/>
        <item x="104"/>
        <item x="50"/>
        <item x="72"/>
        <item x="47"/>
        <item x="127"/>
        <item x="68"/>
        <item x="10"/>
        <item x="133"/>
        <item x="71"/>
        <item x="2"/>
        <item x="65"/>
        <item x="35"/>
        <item x="132"/>
        <item x="25"/>
        <item x="77"/>
        <item x="21"/>
        <item x="106"/>
        <item x="37"/>
        <item x="16"/>
        <item x="91"/>
        <item x="102"/>
        <item x="29"/>
        <item x="74"/>
        <item x="155"/>
        <item x="3"/>
        <item x="85"/>
        <item x="57"/>
        <item x="42"/>
        <item x="75"/>
        <item x="62"/>
        <item x="26"/>
        <item x="4"/>
        <item x="34"/>
        <item x="103"/>
        <item x="170"/>
        <item x="38"/>
        <item x="66"/>
        <item x="173"/>
        <item x="100"/>
        <item x="59"/>
        <item x="84"/>
        <item x="164"/>
        <item x="73"/>
        <item x="145"/>
        <item x="136"/>
        <item x="169"/>
        <item x="149"/>
        <item x="123"/>
        <item x="126"/>
        <item x="141"/>
        <item t="default"/>
      </items>
    </pivotField>
    <pivotField showAll="0"/>
    <pivotField showAll="0"/>
    <pivotField showAll="0">
      <items count="5">
        <item x="2"/>
        <item x="1"/>
        <item x="3"/>
        <item x="0"/>
        <item t="default"/>
      </items>
    </pivotField>
    <pivotField axis="axisRow" showAll="0">
      <items count="4">
        <item x="2"/>
        <item x="1"/>
        <item x="0"/>
        <item t="default"/>
      </items>
    </pivotField>
    <pivotField showAll="0"/>
    <pivotField showAll="0"/>
    <pivotField showAll="0"/>
    <pivotField dataField="1" showAll="0"/>
    <pivotField showAll="0"/>
    <pivotField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items count="23">
        <item x="10"/>
        <item x="18"/>
        <item x="19"/>
        <item x="21"/>
        <item x="17"/>
        <item x="15"/>
        <item x="1"/>
        <item x="5"/>
        <item x="7"/>
        <item x="11"/>
        <item x="0"/>
        <item x="8"/>
        <item x="6"/>
        <item x="2"/>
        <item x="12"/>
        <item x="9"/>
        <item x="3"/>
        <item x="4"/>
        <item x="13"/>
        <item x="14"/>
        <item x="16"/>
        <item x="20"/>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9"/>
  </rowFields>
  <rowItems count="4">
    <i>
      <x/>
    </i>
    <i>
      <x v="1"/>
    </i>
    <i>
      <x v="2"/>
    </i>
    <i t="grand">
      <x/>
    </i>
  </rowItems>
  <colFields count="1">
    <field x="2"/>
  </colFields>
  <colItems count="4">
    <i>
      <x/>
    </i>
    <i>
      <x v="1"/>
    </i>
    <i>
      <x v="2"/>
    </i>
    <i t="grand">
      <x/>
    </i>
  </colItems>
  <dataFields count="1">
    <dataField name="Sum of Interaction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E2530E-CD59-774B-9F4F-226F5AF046A2}" name="PivotTable5"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4:AW9" firstHeaderRow="1" firstDataRow="2" firstDataCol="1"/>
  <pivotFields count="23">
    <pivotField showAll="0"/>
    <pivotField showAll="0"/>
    <pivotField showAll="0">
      <items count="4">
        <item x="1"/>
        <item x="2"/>
        <item x="0"/>
        <item t="default"/>
      </items>
    </pivotField>
    <pivotField numFmtId="22" showAll="0"/>
    <pivotField numFmtId="14" showAll="0"/>
    <pivotField numFmtId="170" showAll="0">
      <items count="175">
        <item x="17"/>
        <item x="166"/>
        <item x="137"/>
        <item x="143"/>
        <item x="139"/>
        <item x="117"/>
        <item x="55"/>
        <item x="43"/>
        <item x="96"/>
        <item x="63"/>
        <item x="98"/>
        <item x="36"/>
        <item x="5"/>
        <item x="22"/>
        <item x="122"/>
        <item x="45"/>
        <item x="31"/>
        <item x="113"/>
        <item x="48"/>
        <item x="115"/>
        <item x="148"/>
        <item x="108"/>
        <item x="11"/>
        <item x="54"/>
        <item x="124"/>
        <item x="134"/>
        <item x="81"/>
        <item x="18"/>
        <item x="118"/>
        <item x="79"/>
        <item x="24"/>
        <item x="110"/>
        <item x="99"/>
        <item x="135"/>
        <item x="140"/>
        <item x="165"/>
        <item x="83"/>
        <item x="44"/>
        <item x="95"/>
        <item x="92"/>
        <item x="163"/>
        <item x="32"/>
        <item x="23"/>
        <item x="128"/>
        <item x="6"/>
        <item x="12"/>
        <item x="27"/>
        <item x="138"/>
        <item x="19"/>
        <item x="78"/>
        <item x="39"/>
        <item x="51"/>
        <item x="172"/>
        <item x="94"/>
        <item x="87"/>
        <item x="82"/>
        <item x="142"/>
        <item x="153"/>
        <item x="146"/>
        <item x="171"/>
        <item x="112"/>
        <item x="28"/>
        <item x="33"/>
        <item x="70"/>
        <item x="120"/>
        <item x="13"/>
        <item x="86"/>
        <item x="60"/>
        <item x="40"/>
        <item x="69"/>
        <item x="131"/>
        <item x="88"/>
        <item x="152"/>
        <item x="7"/>
        <item x="58"/>
        <item x="109"/>
        <item x="168"/>
        <item x="167"/>
        <item x="80"/>
        <item x="52"/>
        <item x="93"/>
        <item x="129"/>
        <item x="46"/>
        <item x="160"/>
        <item x="114"/>
        <item x="157"/>
        <item x="107"/>
        <item x="159"/>
        <item x="162"/>
        <item x="154"/>
        <item x="150"/>
        <item x="119"/>
        <item x="125"/>
        <item x="111"/>
        <item x="67"/>
        <item x="8"/>
        <item x="76"/>
        <item x="49"/>
        <item x="20"/>
        <item x="1"/>
        <item x="53"/>
        <item x="56"/>
        <item x="14"/>
        <item x="61"/>
        <item x="121"/>
        <item x="90"/>
        <item x="130"/>
        <item x="41"/>
        <item x="158"/>
        <item x="105"/>
        <item x="144"/>
        <item x="64"/>
        <item x="97"/>
        <item x="89"/>
        <item x="101"/>
        <item x="9"/>
        <item x="0"/>
        <item x="147"/>
        <item x="116"/>
        <item x="30"/>
        <item x="15"/>
        <item x="156"/>
        <item x="161"/>
        <item x="151"/>
        <item x="104"/>
        <item x="50"/>
        <item x="72"/>
        <item x="47"/>
        <item x="127"/>
        <item x="68"/>
        <item x="10"/>
        <item x="133"/>
        <item x="71"/>
        <item x="2"/>
        <item x="65"/>
        <item x="35"/>
        <item x="132"/>
        <item x="25"/>
        <item x="77"/>
        <item x="21"/>
        <item x="106"/>
        <item x="37"/>
        <item x="16"/>
        <item x="91"/>
        <item x="102"/>
        <item x="29"/>
        <item x="74"/>
        <item x="155"/>
        <item x="3"/>
        <item x="85"/>
        <item x="57"/>
        <item x="42"/>
        <item x="75"/>
        <item x="62"/>
        <item x="26"/>
        <item x="4"/>
        <item x="34"/>
        <item x="103"/>
        <item x="170"/>
        <item x="38"/>
        <item x="66"/>
        <item x="173"/>
        <item x="100"/>
        <item x="59"/>
        <item x="84"/>
        <item x="164"/>
        <item x="73"/>
        <item x="145"/>
        <item x="136"/>
        <item x="169"/>
        <item x="149"/>
        <item x="123"/>
        <item x="126"/>
        <item x="141"/>
        <item t="default"/>
      </items>
    </pivotField>
    <pivotField showAll="0"/>
    <pivotField showAll="0"/>
    <pivotField showAll="0">
      <items count="5">
        <item x="2"/>
        <item x="1"/>
        <item x="3"/>
        <item x="0"/>
        <item t="default"/>
      </items>
    </pivotField>
    <pivotField axis="axisRow" showAll="0">
      <items count="4">
        <item x="2"/>
        <item x="1"/>
        <item x="0"/>
        <item t="default"/>
      </items>
    </pivotField>
    <pivotField showAll="0"/>
    <pivotField showAll="0"/>
    <pivotField showAll="0"/>
    <pivotField dataField="1" showAll="0"/>
    <pivotField showAll="0"/>
    <pivotField axis="axisCol" showAll="0" sortType="descending">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3">
        <item x="10"/>
        <item x="18"/>
        <item x="19"/>
        <item x="21"/>
        <item x="17"/>
        <item x="15"/>
        <item x="1"/>
        <item x="5"/>
        <item x="7"/>
        <item x="11"/>
        <item x="0"/>
        <item x="8"/>
        <item x="6"/>
        <item x="2"/>
        <item x="12"/>
        <item x="9"/>
        <item x="3"/>
        <item x="4"/>
        <item x="13"/>
        <item x="14"/>
        <item x="16"/>
        <item x="20"/>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9"/>
  </rowFields>
  <rowItems count="4">
    <i>
      <x/>
    </i>
    <i>
      <x v="1"/>
    </i>
    <i>
      <x v="2"/>
    </i>
    <i t="grand">
      <x/>
    </i>
  </rowItems>
  <colFields count="1">
    <field x="15"/>
  </colFields>
  <colItems count="34">
    <i>
      <x v="32"/>
    </i>
    <i>
      <x v="31"/>
    </i>
    <i>
      <x v="5"/>
    </i>
    <i>
      <x/>
    </i>
    <i>
      <x v="13"/>
    </i>
    <i>
      <x v="3"/>
    </i>
    <i>
      <x v="17"/>
    </i>
    <i>
      <x v="10"/>
    </i>
    <i>
      <x v="11"/>
    </i>
    <i>
      <x v="15"/>
    </i>
    <i>
      <x v="26"/>
    </i>
    <i>
      <x v="27"/>
    </i>
    <i>
      <x v="12"/>
    </i>
    <i>
      <x v="21"/>
    </i>
    <i>
      <x v="29"/>
    </i>
    <i>
      <x v="2"/>
    </i>
    <i>
      <x v="28"/>
    </i>
    <i>
      <x v="24"/>
    </i>
    <i>
      <x v="1"/>
    </i>
    <i>
      <x v="9"/>
    </i>
    <i>
      <x v="8"/>
    </i>
    <i>
      <x v="30"/>
    </i>
    <i>
      <x v="18"/>
    </i>
    <i>
      <x v="16"/>
    </i>
    <i>
      <x v="23"/>
    </i>
    <i>
      <x v="7"/>
    </i>
    <i>
      <x v="14"/>
    </i>
    <i>
      <x v="25"/>
    </i>
    <i>
      <x v="22"/>
    </i>
    <i>
      <x v="20"/>
    </i>
    <i>
      <x v="19"/>
    </i>
    <i>
      <x v="4"/>
    </i>
    <i>
      <x v="6"/>
    </i>
    <i t="grand">
      <x/>
    </i>
  </colItems>
  <dataFields count="1">
    <dataField name="Sum of Interaction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96237B-DDC6-5447-8731-8D78067D90C7}" name="PivotTable2" cacheId="11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G4:J39" firstHeaderRow="1" firstDataRow="2" firstDataCol="1"/>
  <pivotFields count="23">
    <pivotField showAll="0"/>
    <pivotField showAll="0"/>
    <pivotField axis="axisCol" showAll="0">
      <items count="4">
        <item x="1"/>
        <item x="2"/>
        <item x="0"/>
        <item t="default"/>
      </items>
    </pivotField>
    <pivotField numFmtId="22" showAll="0"/>
    <pivotField numFmtId="14" showAll="0">
      <items count="534">
        <item x="39"/>
        <item x="54"/>
        <item x="81"/>
        <item x="41"/>
        <item x="82"/>
        <item x="77"/>
        <item x="55"/>
        <item x="66"/>
        <item x="56"/>
        <item x="83"/>
        <item x="43"/>
        <item x="44"/>
        <item x="70"/>
        <item x="84"/>
        <item x="57"/>
        <item x="72"/>
        <item x="85"/>
        <item x="58"/>
        <item x="45"/>
        <item x="289"/>
        <item x="365"/>
        <item x="46"/>
        <item x="280"/>
        <item x="265"/>
        <item x="68"/>
        <item x="372"/>
        <item x="106"/>
        <item x="255"/>
        <item x="388"/>
        <item x="243"/>
        <item x="294"/>
        <item x="86"/>
        <item x="59"/>
        <item x="60"/>
        <item x="47"/>
        <item x="362"/>
        <item x="261"/>
        <item x="105"/>
        <item x="370"/>
        <item x="252"/>
        <item x="285"/>
        <item x="321"/>
        <item x="300"/>
        <item x="117"/>
        <item x="240"/>
        <item x="296"/>
        <item x="69"/>
        <item x="377"/>
        <item x="236"/>
        <item x="341"/>
        <item x="529"/>
        <item x="325"/>
        <item x="387"/>
        <item x="98"/>
        <item x="316"/>
        <item x="247"/>
        <item x="269"/>
        <item x="291"/>
        <item x="111"/>
        <item x="278"/>
        <item x="332"/>
        <item x="304"/>
        <item x="309"/>
        <item x="74"/>
        <item x="122"/>
        <item x="246"/>
        <item x="97"/>
        <item x="293"/>
        <item x="115"/>
        <item x="307"/>
        <item x="110"/>
        <item x="238"/>
        <item x="318"/>
        <item x="61"/>
        <item x="375"/>
        <item x="164"/>
        <item x="275"/>
        <item x="250"/>
        <item x="148"/>
        <item x="288"/>
        <item x="200"/>
        <item x="303"/>
        <item x="345"/>
        <item x="339"/>
        <item x="103"/>
        <item x="312"/>
        <item x="299"/>
        <item x="361"/>
        <item x="87"/>
        <item x="259"/>
        <item x="48"/>
        <item x="78"/>
        <item x="342"/>
        <item x="232"/>
        <item x="334"/>
        <item x="222"/>
        <item x="71"/>
        <item x="324"/>
        <item x="271"/>
        <item x="128"/>
        <item x="279"/>
        <item x="75"/>
        <item x="344"/>
        <item x="227"/>
        <item x="174"/>
        <item x="322"/>
        <item x="88"/>
        <item x="209"/>
        <item x="244"/>
        <item x="96"/>
        <item x="348"/>
        <item x="108"/>
        <item x="308"/>
        <item x="260"/>
        <item x="49"/>
        <item x="530"/>
        <item x="267"/>
        <item x="138"/>
        <item x="170"/>
        <item x="367"/>
        <item x="121"/>
        <item x="248"/>
        <item x="157"/>
        <item x="219"/>
        <item x="188"/>
        <item x="327"/>
        <item x="112"/>
        <item x="286"/>
        <item x="62"/>
        <item x="254"/>
        <item x="359"/>
        <item x="67"/>
        <item x="102"/>
        <item x="315"/>
        <item x="352"/>
        <item x="234"/>
        <item x="357"/>
        <item x="116"/>
        <item x="347"/>
        <item x="73"/>
        <item x="104"/>
        <item x="378"/>
        <item x="163"/>
        <item x="272"/>
        <item x="199"/>
        <item x="384"/>
        <item x="147"/>
        <item x="50"/>
        <item x="257"/>
        <item x="99"/>
        <item x="311"/>
        <item x="190"/>
        <item x="297"/>
        <item x="326"/>
        <item x="114"/>
        <item x="314"/>
        <item x="354"/>
        <item x="79"/>
        <item x="127"/>
        <item x="360"/>
        <item x="63"/>
        <item x="329"/>
        <item x="107"/>
        <item x="350"/>
        <item x="282"/>
        <item x="237"/>
        <item x="385"/>
        <item x="205"/>
        <item x="319"/>
        <item x="120"/>
        <item x="183"/>
        <item x="211"/>
        <item x="277"/>
        <item x="290"/>
        <item x="221"/>
        <item x="155"/>
        <item x="301"/>
        <item x="178"/>
        <item x="323"/>
        <item x="374"/>
        <item x="141"/>
        <item x="364"/>
        <item x="306"/>
        <item x="337"/>
        <item x="51"/>
        <item x="94"/>
        <item x="371"/>
        <item x="89"/>
        <item x="264"/>
        <item x="159"/>
        <item x="173"/>
        <item x="215"/>
        <item x="136"/>
        <item x="156"/>
        <item x="270"/>
        <item x="253"/>
        <item x="226"/>
        <item x="152"/>
        <item x="531"/>
        <item x="137"/>
        <item x="358"/>
        <item x="235"/>
        <item x="52"/>
        <item x="213"/>
        <item x="142"/>
        <item x="346"/>
        <item x="223"/>
        <item x="90"/>
        <item x="168"/>
        <item x="386"/>
        <item x="381"/>
        <item x="333"/>
        <item x="161"/>
        <item x="192"/>
        <item x="340"/>
        <item x="101"/>
        <item x="356"/>
        <item x="176"/>
        <item x="305"/>
        <item x="263"/>
        <item x="145"/>
        <item x="368"/>
        <item x="95"/>
        <item x="317"/>
        <item x="353"/>
        <item x="118"/>
        <item x="196"/>
        <item x="217"/>
        <item x="171"/>
        <item x="366"/>
        <item x="231"/>
        <item x="76"/>
        <item x="131"/>
        <item x="229"/>
        <item x="201"/>
        <item x="64"/>
        <item x="532"/>
        <item x="241"/>
        <item x="281"/>
        <item x="284"/>
        <item x="182"/>
        <item x="274"/>
        <item x="373"/>
        <item x="258"/>
        <item x="207"/>
        <item x="310"/>
        <item x="194"/>
        <item x="91"/>
        <item x="218"/>
        <item x="283"/>
        <item x="119"/>
        <item x="208"/>
        <item x="65"/>
        <item x="92"/>
        <item x="302"/>
        <item x="338"/>
        <item x="376"/>
        <item x="276"/>
        <item x="330"/>
        <item x="154"/>
        <item x="181"/>
        <item x="351"/>
        <item x="135"/>
        <item x="233"/>
        <item x="225"/>
        <item x="53"/>
        <item x="204"/>
        <item x="186"/>
        <item x="132"/>
        <item x="251"/>
        <item x="379"/>
        <item x="158"/>
        <item x="335"/>
        <item x="40"/>
        <item x="177"/>
        <item x="140"/>
        <item x="295"/>
        <item x="151"/>
        <item x="198"/>
        <item x="268"/>
        <item x="124"/>
        <item x="383"/>
        <item x="167"/>
        <item x="113"/>
        <item x="369"/>
        <item x="214"/>
        <item x="162"/>
        <item x="146"/>
        <item x="100"/>
        <item x="189"/>
        <item x="139"/>
        <item x="210"/>
        <item x="298"/>
        <item x="109"/>
        <item x="320"/>
        <item x="42"/>
        <item x="180"/>
        <item x="220"/>
        <item x="184"/>
        <item x="380"/>
        <item x="287"/>
        <item x="193"/>
        <item x="80"/>
        <item x="123"/>
        <item x="143"/>
        <item x="172"/>
        <item x="363"/>
        <item x="266"/>
        <item x="160"/>
        <item x="202"/>
        <item x="216"/>
        <item x="129"/>
        <item x="273"/>
        <item x="175"/>
        <item x="249"/>
        <item x="93"/>
        <item x="149"/>
        <item x="313"/>
        <item x="187"/>
        <item x="343"/>
        <item x="245"/>
        <item x="206"/>
        <item x="165"/>
        <item x="256"/>
        <item x="292"/>
        <item x="349"/>
        <item x="336"/>
        <item x="133"/>
        <item x="239"/>
        <item x="228"/>
        <item x="197"/>
        <item x="328"/>
        <item x="126"/>
        <item x="169"/>
        <item x="224"/>
        <item x="130"/>
        <item x="0"/>
        <item x="1"/>
        <item x="2"/>
        <item x="3"/>
        <item x="4"/>
        <item x="5"/>
        <item x="6"/>
        <item x="7"/>
        <item x="8"/>
        <item x="9"/>
        <item x="10"/>
        <item x="11"/>
        <item x="12"/>
        <item x="13"/>
        <item x="14"/>
        <item x="15"/>
        <item x="16"/>
        <item x="17"/>
        <item x="331"/>
        <item x="144"/>
        <item x="18"/>
        <item x="19"/>
        <item x="20"/>
        <item x="21"/>
        <item x="22"/>
        <item x="23"/>
        <item x="24"/>
        <item x="25"/>
        <item x="26"/>
        <item x="27"/>
        <item x="28"/>
        <item x="29"/>
        <item x="30"/>
        <item x="31"/>
        <item x="32"/>
        <item x="33"/>
        <item x="34"/>
        <item x="35"/>
        <item x="36"/>
        <item x="37"/>
        <item x="38"/>
        <item x="242"/>
        <item x="153"/>
        <item x="355"/>
        <item x="134"/>
        <item x="185"/>
        <item x="203"/>
        <item x="382"/>
        <item x="125"/>
        <item x="262"/>
        <item x="195"/>
        <item x="150"/>
        <item x="389"/>
        <item x="390"/>
        <item x="391"/>
        <item x="392"/>
        <item x="393"/>
        <item x="394"/>
        <item x="395"/>
        <item x="396"/>
        <item x="397"/>
        <item x="398"/>
        <item x="399"/>
        <item x="400"/>
        <item x="401"/>
        <item x="402"/>
        <item x="403"/>
        <item x="404"/>
        <item x="405"/>
        <item x="406"/>
        <item x="407"/>
        <item x="408"/>
        <item x="409"/>
        <item x="410"/>
        <item x="411"/>
        <item x="412"/>
        <item x="413"/>
        <item x="414"/>
        <item x="166"/>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21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19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179"/>
        <item x="513"/>
        <item x="514"/>
        <item x="515"/>
        <item x="516"/>
        <item x="517"/>
        <item x="518"/>
        <item x="230"/>
        <item x="519"/>
        <item x="520"/>
        <item x="521"/>
        <item x="522"/>
        <item x="523"/>
        <item x="524"/>
        <item x="525"/>
        <item x="526"/>
        <item x="527"/>
        <item x="528"/>
        <item t="default"/>
      </items>
    </pivotField>
    <pivotField numFmtId="170" showAll="0">
      <items count="175">
        <item x="17"/>
        <item x="166"/>
        <item x="137"/>
        <item x="143"/>
        <item x="139"/>
        <item x="117"/>
        <item x="55"/>
        <item x="43"/>
        <item x="96"/>
        <item x="63"/>
        <item x="98"/>
        <item x="36"/>
        <item x="5"/>
        <item x="22"/>
        <item x="122"/>
        <item x="45"/>
        <item x="31"/>
        <item x="113"/>
        <item x="48"/>
        <item x="115"/>
        <item x="148"/>
        <item x="108"/>
        <item x="11"/>
        <item x="54"/>
        <item x="124"/>
        <item x="134"/>
        <item x="81"/>
        <item x="18"/>
        <item x="118"/>
        <item x="79"/>
        <item x="24"/>
        <item x="110"/>
        <item x="99"/>
        <item x="135"/>
        <item x="140"/>
        <item x="165"/>
        <item x="83"/>
        <item x="44"/>
        <item x="95"/>
        <item x="92"/>
        <item x="163"/>
        <item x="32"/>
        <item x="23"/>
        <item x="128"/>
        <item x="6"/>
        <item x="12"/>
        <item x="27"/>
        <item x="138"/>
        <item x="19"/>
        <item x="78"/>
        <item x="39"/>
        <item x="51"/>
        <item x="172"/>
        <item x="94"/>
        <item x="87"/>
        <item x="82"/>
        <item x="142"/>
        <item x="153"/>
        <item x="146"/>
        <item x="171"/>
        <item x="112"/>
        <item x="28"/>
        <item x="33"/>
        <item x="70"/>
        <item x="120"/>
        <item x="13"/>
        <item x="86"/>
        <item x="60"/>
        <item x="40"/>
        <item x="69"/>
        <item x="131"/>
        <item x="88"/>
        <item x="152"/>
        <item x="7"/>
        <item x="58"/>
        <item x="109"/>
        <item x="168"/>
        <item x="167"/>
        <item x="80"/>
        <item x="52"/>
        <item x="93"/>
        <item x="129"/>
        <item x="46"/>
        <item x="160"/>
        <item x="114"/>
        <item x="157"/>
        <item x="107"/>
        <item x="159"/>
        <item x="162"/>
        <item x="154"/>
        <item x="150"/>
        <item x="119"/>
        <item x="125"/>
        <item x="111"/>
        <item x="67"/>
        <item x="8"/>
        <item x="76"/>
        <item x="49"/>
        <item x="20"/>
        <item x="1"/>
        <item x="53"/>
        <item x="56"/>
        <item x="14"/>
        <item x="61"/>
        <item x="121"/>
        <item x="90"/>
        <item x="130"/>
        <item x="41"/>
        <item x="158"/>
        <item x="105"/>
        <item x="144"/>
        <item x="64"/>
        <item x="97"/>
        <item x="89"/>
        <item x="101"/>
        <item x="9"/>
        <item x="0"/>
        <item x="147"/>
        <item x="116"/>
        <item x="30"/>
        <item x="15"/>
        <item x="156"/>
        <item x="161"/>
        <item x="151"/>
        <item x="104"/>
        <item x="50"/>
        <item x="72"/>
        <item x="47"/>
        <item x="127"/>
        <item x="68"/>
        <item x="10"/>
        <item x="133"/>
        <item x="71"/>
        <item x="2"/>
        <item x="65"/>
        <item x="35"/>
        <item x="132"/>
        <item x="25"/>
        <item x="77"/>
        <item x="21"/>
        <item x="106"/>
        <item x="37"/>
        <item x="16"/>
        <item x="91"/>
        <item x="102"/>
        <item x="29"/>
        <item x="74"/>
        <item x="155"/>
        <item x="3"/>
        <item x="85"/>
        <item x="57"/>
        <item x="42"/>
        <item x="75"/>
        <item x="62"/>
        <item x="26"/>
        <item x="4"/>
        <item x="34"/>
        <item x="103"/>
        <item x="170"/>
        <item x="38"/>
        <item x="66"/>
        <item x="173"/>
        <item x="100"/>
        <item x="59"/>
        <item x="84"/>
        <item x="164"/>
        <item x="73"/>
        <item x="145"/>
        <item x="136"/>
        <item x="169"/>
        <item x="149"/>
        <item x="123"/>
        <item x="126"/>
        <item x="141"/>
        <item t="default"/>
      </items>
    </pivotField>
    <pivotField showAll="0"/>
    <pivotField showAll="0"/>
    <pivotField showAll="0"/>
    <pivotField showAll="0">
      <items count="4">
        <item x="2"/>
        <item h="1" x="1"/>
        <item h="1" x="0"/>
        <item t="default"/>
      </items>
    </pivotField>
    <pivotField showAll="0"/>
    <pivotField showAll="0"/>
    <pivotField showAll="0"/>
    <pivotField dataField="1" showAll="0"/>
    <pivotField showAll="0"/>
    <pivotField axis="axisRow"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items count="23">
        <item x="10"/>
        <item x="18"/>
        <item x="19"/>
        <item x="21"/>
        <item x="17"/>
        <item x="15"/>
        <item x="1"/>
        <item x="5"/>
        <item x="7"/>
        <item x="11"/>
        <item x="0"/>
        <item x="8"/>
        <item x="6"/>
        <item x="2"/>
        <item x="12"/>
        <item x="9"/>
        <item x="3"/>
        <item x="4"/>
        <item x="13"/>
        <item x="14"/>
        <item x="16"/>
        <item x="20"/>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5"/>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3">
    <i>
      <x/>
    </i>
    <i>
      <x v="1"/>
    </i>
    <i>
      <x v="2"/>
    </i>
  </colItems>
  <dataFields count="1">
    <dataField name="Sum of Interactions" fld="13" baseField="0" baseItem="0"/>
  </dataFields>
  <chartFormats count="4">
    <chartFormat chart="5" format="13" series="1">
      <pivotArea type="data" outline="0" fieldPosition="0">
        <references count="2">
          <reference field="4294967294" count="1" selected="0">
            <x v="0"/>
          </reference>
          <reference field="2" count="1" selected="0">
            <x v="0"/>
          </reference>
        </references>
      </pivotArea>
    </chartFormat>
    <chartFormat chart="5" format="14" series="1">
      <pivotArea type="data" outline="0" fieldPosition="0">
        <references count="2">
          <reference field="4294967294" count="1" selected="0">
            <x v="0"/>
          </reference>
          <reference field="2" count="1" selected="0">
            <x v="1"/>
          </reference>
        </references>
      </pivotArea>
    </chartFormat>
    <chartFormat chart="5" format="15" series="1">
      <pivotArea type="data" outline="0" fieldPosition="0">
        <references count="2">
          <reference field="4294967294" count="1" selected="0">
            <x v="0"/>
          </reference>
          <reference field="2" count="1" selected="0">
            <x v="2"/>
          </reference>
        </references>
      </pivotArea>
    </chartFormat>
    <chartFormat chart="5"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entimentdataset" connectionId="1" xr16:uid="{B7A45A3F-150E-4F4D-9E59-EB8E25963B0C}" autoFormatId="16" applyNumberFormats="0" applyBorderFormats="0" applyFontFormats="1" applyPatternFormats="1"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Sentiment1" xr10:uid="{50F63A4F-6EC9-B643-8B0B-64F3A71845B0}" sourceName="New Sentiment">
  <pivotTables>
    <pivotTable tabId="17" name="PivotTable7"/>
    <pivotTable tabId="17" name="PivotTable10"/>
    <pivotTable tabId="17" name="PivotTable2"/>
    <pivotTable tabId="17" name="PivotTable5"/>
    <pivotTable tabId="17" name="PivotTable6"/>
    <pivotTable tabId="17" name="PivotTable13"/>
  </pivotTables>
  <data>
    <tabular pivotCacheId="82490734">
      <items count="3">
        <i x="1" s="1"/>
        <i x="2"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AB3222AF-62F1-7444-9B4C-93DAC5B774E1}" sourceName="Hour">
  <pivotTables>
    <pivotTable tabId="17" name="PivotTable7"/>
    <pivotTable tabId="17" name="PivotTable10"/>
    <pivotTable tabId="17" name="PivotTable2"/>
    <pivotTable tabId="17" name="PivotTable5"/>
    <pivotTable tabId="17" name="PivotTable6"/>
    <pivotTable tabId="17" name="PivotTable8"/>
    <pivotTable tabId="17" name="PivotTable9"/>
    <pivotTable tabId="17" name="PivotTable13"/>
  </pivotTables>
  <data>
    <tabular pivotCacheId="82490734">
      <items count="22">
        <i x="10" s="1"/>
        <i x="18" s="1"/>
        <i x="19" s="1"/>
        <i x="21" s="1"/>
        <i x="17" s="1"/>
        <i x="15" s="1"/>
        <i x="1" s="1"/>
        <i x="5" s="1"/>
        <i x="7" s="1"/>
        <i x="11" s="1"/>
        <i x="0" s="1"/>
        <i x="8" s="1"/>
        <i x="6" s="1"/>
        <i x="2" s="1"/>
        <i x="12" s="1"/>
        <i x="9" s="1"/>
        <i x="3" s="1"/>
        <i x="4" s="1"/>
        <i x="13" s="1"/>
        <i x="14" s="1"/>
        <i x="16"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Country" xr10:uid="{29F09433-335D-404A-A08A-2790657EDB84}" sourceName="New Country">
  <pivotTables>
    <pivotTable tabId="17" name="PivotTable7"/>
    <pivotTable tabId="17" name="PivotTable10"/>
    <pivotTable tabId="17" name="PivotTable2"/>
    <pivotTable tabId="17" name="PivotTable5"/>
    <pivotTable tabId="17" name="PivotTable6"/>
    <pivotTable tabId="17" name="PivotTable8"/>
    <pivotTable tabId="17" name="PivotTable9"/>
    <pivotTable tabId="17" name="PivotTable13"/>
  </pivotTables>
  <data>
    <tabular pivotCacheId="82490734">
      <items count="33">
        <i x="3" s="1"/>
        <i x="17" s="1"/>
        <i x="18" s="1"/>
        <i x="6" s="1"/>
        <i x="25" s="1"/>
        <i x="1" s="1"/>
        <i x="24" s="1"/>
        <i x="27" s="1"/>
        <i x="20" s="1"/>
        <i x="19" s="1"/>
        <i x="5" s="1"/>
        <i x="9" s="1"/>
        <i x="8" s="1"/>
        <i x="4" s="1"/>
        <i x="28" s="1"/>
        <i x="11" s="1"/>
        <i x="29" s="1"/>
        <i x="7" s="1"/>
        <i x="21" s="1"/>
        <i x="30" s="1"/>
        <i x="23" s="1"/>
        <i x="12" s="1"/>
        <i x="26" s="1"/>
        <i x="22" s="1"/>
        <i x="15" s="1"/>
        <i x="31" s="1"/>
        <i x="13" s="1"/>
        <i x="14" s="1"/>
        <i x="10" s="1"/>
        <i x="16" s="1"/>
        <i x="32" s="1"/>
        <i x="2"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Platform1" xr10:uid="{A6EEB8A2-527A-C34B-A4EE-8C17C26A6E37}" sourceName="NEW Platform">
  <pivotTables>
    <pivotTable tabId="17" name="PivotTable7"/>
  </pivotTables>
  <data>
    <tabular pivotCacheId="82490734">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Platform" xr10:uid="{8C03E53A-EB56-964B-BDB8-562D6CD8CC75}" sourceName="NEW Platform">
  <data>
    <tabular pivotCacheId="82490734">
      <items count="3">
        <i x="2" s="1"/>
        <i x="1"/>
        <i x="0"/>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5A4BEBB-8824-D647-8CD5-5714E75C92F9}" sourceName="Date">
  <pivotTables>
    <pivotTable tabId="17" name="PivotTable2"/>
  </pivotTables>
  <data>
    <tabular pivotCacheId="82490734">
      <items count="533">
        <i x="39" s="1"/>
        <i x="54" s="1"/>
        <i x="81" s="1"/>
        <i x="41" s="1"/>
        <i x="82" s="1"/>
        <i x="77" s="1"/>
        <i x="55" s="1"/>
        <i x="66" s="1"/>
        <i x="56" s="1"/>
        <i x="83" s="1"/>
        <i x="43" s="1"/>
        <i x="44" s="1"/>
        <i x="70" s="1"/>
        <i x="84" s="1"/>
        <i x="57" s="1"/>
        <i x="72" s="1"/>
        <i x="85" s="1"/>
        <i x="58" s="1"/>
        <i x="45" s="1"/>
        <i x="289" s="1"/>
        <i x="365" s="1"/>
        <i x="46" s="1"/>
        <i x="280" s="1"/>
        <i x="265" s="1"/>
        <i x="68" s="1"/>
        <i x="372" s="1"/>
        <i x="106" s="1"/>
        <i x="255" s="1"/>
        <i x="388" s="1"/>
        <i x="243" s="1"/>
        <i x="294" s="1"/>
        <i x="86" s="1"/>
        <i x="59" s="1"/>
        <i x="60" s="1"/>
        <i x="47" s="1"/>
        <i x="362" s="1"/>
        <i x="261" s="1"/>
        <i x="105" s="1"/>
        <i x="370" s="1"/>
        <i x="252" s="1"/>
        <i x="285" s="1"/>
        <i x="321" s="1"/>
        <i x="300" s="1"/>
        <i x="117" s="1"/>
        <i x="240" s="1"/>
        <i x="296" s="1"/>
        <i x="69" s="1"/>
        <i x="377" s="1"/>
        <i x="236" s="1"/>
        <i x="341" s="1"/>
        <i x="529" s="1"/>
        <i x="325" s="1"/>
        <i x="387" s="1"/>
        <i x="98" s="1"/>
        <i x="316" s="1"/>
        <i x="247" s="1"/>
        <i x="269" s="1"/>
        <i x="291" s="1"/>
        <i x="111" s="1"/>
        <i x="278" s="1"/>
        <i x="332" s="1"/>
        <i x="304" s="1"/>
        <i x="309" s="1"/>
        <i x="74" s="1"/>
        <i x="122" s="1"/>
        <i x="246" s="1"/>
        <i x="97" s="1"/>
        <i x="293" s="1"/>
        <i x="115" s="1"/>
        <i x="307" s="1"/>
        <i x="110" s="1"/>
        <i x="238" s="1"/>
        <i x="318" s="1"/>
        <i x="61" s="1"/>
        <i x="375" s="1"/>
        <i x="164" s="1"/>
        <i x="275" s="1"/>
        <i x="250" s="1"/>
        <i x="148" s="1"/>
        <i x="288" s="1"/>
        <i x="200" s="1"/>
        <i x="303" s="1"/>
        <i x="345" s="1"/>
        <i x="339" s="1"/>
        <i x="103" s="1"/>
        <i x="312" s="1"/>
        <i x="299" s="1"/>
        <i x="361" s="1"/>
        <i x="87" s="1"/>
        <i x="259" s="1"/>
        <i x="48" s="1"/>
        <i x="78" s="1"/>
        <i x="342" s="1"/>
        <i x="232" s="1"/>
        <i x="334" s="1"/>
        <i x="222" s="1"/>
        <i x="71" s="1"/>
        <i x="324" s="1"/>
        <i x="271" s="1"/>
        <i x="128" s="1"/>
        <i x="279" s="1"/>
        <i x="75" s="1"/>
        <i x="344" s="1"/>
        <i x="227" s="1"/>
        <i x="174" s="1"/>
        <i x="322" s="1"/>
        <i x="88" s="1"/>
        <i x="209" s="1"/>
        <i x="244" s="1"/>
        <i x="96" s="1"/>
        <i x="348" s="1"/>
        <i x="108" s="1"/>
        <i x="308" s="1"/>
        <i x="260" s="1"/>
        <i x="49" s="1"/>
        <i x="530" s="1"/>
        <i x="267" s="1"/>
        <i x="138" s="1"/>
        <i x="170" s="1"/>
        <i x="367" s="1"/>
        <i x="121" s="1"/>
        <i x="248" s="1"/>
        <i x="157" s="1"/>
        <i x="219" s="1"/>
        <i x="188" s="1"/>
        <i x="327" s="1"/>
        <i x="112" s="1"/>
        <i x="286" s="1"/>
        <i x="62" s="1"/>
        <i x="254" s="1"/>
        <i x="359" s="1"/>
        <i x="67" s="1"/>
        <i x="102" s="1"/>
        <i x="315" s="1"/>
        <i x="352" s="1"/>
        <i x="234" s="1"/>
        <i x="357" s="1"/>
        <i x="116" s="1"/>
        <i x="347" s="1"/>
        <i x="73" s="1"/>
        <i x="104" s="1"/>
        <i x="378" s="1"/>
        <i x="163" s="1"/>
        <i x="272" s="1"/>
        <i x="199" s="1"/>
        <i x="384" s="1"/>
        <i x="147" s="1"/>
        <i x="50" s="1"/>
        <i x="257" s="1"/>
        <i x="99" s="1"/>
        <i x="311" s="1"/>
        <i x="190" s="1"/>
        <i x="297" s="1"/>
        <i x="326" s="1"/>
        <i x="114" s="1"/>
        <i x="314" s="1"/>
        <i x="354" s="1"/>
        <i x="79" s="1"/>
        <i x="127" s="1"/>
        <i x="360" s="1"/>
        <i x="63" s="1"/>
        <i x="329" s="1"/>
        <i x="107" s="1"/>
        <i x="350" s="1"/>
        <i x="282" s="1"/>
        <i x="237" s="1"/>
        <i x="385" s="1"/>
        <i x="205" s="1"/>
        <i x="319" s="1"/>
        <i x="120" s="1"/>
        <i x="183" s="1"/>
        <i x="211" s="1"/>
        <i x="277" s="1"/>
        <i x="290" s="1"/>
        <i x="221" s="1"/>
        <i x="155" s="1"/>
        <i x="301" s="1"/>
        <i x="178" s="1"/>
        <i x="323" s="1"/>
        <i x="374" s="1"/>
        <i x="141" s="1"/>
        <i x="364" s="1"/>
        <i x="306" s="1"/>
        <i x="337" s="1"/>
        <i x="51" s="1"/>
        <i x="94" s="1"/>
        <i x="371" s="1"/>
        <i x="89" s="1"/>
        <i x="264" s="1"/>
        <i x="159" s="1"/>
        <i x="173" s="1"/>
        <i x="215" s="1"/>
        <i x="136" s="1"/>
        <i x="156" s="1"/>
        <i x="270" s="1"/>
        <i x="253" s="1"/>
        <i x="226" s="1"/>
        <i x="152" s="1"/>
        <i x="531" s="1"/>
        <i x="137" s="1"/>
        <i x="358" s="1"/>
        <i x="235" s="1"/>
        <i x="52" s="1"/>
        <i x="213" s="1"/>
        <i x="142" s="1"/>
        <i x="346" s="1"/>
        <i x="223" s="1"/>
        <i x="90" s="1"/>
        <i x="168" s="1"/>
        <i x="386" s="1"/>
        <i x="381" s="1"/>
        <i x="333" s="1"/>
        <i x="161" s="1"/>
        <i x="192" s="1"/>
        <i x="340" s="1"/>
        <i x="101" s="1"/>
        <i x="356" s="1"/>
        <i x="176" s="1"/>
        <i x="305" s="1"/>
        <i x="263" s="1"/>
        <i x="145" s="1"/>
        <i x="368" s="1"/>
        <i x="95" s="1"/>
        <i x="317" s="1"/>
        <i x="353" s="1"/>
        <i x="118" s="1"/>
        <i x="196" s="1"/>
        <i x="217" s="1"/>
        <i x="171" s="1"/>
        <i x="366" s="1"/>
        <i x="231" s="1"/>
        <i x="76" s="1"/>
        <i x="131" s="1"/>
        <i x="229" s="1"/>
        <i x="201" s="1"/>
        <i x="64" s="1"/>
        <i x="532" s="1"/>
        <i x="241" s="1"/>
        <i x="281" s="1"/>
        <i x="284" s="1"/>
        <i x="182" s="1"/>
        <i x="274" s="1"/>
        <i x="373" s="1"/>
        <i x="258" s="1"/>
        <i x="207" s="1"/>
        <i x="310" s="1"/>
        <i x="194" s="1"/>
        <i x="91" s="1"/>
        <i x="218" s="1"/>
        <i x="283" s="1"/>
        <i x="119" s="1"/>
        <i x="208" s="1"/>
        <i x="65" s="1"/>
        <i x="92" s="1"/>
        <i x="302" s="1"/>
        <i x="338" s="1"/>
        <i x="376" s="1"/>
        <i x="276" s="1"/>
        <i x="330" s="1"/>
        <i x="154" s="1"/>
        <i x="181" s="1"/>
        <i x="351" s="1"/>
        <i x="135" s="1"/>
        <i x="233" s="1"/>
        <i x="225" s="1"/>
        <i x="53" s="1"/>
        <i x="204" s="1"/>
        <i x="186" s="1"/>
        <i x="132" s="1"/>
        <i x="251" s="1"/>
        <i x="379" s="1"/>
        <i x="158" s="1"/>
        <i x="335" s="1"/>
        <i x="40" s="1"/>
        <i x="177" s="1"/>
        <i x="140" s="1"/>
        <i x="295" s="1"/>
        <i x="151" s="1"/>
        <i x="198" s="1"/>
        <i x="268" s="1"/>
        <i x="124" s="1"/>
        <i x="383" s="1"/>
        <i x="167" s="1"/>
        <i x="113" s="1"/>
        <i x="369" s="1"/>
        <i x="214" s="1"/>
        <i x="162" s="1"/>
        <i x="146" s="1"/>
        <i x="100" s="1"/>
        <i x="189" s="1"/>
        <i x="139" s="1"/>
        <i x="210" s="1"/>
        <i x="298" s="1"/>
        <i x="109" s="1"/>
        <i x="320" s="1"/>
        <i x="42" s="1"/>
        <i x="180" s="1"/>
        <i x="220" s="1"/>
        <i x="184" s="1"/>
        <i x="380" s="1"/>
        <i x="287" s="1"/>
        <i x="193" s="1"/>
        <i x="80" s="1"/>
        <i x="123" s="1"/>
        <i x="143" s="1"/>
        <i x="172" s="1"/>
        <i x="363" s="1"/>
        <i x="266" s="1"/>
        <i x="160" s="1"/>
        <i x="202" s="1"/>
        <i x="216" s="1"/>
        <i x="129" s="1"/>
        <i x="273" s="1"/>
        <i x="175" s="1"/>
        <i x="249" s="1"/>
        <i x="93" s="1"/>
        <i x="149" s="1"/>
        <i x="313" s="1"/>
        <i x="187" s="1"/>
        <i x="343" s="1"/>
        <i x="245" s="1"/>
        <i x="206" s="1"/>
        <i x="165" s="1"/>
        <i x="256" s="1"/>
        <i x="292" s="1"/>
        <i x="349" s="1"/>
        <i x="336" s="1"/>
        <i x="133" s="1"/>
        <i x="239" s="1"/>
        <i x="228" s="1"/>
        <i x="197" s="1"/>
        <i x="328" s="1"/>
        <i x="126" s="1"/>
        <i x="169" s="1"/>
        <i x="224" s="1"/>
        <i x="130" s="1"/>
        <i x="0" s="1"/>
        <i x="1" s="1"/>
        <i x="2" s="1"/>
        <i x="3" s="1"/>
        <i x="4" s="1"/>
        <i x="5" s="1"/>
        <i x="6" s="1"/>
        <i x="7" s="1"/>
        <i x="8" s="1"/>
        <i x="9" s="1"/>
        <i x="10" s="1"/>
        <i x="11" s="1"/>
        <i x="12" s="1"/>
        <i x="13" s="1"/>
        <i x="14" s="1"/>
        <i x="15" s="1"/>
        <i x="16" s="1"/>
        <i x="17" s="1"/>
        <i x="331" s="1"/>
        <i x="144" s="1"/>
        <i x="18" s="1"/>
        <i x="19" s="1"/>
        <i x="20" s="1"/>
        <i x="21" s="1"/>
        <i x="22" s="1"/>
        <i x="23" s="1"/>
        <i x="24" s="1"/>
        <i x="25" s="1"/>
        <i x="26" s="1"/>
        <i x="27" s="1"/>
        <i x="28" s="1"/>
        <i x="29" s="1"/>
        <i x="30" s="1"/>
        <i x="31" s="1"/>
        <i x="32" s="1"/>
        <i x="33" s="1"/>
        <i x="34" s="1"/>
        <i x="35" s="1"/>
        <i x="36" s="1"/>
        <i x="37" s="1"/>
        <i x="38" s="1"/>
        <i x="242" s="1"/>
        <i x="153" s="1"/>
        <i x="355" s="1"/>
        <i x="134" s="1"/>
        <i x="185" s="1"/>
        <i x="203" s="1"/>
        <i x="382" s="1"/>
        <i x="125" s="1"/>
        <i x="262" s="1"/>
        <i x="195" s="1"/>
        <i x="150" s="1"/>
        <i x="389" s="1"/>
        <i x="390" s="1"/>
        <i x="391" s="1"/>
        <i x="392" s="1"/>
        <i x="393" s="1"/>
        <i x="394" s="1"/>
        <i x="395" s="1"/>
        <i x="396" s="1"/>
        <i x="397" s="1"/>
        <i x="398" s="1"/>
        <i x="399" s="1"/>
        <i x="400" s="1"/>
        <i x="401" s="1"/>
        <i x="402" s="1"/>
        <i x="403" s="1"/>
        <i x="404" s="1"/>
        <i x="405" s="1"/>
        <i x="406" s="1"/>
        <i x="407" s="1"/>
        <i x="408" s="1"/>
        <i x="409" s="1"/>
        <i x="410" s="1"/>
        <i x="411" s="1"/>
        <i x="412" s="1"/>
        <i x="413" s="1"/>
        <i x="414" s="1"/>
        <i x="166"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21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19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179" s="1"/>
        <i x="513" s="1"/>
        <i x="514" s="1"/>
        <i x="515" s="1"/>
        <i x="516" s="1"/>
        <i x="517" s="1"/>
        <i x="518" s="1"/>
        <i x="230" s="1"/>
        <i x="519" s="1"/>
        <i x="520" s="1"/>
        <i x="521" s="1"/>
        <i x="522" s="1"/>
        <i x="523" s="1"/>
        <i x="524" s="1"/>
        <i x="525" s="1"/>
        <i x="526" s="1"/>
        <i x="527" s="1"/>
        <i x="52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ew Sentiment 2" xr10:uid="{9FB08149-FEE8-2446-908F-A5B790CB8BDE}" cache="Slicer_New_Sentiment1" caption="New Sentiment" rowHeight="251883"/>
  <slicer name="New Sentiment" xr10:uid="{CC223066-C526-4F48-8105-4D8B26B88CB1}" cache="Slicer_New_Sentiment1" caption="New Sentiment" rowHeight="251883"/>
  <slicer name="Hour" xr10:uid="{F77D7506-4EB1-4344-80B4-AC847C9AFAEB}" cache="Slicer_Hour" caption="Hour" rowHeight="251883"/>
  <slicer name="New Country" xr10:uid="{4F86FC4B-629D-8746-BAD0-C304E379569A}" cache="Slicer_New_Country" caption="New Country" rowHeight="251883"/>
  <slicer name="NEW Platform 2" xr10:uid="{AEC0B862-96CA-1144-AAC8-D41536D3FC82}" cache="Slicer_NEW_Platform1" caption="NEW Platform" rowHeight="251883"/>
  <slicer name="NEW Platform" xr10:uid="{C09F503F-5AE3-594D-A44A-B25A7ADCCB94}" cache="Slicer_NEW_Platform" caption="NEW Platform" rowHeight="251883"/>
  <slicer name="Date" xr10:uid="{5048EF14-21EA-3A4D-B4F9-DDAA1BC0A91C}" cache="Slicer_Date" caption="Dat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ew Sentiment 1" xr10:uid="{3885730E-4E48-3741-9511-8FAEBE580820}" cache="Slicer_New_Sentiment1" caption="SENTIMENT" style="SlicerStyleLight6" rowHeight="251883"/>
  <slicer name="Hour 1" xr10:uid="{9C0A8F58-7F60-B347-A909-159FB8A07F75}" cache="Slicer_Hour" caption="HOUR" style="SlicerStyleLight6" rowHeight="251883"/>
  <slicer name="New Country 1" xr10:uid="{8F7B22FC-BAE7-534B-9757-D32D2B9669C1}" cache="Slicer_New_Country" caption="COUNTRY" style="SlicerStyleLight6" rowHeight="251883"/>
  <slicer name="NEW Platform 1" xr10:uid="{295467FC-FB17-2A4B-92FC-56DA1B424F37}" cache="Slicer_NEW_Platform" caption="PLATFORM" style="SlicerStyleLight6" rowHeight="251883"/>
  <slicer name="Date 1" xr10:uid="{BCBA4D05-FABC-FF4D-8730-465788900043}" cache="Slicer_Date" caption="DATE" style="SlicerStyleLight6"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9AFE3-DF3C-0C45-B772-5759CC5D7547}">
  <sheetPr codeName="Sheet1"/>
  <dimension ref="A1:Y733"/>
  <sheetViews>
    <sheetView topLeftCell="G1" zoomScale="75" zoomScaleNormal="67" workbookViewId="0">
      <selection activeCell="AG31" sqref="AG31"/>
    </sheetView>
  </sheetViews>
  <sheetFormatPr baseColWidth="10" defaultRowHeight="16" x14ac:dyDescent="0.2"/>
  <cols>
    <col min="1" max="1" width="9.6640625" customWidth="1"/>
    <col min="2" max="2" width="11.33203125" customWidth="1"/>
    <col min="3" max="3" width="12.33203125" customWidth="1"/>
    <col min="4" max="4" width="15.1640625" style="5" customWidth="1"/>
    <col min="5" max="5" width="18.6640625" customWidth="1"/>
    <col min="6" max="6" width="15.33203125" customWidth="1"/>
    <col min="7" max="8" width="15.33203125" style="16" customWidth="1"/>
    <col min="9" max="9" width="11.1640625" customWidth="1"/>
    <col min="10" max="10" width="9.83203125" bestFit="1" customWidth="1"/>
    <col min="11" max="11" width="13.1640625" customWidth="1"/>
    <col min="12" max="12" width="16.6640625" customWidth="1"/>
    <col min="13" max="13" width="8.83203125" bestFit="1" customWidth="1"/>
    <col min="14" max="14" width="5.1640625" bestFit="1" customWidth="1"/>
    <col min="15" max="15" width="9.83203125" customWidth="1"/>
    <col min="16" max="16" width="14.83203125" bestFit="1" customWidth="1"/>
    <col min="17" max="17" width="14.83203125" customWidth="1"/>
    <col min="18" max="18" width="5.1640625" bestFit="1" customWidth="1"/>
    <col min="19" max="19" width="6.33203125" bestFit="1" customWidth="1"/>
    <col min="20" max="20" width="4.33203125" bestFit="1" customWidth="1"/>
    <col min="21" max="21" width="5.1640625" bestFit="1" customWidth="1"/>
    <col min="22" max="22" width="5.1640625" customWidth="1"/>
    <col min="23" max="23" width="29" customWidth="1"/>
    <col min="24" max="24" width="21.33203125" customWidth="1"/>
    <col min="25" max="25" width="12.5" customWidth="1"/>
    <col min="26" max="26" width="10.5" bestFit="1" customWidth="1"/>
    <col min="27" max="136" width="16" bestFit="1" customWidth="1"/>
    <col min="137" max="137" width="10.5" bestFit="1" customWidth="1"/>
  </cols>
  <sheetData>
    <row r="1" spans="1:25" x14ac:dyDescent="0.2">
      <c r="A1" t="s">
        <v>0</v>
      </c>
      <c r="B1" t="s">
        <v>1</v>
      </c>
      <c r="C1" s="11" t="s">
        <v>2512</v>
      </c>
      <c r="D1" s="17" t="s">
        <v>2578</v>
      </c>
      <c r="E1" t="s">
        <v>2</v>
      </c>
      <c r="F1" s="11" t="s">
        <v>2510</v>
      </c>
      <c r="G1" s="14" t="s">
        <v>2511</v>
      </c>
      <c r="H1" s="14" t="s">
        <v>2549</v>
      </c>
      <c r="I1" t="s">
        <v>3</v>
      </c>
      <c r="J1" t="s">
        <v>4</v>
      </c>
      <c r="K1" s="11" t="s">
        <v>2573</v>
      </c>
      <c r="L1" t="s">
        <v>5</v>
      </c>
      <c r="M1" t="s">
        <v>6</v>
      </c>
      <c r="N1" t="s">
        <v>7</v>
      </c>
      <c r="O1" s="11" t="s">
        <v>2507</v>
      </c>
      <c r="P1" t="s">
        <v>8</v>
      </c>
      <c r="Q1" s="11" t="s">
        <v>2519</v>
      </c>
      <c r="R1" t="s">
        <v>9</v>
      </c>
      <c r="S1" t="s">
        <v>10</v>
      </c>
      <c r="T1" t="s">
        <v>11</v>
      </c>
      <c r="U1" t="s">
        <v>12</v>
      </c>
      <c r="Y1" s="19" t="s">
        <v>2580</v>
      </c>
    </row>
    <row r="2" spans="1:25" ht="18" x14ac:dyDescent="0.25">
      <c r="A2" t="s">
        <v>13</v>
      </c>
      <c r="B2" t="s">
        <v>14</v>
      </c>
      <c r="C2" s="12" t="str">
        <f>IF(OR(ISNUMBER(SEARCH("happ",B2)),ISNUMBER(SEARCH("joy",B2)),ISNUMBER(SEARCH("love",B2)),ISNUMBER(SEARCH("amuse",B2)),ISNUMBER(SEARCH("enjoy",B2)),ISNUMBER(SEARCH("admire",B2)),ISNUMBER(SEARCH("affection",B2)),ISNUMBER(SEARCH("awe",B2)),ISNUMBER(SEARCH("accept",B2)),ISNUMBER(SEARCH("ador",B2)),ISNUMBER(SEARCH("calm",B2)),ISNUMBER(SEARCH("excit",B2)),ISNUMBER(SEARCH("kind",B2)),ISNUMBER(SEARCH("pride",B2)),ISNUMBER(SEARCH("elat",B2)),ISNUMBER(SEARCH("euphor",B2)),ISNUMBER(SEARCH("content",B2)),ISNUMBER(SEARCH("seren",B2)),ISNUMBER(SEARCH("grat",B2)),ISNUMBER(SEARCH("hope",B2)),ISNUMBER(SEARCH("empower",B2)),ISNUMBER(SEARCH("compass",B2)),ISNUMBER(SEARCH("tender",B2)),ISNUMBER(SEARCH("enthus",B2)),ISNUMBER(SEARCH("fulfill",B2)),ISNUMBER(SEARCH("rever",B2)),ISNUMBER(SEARCH("zest",B2)),ISNUMBER(SEARCH("play",B2)),ISNUMBER(SEARCH("inspir",B2)),ISNUMBER(SEARCH("confid",B2)),ISNUMBER(SEARCH("determin",B2)),ISNUMBER(SEARCH("thrill",B2)),ISNUMBER(SEARCH("overjoy",B2)),ISNUMBER(SEARCH("motiv",B2)),ISNUMBER(SEARCH("satisf",B2)),ISNUMBER(SEARCH("bless",B2)),ISNUMBER(SEARCH("appreci",B2)),ISNUMBER(SEARCH("accomplish",B2)),ISNUMBER(SEARCH("wonder",B2)),ISNUMBER(SEARCH("optim",B2)),ISNUMBER(SEARCH("enchant",B2)),ISNUMBER(SEARCH("intrigu",B2)),ISNUMBER(SEARCH("mindful",B2)),ISNUMBER(SEARCH("eleg",B2)),ISNUMBER(SEARCH("whims",B2)),ISNUMBER(SEARCH("harmon",B2)),ISNUMBER(SEARCH("creativ",B2)),ISNUMBER(SEARCH("radian",B2)),ISNUMBER(SEARCH("rejuven",B2)),ISNUMBER(SEARCH("cozy",B2)),ISNUMBER(SEARCH("adventur",B2)),ISNUMBER(SEARCH("melod",B2)),ISNUMBER(SEARCH("festiv",B2)),ISNUMBER(SEARCH("free",B2)),ISNUMBER(SEARCH("dazzl",B2)),ISNUMBER(SEARCH("adrenal",B2)),ISNUMBER(SEARCH("artistic",B2)),ISNUMBER(SEARCH("resil",B2)),ISNUMBER(SEARCH("immers",B2)),ISNUMBER(SEARCH("spark",B2)),ISNUMBER(SEARCH("marvel",B2)),ISNUMBER(SEARCH("friend",B2)),ISNUMBER(SEARCH("success",B2)),ISNUMBER(SEARCH("explor",B2)),ISNUMBER(SEARCH("amaz",B2)),ISNUMBER(SEARCH("romanc",B2)),ISNUMBER(SEARCH("captiv",B2)),ISNUMBER(SEARCH("tranquil",B2)),ISNUMBER(SEARCH("grand",B2)),ISNUMBER(SEARCH("energ",B2)),ISNUMBER(SEARCH("celebr",B2)),ISNUMBER(SEARCH("charm",B2)),ISNUMBER(SEARCH("ecstasy",B2)),ISNUMBER(SEARCH("color",B2)),ISNUMBER(SEARCH("hypnot",B2)),ISNUMBER(SEARCH("connect",B2)),ISNUMBER(SEARCH("icon",B2)),ISNUMBER(SEARCH("engag",B2)),ISNUMBER(SEARCH("triumph",B2)),ISNUMBER(SEARCH("heartwarm",B2)),ISNUMBER(SEARCH("solac",B2)),ISNUMBER(SEARCH("breakthrough",B2)),ISNUMBER(SEARCH("imagin",B2)),ISNUMBER(SEARCH("vibran",B2)),ISNUMBER(SEARCH("mesmer",B2)),ISNUMBER(SEARCH("winter magic",B2)),ISNUMBER(SEARCH("nature",B2)),ISNUMBER(SEARCH("celestial",B2)),ISNUMBER(SEARCH("positive",B2)),ISNUMBER(SEARCH("arous",B2))),"Positive",IF(OR(ISNUMBER(SEARCH("anger",B2)),ISNUMBER(SEARCH("fear",B2)),ISNUMBER(SEARCH("sad",B2)),ISNUMBER(SEARCH("disgust",B2)),ISNUMBER(SEARCH("disappoint",B2)),ISNUMBER(SEARCH("bitter",B2)),ISNUMBER(SEARCH("shame",B2)),ISNUMBER(SEARCH("despair",B2)),ISNUMBER(SEARCH("grief",B2)),ISNUMBER(SEARCH("lonel",B2)),ISNUMBER(SEARCH("jealous",B2)),ISNUMBER(SEARCH("resent",B2)),ISNUMBER(SEARCH("frustrat",B2)),ISNUMBER(SEARCH("bored",B2)),ISNUMBER(SEARCH("anxi",B2)),ISNUMBER(SEARCH("intimid",B2)),ISNUMBER(SEARCH("helpless",B2)),ISNUMBER(SEARCH("envy",B2)),ISNUMBER(SEARCH("regret",B2)),ISNUMBER(SEARCH("melanchol",B2)),ISNUMBER(SEARCH("yearn",B2)),ISNUMBER(SEARCH("apprehens",B2)),ISNUMBER(SEARCH("overwhelm",B2)),ISNUMBER(SEARCH("devastat",B2)),ISNUMBER(SEARCH("dismiss",B2)),ISNUMBER(SEARCH("heartbreak",B2)),ISNUMBER(SEARCH("betray",B2)),ISNUMBER(SEARCH("suffer",B2)),ISNUMBER(SEARCH("isolat",B2)),ISNUMBER(SEARCH("lost",B2)),ISNUMBER(SEARCH("exhaust",B2)),ISNUMBER(SEARCH("sorrow",B2)),ISNUMBER(SEARCH("darkness",B2)),ISNUMBER(SEARCH("desperat",B2)),ISNUMBER(SEARCH("ruins",B2)),ISNUMBER(SEARCH("desolat",B2)),ISNUMBER(SEARCH("heartache",B2)),ISNUMBER(SEARCH("solitude",B2)),ISNUMBER(SEARCH("obstacle",B2)),ISNUMBER(SEARCH("pressure",B2)),ISNUMBER(SEARCH("miscalcul",B2)),ISNUMBER(SEARCH("challenge",B2)),ISNUMBER(SEARCH("embarrass",B2)),ISNUMBER(SEARCH("hate",B2)),ISNUMBER(SEARCH("bad",B2)),ISNUMBER(SEARCH("negative",B2))),"Negative","Neutral"))</f>
        <v>Positive</v>
      </c>
      <c r="D2" s="18">
        <f>IF(C2="Positive", 1, IF(C2="Negative", -1, 0))</f>
        <v>1</v>
      </c>
      <c r="E2" s="1">
        <v>44941.520833333336</v>
      </c>
      <c r="F2" s="10">
        <f>INT(E2)</f>
        <v>44941</v>
      </c>
      <c r="G2" s="15">
        <f>MOD(E2,2)</f>
        <v>1.5208333333357587</v>
      </c>
      <c r="H2" s="15" t="str">
        <f>TEXT(G2, "hh:mm")</f>
        <v>12:30</v>
      </c>
      <c r="I2" t="s">
        <v>15</v>
      </c>
      <c r="J2" t="s">
        <v>16</v>
      </c>
      <c r="K2" t="str">
        <f>TRIM(CLEAN(J2))</f>
        <v>Twitter</v>
      </c>
      <c r="L2" t="s">
        <v>17</v>
      </c>
      <c r="M2">
        <v>15</v>
      </c>
      <c r="N2">
        <v>30</v>
      </c>
      <c r="O2">
        <f>M2+N2</f>
        <v>45</v>
      </c>
      <c r="P2" t="s">
        <v>18</v>
      </c>
      <c r="Q2" t="str">
        <f>TRIM(CLEAN(P2))</f>
        <v>USA</v>
      </c>
      <c r="R2">
        <v>2023</v>
      </c>
      <c r="S2">
        <v>1</v>
      </c>
      <c r="T2">
        <v>15</v>
      </c>
      <c r="U2">
        <v>12</v>
      </c>
      <c r="Y2" s="4">
        <f>HOUR(H2)</f>
        <v>12</v>
      </c>
    </row>
    <row r="3" spans="1:25" ht="18" x14ac:dyDescent="0.25">
      <c r="A3" t="s">
        <v>19</v>
      </c>
      <c r="B3" t="s">
        <v>20</v>
      </c>
      <c r="C3" s="12" t="str">
        <f t="shared" ref="C3:C66" si="0">IF(OR(ISNUMBER(SEARCH("happ",B3)),ISNUMBER(SEARCH("joy",B3)),ISNUMBER(SEARCH("love",B3)),ISNUMBER(SEARCH("amuse",B3)),ISNUMBER(SEARCH("enjoy",B3)),ISNUMBER(SEARCH("admire",B3)),ISNUMBER(SEARCH("affection",B3)),ISNUMBER(SEARCH("awe",B3)),ISNUMBER(SEARCH("accept",B3)),ISNUMBER(SEARCH("ador",B3)),ISNUMBER(SEARCH("calm",B3)),ISNUMBER(SEARCH("excit",B3)),ISNUMBER(SEARCH("kind",B3)),ISNUMBER(SEARCH("pride",B3)),ISNUMBER(SEARCH("elat",B3)),ISNUMBER(SEARCH("euphor",B3)),ISNUMBER(SEARCH("content",B3)),ISNUMBER(SEARCH("seren",B3)),ISNUMBER(SEARCH("grat",B3)),ISNUMBER(SEARCH("hope",B3)),ISNUMBER(SEARCH("empower",B3)),ISNUMBER(SEARCH("compass",B3)),ISNUMBER(SEARCH("tender",B3)),ISNUMBER(SEARCH("enthus",B3)),ISNUMBER(SEARCH("fulfill",B3)),ISNUMBER(SEARCH("rever",B3)),ISNUMBER(SEARCH("zest",B3)),ISNUMBER(SEARCH("play",B3)),ISNUMBER(SEARCH("inspir",B3)),ISNUMBER(SEARCH("confid",B3)),ISNUMBER(SEARCH("determin",B3)),ISNUMBER(SEARCH("thrill",B3)),ISNUMBER(SEARCH("overjoy",B3)),ISNUMBER(SEARCH("motiv",B3)),ISNUMBER(SEARCH("satisf",B3)),ISNUMBER(SEARCH("bless",B3)),ISNUMBER(SEARCH("appreci",B3)),ISNUMBER(SEARCH("accomplish",B3)),ISNUMBER(SEARCH("wonder",B3)),ISNUMBER(SEARCH("optim",B3)),ISNUMBER(SEARCH("enchant",B3)),ISNUMBER(SEARCH("intrigu",B3)),ISNUMBER(SEARCH("mindful",B3)),ISNUMBER(SEARCH("eleg",B3)),ISNUMBER(SEARCH("whims",B3)),ISNUMBER(SEARCH("harmon",B3)),ISNUMBER(SEARCH("creativ",B3)),ISNUMBER(SEARCH("radian",B3)),ISNUMBER(SEARCH("rejuven",B3)),ISNUMBER(SEARCH("cozy",B3)),ISNUMBER(SEARCH("adventur",B3)),ISNUMBER(SEARCH("melod",B3)),ISNUMBER(SEARCH("festiv",B3)),ISNUMBER(SEARCH("free",B3)),ISNUMBER(SEARCH("dazzl",B3)),ISNUMBER(SEARCH("adrenal",B3)),ISNUMBER(SEARCH("artistic",B3)),ISNUMBER(SEARCH("resil",B3)),ISNUMBER(SEARCH("immers",B3)),ISNUMBER(SEARCH("spark",B3)),ISNUMBER(SEARCH("marvel",B3)),ISNUMBER(SEARCH("friend",B3)),ISNUMBER(SEARCH("success",B3)),ISNUMBER(SEARCH("explor",B3)),ISNUMBER(SEARCH("amaz",B3)),ISNUMBER(SEARCH("romanc",B3)),ISNUMBER(SEARCH("captiv",B3)),ISNUMBER(SEARCH("tranquil",B3)),ISNUMBER(SEARCH("grand",B3)),ISNUMBER(SEARCH("energ",B3)),ISNUMBER(SEARCH("celebr",B3)),ISNUMBER(SEARCH("charm",B3)),ISNUMBER(SEARCH("ecstasy",B3)),ISNUMBER(SEARCH("color",B3)),ISNUMBER(SEARCH("hypnot",B3)),ISNUMBER(SEARCH("connect",B3)),ISNUMBER(SEARCH("icon",B3)),ISNUMBER(SEARCH("engag",B3)),ISNUMBER(SEARCH("triumph",B3)),ISNUMBER(SEARCH("heartwarm",B3)),ISNUMBER(SEARCH("solac",B3)),ISNUMBER(SEARCH("breakthrough",B3)),ISNUMBER(SEARCH("imagin",B3)),ISNUMBER(SEARCH("vibran",B3)),ISNUMBER(SEARCH("mesmer",B3)),ISNUMBER(SEARCH("winter magic",B3)),ISNUMBER(SEARCH("nature",B3)),ISNUMBER(SEARCH("celestial",B3)),ISNUMBER(SEARCH("positive",B3)),ISNUMBER(SEARCH("arous",B3))),"Positive",IF(OR(ISNUMBER(SEARCH("anger",B3)),ISNUMBER(SEARCH("fear",B3)),ISNUMBER(SEARCH("sad",B3)),ISNUMBER(SEARCH("disgust",B3)),ISNUMBER(SEARCH("disappoint",B3)),ISNUMBER(SEARCH("bitter",B3)),ISNUMBER(SEARCH("shame",B3)),ISNUMBER(SEARCH("despair",B3)),ISNUMBER(SEARCH("grief",B3)),ISNUMBER(SEARCH("lonel",B3)),ISNUMBER(SEARCH("jealous",B3)),ISNUMBER(SEARCH("resent",B3)),ISNUMBER(SEARCH("frustrat",B3)),ISNUMBER(SEARCH("bored",B3)),ISNUMBER(SEARCH("anxi",B3)),ISNUMBER(SEARCH("intimid",B3)),ISNUMBER(SEARCH("helpless",B3)),ISNUMBER(SEARCH("envy",B3)),ISNUMBER(SEARCH("regret",B3)),ISNUMBER(SEARCH("melanchol",B3)),ISNUMBER(SEARCH("yearn",B3)),ISNUMBER(SEARCH("apprehens",B3)),ISNUMBER(SEARCH("overwhelm",B3)),ISNUMBER(SEARCH("devastat",B3)),ISNUMBER(SEARCH("dismiss",B3)),ISNUMBER(SEARCH("heartbreak",B3)),ISNUMBER(SEARCH("betray",B3)),ISNUMBER(SEARCH("suffer",B3)),ISNUMBER(SEARCH("isolat",B3)),ISNUMBER(SEARCH("lost",B3)),ISNUMBER(SEARCH("exhaust",B3)),ISNUMBER(SEARCH("sorrow",B3)),ISNUMBER(SEARCH("darkness",B3)),ISNUMBER(SEARCH("desperat",B3)),ISNUMBER(SEARCH("ruins",B3)),ISNUMBER(SEARCH("desolat",B3)),ISNUMBER(SEARCH("heartache",B3)),ISNUMBER(SEARCH("solitude",B3)),ISNUMBER(SEARCH("obstacle",B3)),ISNUMBER(SEARCH("pressure",B3)),ISNUMBER(SEARCH("miscalcul",B3)),ISNUMBER(SEARCH("challenge",B3)),ISNUMBER(SEARCH("embarrass",B3)),ISNUMBER(SEARCH("hate",B3)),ISNUMBER(SEARCH("bad",B3)),ISNUMBER(SEARCH("negative",B3))),"Negative","Neutral"))</f>
        <v>Negative</v>
      </c>
      <c r="D3" s="18">
        <f t="shared" ref="D3:D66" si="1">IF(C3="Positive", 1, IF(C3="Negative", -1, 0))</f>
        <v>-1</v>
      </c>
      <c r="E3" s="1">
        <v>44941.364583333336</v>
      </c>
      <c r="F3" s="10">
        <f>INT(E3)</f>
        <v>44941</v>
      </c>
      <c r="G3" s="15">
        <f>MOD(E3,2)</f>
        <v>1.3645833333357587</v>
      </c>
      <c r="H3" s="15" t="str">
        <f t="shared" ref="H3:H66" si="2">TEXT(G3, "hh:mm")</f>
        <v>08:45</v>
      </c>
      <c r="I3" t="s">
        <v>21</v>
      </c>
      <c r="J3" t="s">
        <v>16</v>
      </c>
      <c r="K3" t="str">
        <f t="shared" ref="K3:K66" si="3">TRIM(CLEAN(J3))</f>
        <v>Twitter</v>
      </c>
      <c r="L3" t="s">
        <v>22</v>
      </c>
      <c r="M3">
        <v>5</v>
      </c>
      <c r="N3">
        <v>10</v>
      </c>
      <c r="O3">
        <f t="shared" ref="O3:O66" si="4">M3+N3</f>
        <v>15</v>
      </c>
      <c r="P3" t="s">
        <v>23</v>
      </c>
      <c r="Q3" t="str">
        <f t="shared" ref="Q3:Q66" si="5">TRIM(CLEAN(P3))</f>
        <v>Canada</v>
      </c>
      <c r="R3">
        <v>2023</v>
      </c>
      <c r="S3">
        <v>1</v>
      </c>
      <c r="T3">
        <v>15</v>
      </c>
      <c r="U3">
        <v>8</v>
      </c>
      <c r="Y3" s="4">
        <f t="shared" ref="Y3:Y66" si="6">HOUR(H3)</f>
        <v>8</v>
      </c>
    </row>
    <row r="4" spans="1:25" ht="18" x14ac:dyDescent="0.25">
      <c r="A4" t="s">
        <v>24</v>
      </c>
      <c r="B4" t="s">
        <v>14</v>
      </c>
      <c r="C4" s="12" t="str">
        <f t="shared" si="0"/>
        <v>Positive</v>
      </c>
      <c r="D4" s="18">
        <f t="shared" si="1"/>
        <v>1</v>
      </c>
      <c r="E4" s="1">
        <v>44941.65625</v>
      </c>
      <c r="F4" s="10">
        <f>INT(E4)</f>
        <v>44941</v>
      </c>
      <c r="G4" s="15">
        <f>MOD(E4,2)</f>
        <v>1.65625</v>
      </c>
      <c r="H4" s="15" t="str">
        <f t="shared" si="2"/>
        <v>15:45</v>
      </c>
      <c r="I4" t="s">
        <v>25</v>
      </c>
      <c r="J4" t="s">
        <v>26</v>
      </c>
      <c r="K4" t="str">
        <f t="shared" si="3"/>
        <v>Instagram</v>
      </c>
      <c r="L4" t="s">
        <v>27</v>
      </c>
      <c r="M4">
        <v>20</v>
      </c>
      <c r="N4">
        <v>40</v>
      </c>
      <c r="O4">
        <f t="shared" si="4"/>
        <v>60</v>
      </c>
      <c r="P4" t="s">
        <v>28</v>
      </c>
      <c r="Q4" t="str">
        <f t="shared" si="5"/>
        <v>USA</v>
      </c>
      <c r="R4">
        <v>2023</v>
      </c>
      <c r="S4">
        <v>1</v>
      </c>
      <c r="T4">
        <v>15</v>
      </c>
      <c r="U4">
        <v>15</v>
      </c>
      <c r="X4" t="s">
        <v>2513</v>
      </c>
      <c r="Y4" s="4">
        <f t="shared" si="6"/>
        <v>15</v>
      </c>
    </row>
    <row r="5" spans="1:25" ht="18" x14ac:dyDescent="0.25">
      <c r="A5" t="s">
        <v>29</v>
      </c>
      <c r="B5" t="s">
        <v>14</v>
      </c>
      <c r="C5" s="12" t="str">
        <f t="shared" si="0"/>
        <v>Positive</v>
      </c>
      <c r="D5" s="18">
        <f t="shared" si="1"/>
        <v>1</v>
      </c>
      <c r="E5" s="1">
        <v>44941.763888888891</v>
      </c>
      <c r="F5" s="10">
        <f>INT(E5)</f>
        <v>44941</v>
      </c>
      <c r="G5" s="15">
        <f>MOD(E5,2)</f>
        <v>1.7638888888905058</v>
      </c>
      <c r="H5" s="15" t="str">
        <f t="shared" si="2"/>
        <v>18:20</v>
      </c>
      <c r="I5" t="s">
        <v>30</v>
      </c>
      <c r="J5" t="s">
        <v>31</v>
      </c>
      <c r="K5" t="str">
        <f t="shared" si="3"/>
        <v>Facebook</v>
      </c>
      <c r="L5" t="s">
        <v>32</v>
      </c>
      <c r="M5">
        <v>8</v>
      </c>
      <c r="N5">
        <v>15</v>
      </c>
      <c r="O5">
        <f t="shared" si="4"/>
        <v>23</v>
      </c>
      <c r="P5" t="s">
        <v>33</v>
      </c>
      <c r="Q5" t="str">
        <f t="shared" si="5"/>
        <v>UK</v>
      </c>
      <c r="R5">
        <v>2023</v>
      </c>
      <c r="S5">
        <v>1</v>
      </c>
      <c r="T5">
        <v>15</v>
      </c>
      <c r="U5">
        <v>18</v>
      </c>
      <c r="W5" t="s">
        <v>2514</v>
      </c>
      <c r="X5" s="4">
        <f>COUNTIF(C:C, "Positive")</f>
        <v>433</v>
      </c>
      <c r="Y5" s="4">
        <f t="shared" si="6"/>
        <v>18</v>
      </c>
    </row>
    <row r="6" spans="1:25" ht="18" x14ac:dyDescent="0.25">
      <c r="A6" t="s">
        <v>34</v>
      </c>
      <c r="B6" t="s">
        <v>35</v>
      </c>
      <c r="C6" s="12" t="str">
        <f t="shared" si="0"/>
        <v>Neutral</v>
      </c>
      <c r="D6" s="18">
        <f t="shared" si="1"/>
        <v>0</v>
      </c>
      <c r="E6" s="1">
        <v>44941.829861111109</v>
      </c>
      <c r="F6" s="10">
        <f>INT(E6)</f>
        <v>44941</v>
      </c>
      <c r="G6" s="15">
        <f>MOD(E6,2)</f>
        <v>1.8298611111094942</v>
      </c>
      <c r="H6" s="15" t="str">
        <f t="shared" si="2"/>
        <v>19:55</v>
      </c>
      <c r="I6" t="s">
        <v>36</v>
      </c>
      <c r="J6" t="s">
        <v>26</v>
      </c>
      <c r="K6" t="str">
        <f t="shared" si="3"/>
        <v>Instagram</v>
      </c>
      <c r="L6" t="s">
        <v>37</v>
      </c>
      <c r="M6">
        <v>12</v>
      </c>
      <c r="N6">
        <v>25</v>
      </c>
      <c r="O6">
        <f t="shared" si="4"/>
        <v>37</v>
      </c>
      <c r="P6" t="s">
        <v>38</v>
      </c>
      <c r="Q6" t="str">
        <f t="shared" si="5"/>
        <v>Australia</v>
      </c>
      <c r="R6">
        <v>2023</v>
      </c>
      <c r="S6">
        <v>1</v>
      </c>
      <c r="T6">
        <v>15</v>
      </c>
      <c r="U6">
        <v>19</v>
      </c>
      <c r="W6" t="s">
        <v>2515</v>
      </c>
      <c r="X6" s="4">
        <f>COUNTIF(C:C, "Negative")</f>
        <v>177</v>
      </c>
      <c r="Y6" s="4">
        <f t="shared" si="6"/>
        <v>19</v>
      </c>
    </row>
    <row r="7" spans="1:25" ht="18" x14ac:dyDescent="0.25">
      <c r="A7" t="s">
        <v>39</v>
      </c>
      <c r="B7" t="s">
        <v>14</v>
      </c>
      <c r="C7" s="12" t="str">
        <f t="shared" si="0"/>
        <v>Positive</v>
      </c>
      <c r="D7" s="18">
        <f t="shared" si="1"/>
        <v>1</v>
      </c>
      <c r="E7" s="1">
        <v>44942.381944444445</v>
      </c>
      <c r="F7" s="10">
        <f>INT(E7)</f>
        <v>44942</v>
      </c>
      <c r="G7" s="15">
        <f>MOD(E7,2)</f>
        <v>0.38194444444525288</v>
      </c>
      <c r="H7" s="15" t="str">
        <f t="shared" si="2"/>
        <v>09:10</v>
      </c>
      <c r="I7" t="s">
        <v>40</v>
      </c>
      <c r="J7" t="s">
        <v>16</v>
      </c>
      <c r="K7" t="str">
        <f t="shared" si="3"/>
        <v>Twitter</v>
      </c>
      <c r="L7" t="s">
        <v>41</v>
      </c>
      <c r="M7">
        <v>25</v>
      </c>
      <c r="N7">
        <v>50</v>
      </c>
      <c r="O7">
        <f t="shared" si="4"/>
        <v>75</v>
      </c>
      <c r="P7" t="s">
        <v>42</v>
      </c>
      <c r="Q7" t="str">
        <f t="shared" si="5"/>
        <v>India</v>
      </c>
      <c r="R7">
        <v>2023</v>
      </c>
      <c r="S7">
        <v>1</v>
      </c>
      <c r="T7">
        <v>16</v>
      </c>
      <c r="U7">
        <v>9</v>
      </c>
      <c r="W7" t="s">
        <v>2516</v>
      </c>
      <c r="X7" s="4">
        <f>COUNTIF(C:C, "Neutral")</f>
        <v>122</v>
      </c>
      <c r="Y7" s="4">
        <f t="shared" si="6"/>
        <v>9</v>
      </c>
    </row>
    <row r="8" spans="1:25" ht="18" x14ac:dyDescent="0.25">
      <c r="A8" t="s">
        <v>43</v>
      </c>
      <c r="B8" t="s">
        <v>14</v>
      </c>
      <c r="C8" s="12" t="str">
        <f t="shared" si="0"/>
        <v>Positive</v>
      </c>
      <c r="D8" s="18">
        <f t="shared" si="1"/>
        <v>1</v>
      </c>
      <c r="E8" s="1">
        <v>44942.614583333336</v>
      </c>
      <c r="F8" s="10">
        <f>INT(E8)</f>
        <v>44942</v>
      </c>
      <c r="G8" s="15">
        <f>MOD(E8,2)</f>
        <v>0.61458333333575865</v>
      </c>
      <c r="H8" s="15" t="str">
        <f t="shared" si="2"/>
        <v>14:45</v>
      </c>
      <c r="I8" t="s">
        <v>44</v>
      </c>
      <c r="J8" t="s">
        <v>31</v>
      </c>
      <c r="K8" t="str">
        <f t="shared" si="3"/>
        <v>Facebook</v>
      </c>
      <c r="L8" t="s">
        <v>45</v>
      </c>
      <c r="M8">
        <v>10</v>
      </c>
      <c r="N8">
        <v>20</v>
      </c>
      <c r="O8">
        <f t="shared" si="4"/>
        <v>30</v>
      </c>
      <c r="P8" t="s">
        <v>23</v>
      </c>
      <c r="Q8" t="str">
        <f t="shared" si="5"/>
        <v>Canada</v>
      </c>
      <c r="R8">
        <v>2023</v>
      </c>
      <c r="S8">
        <v>1</v>
      </c>
      <c r="T8">
        <v>16</v>
      </c>
      <c r="U8">
        <v>14</v>
      </c>
      <c r="W8" t="s">
        <v>2577</v>
      </c>
      <c r="X8">
        <f>SUM(X5:X7)</f>
        <v>732</v>
      </c>
      <c r="Y8" s="4">
        <f t="shared" si="6"/>
        <v>14</v>
      </c>
    </row>
    <row r="9" spans="1:25" ht="18" x14ac:dyDescent="0.25">
      <c r="A9" t="s">
        <v>46</v>
      </c>
      <c r="B9" t="s">
        <v>14</v>
      </c>
      <c r="C9" s="12" t="str">
        <f t="shared" si="0"/>
        <v>Positive</v>
      </c>
      <c r="D9" s="18">
        <f t="shared" si="1"/>
        <v>1</v>
      </c>
      <c r="E9" s="1">
        <v>44942.8125</v>
      </c>
      <c r="F9" s="10">
        <f>INT(E9)</f>
        <v>44942</v>
      </c>
      <c r="G9" s="15">
        <f>MOD(E9,2)</f>
        <v>0.8125</v>
      </c>
      <c r="H9" s="15" t="str">
        <f t="shared" si="2"/>
        <v>19:30</v>
      </c>
      <c r="I9" t="s">
        <v>47</v>
      </c>
      <c r="J9" t="s">
        <v>26</v>
      </c>
      <c r="K9" t="str">
        <f t="shared" si="3"/>
        <v>Instagram</v>
      </c>
      <c r="L9" t="s">
        <v>48</v>
      </c>
      <c r="M9">
        <v>15</v>
      </c>
      <c r="N9">
        <v>30</v>
      </c>
      <c r="O9">
        <f t="shared" si="4"/>
        <v>45</v>
      </c>
      <c r="P9" t="s">
        <v>49</v>
      </c>
      <c r="Q9" t="str">
        <f t="shared" si="5"/>
        <v>USA</v>
      </c>
      <c r="R9">
        <v>2023</v>
      </c>
      <c r="S9">
        <v>1</v>
      </c>
      <c r="T9">
        <v>16</v>
      </c>
      <c r="U9">
        <v>19</v>
      </c>
      <c r="W9" s="9"/>
      <c r="X9" s="9"/>
      <c r="Y9" s="4">
        <f t="shared" si="6"/>
        <v>19</v>
      </c>
    </row>
    <row r="10" spans="1:25" ht="18" x14ac:dyDescent="0.25">
      <c r="A10" t="s">
        <v>50</v>
      </c>
      <c r="B10" t="s">
        <v>20</v>
      </c>
      <c r="C10" s="12" t="str">
        <f t="shared" si="0"/>
        <v>Negative</v>
      </c>
      <c r="D10" s="18">
        <f t="shared" si="1"/>
        <v>-1</v>
      </c>
      <c r="E10" s="1">
        <v>44943.333333333336</v>
      </c>
      <c r="F10" s="10">
        <f>INT(E10)</f>
        <v>44943</v>
      </c>
      <c r="G10" s="15">
        <f>MOD(E10,2)</f>
        <v>1.3333333333357587</v>
      </c>
      <c r="H10" s="15" t="str">
        <f t="shared" si="2"/>
        <v>08:00</v>
      </c>
      <c r="I10" t="s">
        <v>51</v>
      </c>
      <c r="J10" t="s">
        <v>16</v>
      </c>
      <c r="K10" t="str">
        <f t="shared" si="3"/>
        <v>Twitter</v>
      </c>
      <c r="L10" t="s">
        <v>52</v>
      </c>
      <c r="M10">
        <v>30</v>
      </c>
      <c r="N10">
        <v>60</v>
      </c>
      <c r="O10">
        <f t="shared" si="4"/>
        <v>90</v>
      </c>
      <c r="P10" t="s">
        <v>18</v>
      </c>
      <c r="Q10" t="str">
        <f t="shared" si="5"/>
        <v>USA</v>
      </c>
      <c r="R10">
        <v>2023</v>
      </c>
      <c r="S10">
        <v>1</v>
      </c>
      <c r="T10">
        <v>17</v>
      </c>
      <c r="U10">
        <v>8</v>
      </c>
      <c r="W10" s="2"/>
      <c r="X10" s="2"/>
      <c r="Y10" s="4">
        <f t="shared" si="6"/>
        <v>8</v>
      </c>
    </row>
    <row r="11" spans="1:25" ht="18" x14ac:dyDescent="0.25">
      <c r="A11" t="s">
        <v>53</v>
      </c>
      <c r="B11" t="s">
        <v>35</v>
      </c>
      <c r="C11" s="12" t="str">
        <f t="shared" si="0"/>
        <v>Neutral</v>
      </c>
      <c r="D11" s="18">
        <f t="shared" si="1"/>
        <v>0</v>
      </c>
      <c r="E11" s="1">
        <v>44943.513888888891</v>
      </c>
      <c r="F11" s="10">
        <f>INT(E11)</f>
        <v>44943</v>
      </c>
      <c r="G11" s="15">
        <f>MOD(E11,2)</f>
        <v>1.5138888888905058</v>
      </c>
      <c r="H11" s="15" t="str">
        <f t="shared" si="2"/>
        <v>12:20</v>
      </c>
      <c r="I11" t="s">
        <v>54</v>
      </c>
      <c r="J11" t="s">
        <v>31</v>
      </c>
      <c r="K11" t="str">
        <f t="shared" si="3"/>
        <v>Facebook</v>
      </c>
      <c r="L11" t="s">
        <v>55</v>
      </c>
      <c r="M11">
        <v>18</v>
      </c>
      <c r="N11">
        <v>35</v>
      </c>
      <c r="O11">
        <f t="shared" si="4"/>
        <v>53</v>
      </c>
      <c r="P11" t="s">
        <v>38</v>
      </c>
      <c r="Q11" t="str">
        <f t="shared" si="5"/>
        <v>Australia</v>
      </c>
      <c r="R11">
        <v>2023</v>
      </c>
      <c r="S11">
        <v>1</v>
      </c>
      <c r="T11">
        <v>17</v>
      </c>
      <c r="U11">
        <v>12</v>
      </c>
      <c r="W11" s="3"/>
      <c r="X11" s="9"/>
      <c r="Y11" s="4">
        <f t="shared" si="6"/>
        <v>12</v>
      </c>
    </row>
    <row r="12" spans="1:25" ht="18" x14ac:dyDescent="0.25">
      <c r="A12" t="s">
        <v>56</v>
      </c>
      <c r="B12" t="s">
        <v>14</v>
      </c>
      <c r="C12" s="12" t="str">
        <f t="shared" si="0"/>
        <v>Positive</v>
      </c>
      <c r="D12" s="18">
        <f t="shared" si="1"/>
        <v>1</v>
      </c>
      <c r="E12" s="1">
        <v>44943.635416666664</v>
      </c>
      <c r="F12" s="10">
        <f>INT(E12)</f>
        <v>44943</v>
      </c>
      <c r="G12" s="15">
        <f>MOD(E12,2)</f>
        <v>1.6354166666642413</v>
      </c>
      <c r="H12" s="15" t="str">
        <f t="shared" si="2"/>
        <v>15:15</v>
      </c>
      <c r="I12" t="s">
        <v>57</v>
      </c>
      <c r="J12" t="s">
        <v>26</v>
      </c>
      <c r="K12" t="str">
        <f t="shared" si="3"/>
        <v>Instagram</v>
      </c>
      <c r="L12" t="s">
        <v>58</v>
      </c>
      <c r="M12">
        <v>22</v>
      </c>
      <c r="N12">
        <v>45</v>
      </c>
      <c r="O12">
        <f t="shared" si="4"/>
        <v>67</v>
      </c>
      <c r="P12" t="s">
        <v>59</v>
      </c>
      <c r="Q12" t="str">
        <f t="shared" si="5"/>
        <v>USA</v>
      </c>
      <c r="R12">
        <v>2023</v>
      </c>
      <c r="S12">
        <v>1</v>
      </c>
      <c r="T12">
        <v>17</v>
      </c>
      <c r="U12">
        <v>15</v>
      </c>
      <c r="X12" s="5"/>
      <c r="Y12" s="4">
        <f t="shared" si="6"/>
        <v>15</v>
      </c>
    </row>
    <row r="13" spans="1:25" ht="18" x14ac:dyDescent="0.25">
      <c r="A13" t="s">
        <v>60</v>
      </c>
      <c r="B13" t="s">
        <v>20</v>
      </c>
      <c r="C13" s="12" t="str">
        <f t="shared" si="0"/>
        <v>Negative</v>
      </c>
      <c r="D13" s="18">
        <f t="shared" si="1"/>
        <v>-1</v>
      </c>
      <c r="E13" s="1">
        <v>44944.4375</v>
      </c>
      <c r="F13" s="10">
        <f>INT(E13)</f>
        <v>44944</v>
      </c>
      <c r="G13" s="15">
        <f>MOD(E13,2)</f>
        <v>0.4375</v>
      </c>
      <c r="H13" s="15" t="str">
        <f t="shared" si="2"/>
        <v>10:30</v>
      </c>
      <c r="I13" t="s">
        <v>61</v>
      </c>
      <c r="J13" t="s">
        <v>16</v>
      </c>
      <c r="K13" t="str">
        <f t="shared" si="3"/>
        <v>Twitter</v>
      </c>
      <c r="L13" t="s">
        <v>62</v>
      </c>
      <c r="M13">
        <v>7</v>
      </c>
      <c r="N13">
        <v>15</v>
      </c>
      <c r="O13">
        <f t="shared" si="4"/>
        <v>22</v>
      </c>
      <c r="P13" t="s">
        <v>23</v>
      </c>
      <c r="Q13" t="str">
        <f t="shared" si="5"/>
        <v>Canada</v>
      </c>
      <c r="R13">
        <v>2023</v>
      </c>
      <c r="S13">
        <v>1</v>
      </c>
      <c r="T13">
        <v>18</v>
      </c>
      <c r="U13">
        <v>10</v>
      </c>
      <c r="X13" s="5"/>
      <c r="Y13" s="4">
        <f t="shared" si="6"/>
        <v>10</v>
      </c>
    </row>
    <row r="14" spans="1:25" ht="18" x14ac:dyDescent="0.25">
      <c r="A14" t="s">
        <v>63</v>
      </c>
      <c r="B14" t="s">
        <v>14</v>
      </c>
      <c r="C14" s="12" t="str">
        <f t="shared" si="0"/>
        <v>Positive</v>
      </c>
      <c r="D14" s="18">
        <f t="shared" si="1"/>
        <v>1</v>
      </c>
      <c r="E14" s="1">
        <v>44944.618055555555</v>
      </c>
      <c r="F14" s="10">
        <f>INT(E14)</f>
        <v>44944</v>
      </c>
      <c r="G14" s="15">
        <f>MOD(E14,2)</f>
        <v>0.61805555555474712</v>
      </c>
      <c r="H14" s="15" t="str">
        <f t="shared" si="2"/>
        <v>14:50</v>
      </c>
      <c r="I14" t="s">
        <v>64</v>
      </c>
      <c r="J14" t="s">
        <v>31</v>
      </c>
      <c r="K14" t="str">
        <f t="shared" si="3"/>
        <v>Facebook</v>
      </c>
      <c r="L14" t="s">
        <v>65</v>
      </c>
      <c r="M14">
        <v>12</v>
      </c>
      <c r="N14">
        <v>25</v>
      </c>
      <c r="O14">
        <f t="shared" si="4"/>
        <v>37</v>
      </c>
      <c r="P14" t="s">
        <v>33</v>
      </c>
      <c r="Q14" t="str">
        <f t="shared" si="5"/>
        <v>UK</v>
      </c>
      <c r="R14">
        <v>2023</v>
      </c>
      <c r="S14">
        <v>1</v>
      </c>
      <c r="T14">
        <v>18</v>
      </c>
      <c r="U14">
        <v>14</v>
      </c>
      <c r="X14" s="5"/>
      <c r="Y14" s="4">
        <f t="shared" si="6"/>
        <v>14</v>
      </c>
    </row>
    <row r="15" spans="1:25" ht="18" x14ac:dyDescent="0.25">
      <c r="A15" t="s">
        <v>66</v>
      </c>
      <c r="B15" t="s">
        <v>14</v>
      </c>
      <c r="C15" s="12" t="str">
        <f t="shared" si="0"/>
        <v>Positive</v>
      </c>
      <c r="D15" s="18">
        <f t="shared" si="1"/>
        <v>1</v>
      </c>
      <c r="E15" s="1">
        <v>44944.75</v>
      </c>
      <c r="F15" s="10">
        <f>INT(E15)</f>
        <v>44944</v>
      </c>
      <c r="G15" s="15">
        <f>MOD(E15,2)</f>
        <v>0.75</v>
      </c>
      <c r="H15" s="15" t="str">
        <f t="shared" si="2"/>
        <v>18:00</v>
      </c>
      <c r="I15" t="s">
        <v>67</v>
      </c>
      <c r="J15" t="s">
        <v>26</v>
      </c>
      <c r="K15" t="str">
        <f t="shared" si="3"/>
        <v>Instagram</v>
      </c>
      <c r="L15" t="s">
        <v>68</v>
      </c>
      <c r="M15">
        <v>28</v>
      </c>
      <c r="N15">
        <v>55</v>
      </c>
      <c r="O15">
        <f t="shared" si="4"/>
        <v>83</v>
      </c>
      <c r="P15" t="s">
        <v>28</v>
      </c>
      <c r="Q15" t="str">
        <f t="shared" si="5"/>
        <v>USA</v>
      </c>
      <c r="R15">
        <v>2023</v>
      </c>
      <c r="S15">
        <v>1</v>
      </c>
      <c r="T15">
        <v>18</v>
      </c>
      <c r="U15">
        <v>18</v>
      </c>
      <c r="X15" s="5"/>
      <c r="Y15" s="4">
        <f t="shared" si="6"/>
        <v>18</v>
      </c>
    </row>
    <row r="16" spans="1:25" ht="18" x14ac:dyDescent="0.25">
      <c r="A16" t="s">
        <v>69</v>
      </c>
      <c r="B16" t="s">
        <v>35</v>
      </c>
      <c r="C16" s="12" t="str">
        <f t="shared" si="0"/>
        <v>Neutral</v>
      </c>
      <c r="D16" s="18">
        <f t="shared" si="1"/>
        <v>0</v>
      </c>
      <c r="E16" s="1">
        <v>44945.40625</v>
      </c>
      <c r="F16" s="10">
        <f>INT(E16)</f>
        <v>44945</v>
      </c>
      <c r="G16" s="15">
        <f>MOD(E16,2)</f>
        <v>1.40625</v>
      </c>
      <c r="H16" s="15" t="str">
        <f t="shared" si="2"/>
        <v>09:45</v>
      </c>
      <c r="I16" t="s">
        <v>70</v>
      </c>
      <c r="J16" t="s">
        <v>16</v>
      </c>
      <c r="K16" t="str">
        <f t="shared" si="3"/>
        <v>Twitter</v>
      </c>
      <c r="L16" t="s">
        <v>71</v>
      </c>
      <c r="M16">
        <v>15</v>
      </c>
      <c r="N16">
        <v>30</v>
      </c>
      <c r="O16">
        <f t="shared" si="4"/>
        <v>45</v>
      </c>
      <c r="P16" t="s">
        <v>42</v>
      </c>
      <c r="Q16" t="str">
        <f t="shared" si="5"/>
        <v>India</v>
      </c>
      <c r="R16">
        <v>2023</v>
      </c>
      <c r="S16">
        <v>1</v>
      </c>
      <c r="T16">
        <v>19</v>
      </c>
      <c r="U16">
        <v>9</v>
      </c>
      <c r="W16" t="s">
        <v>2688</v>
      </c>
      <c r="X16" s="5"/>
      <c r="Y16" s="4">
        <f t="shared" si="6"/>
        <v>9</v>
      </c>
    </row>
    <row r="17" spans="1:25" ht="18" x14ac:dyDescent="0.25">
      <c r="A17" t="s">
        <v>72</v>
      </c>
      <c r="B17" t="s">
        <v>14</v>
      </c>
      <c r="C17" s="12" t="str">
        <f t="shared" si="0"/>
        <v>Positive</v>
      </c>
      <c r="D17" s="18">
        <f t="shared" si="1"/>
        <v>1</v>
      </c>
      <c r="E17" s="1">
        <v>44945.555555555555</v>
      </c>
      <c r="F17" s="10">
        <f>INT(E17)</f>
        <v>44945</v>
      </c>
      <c r="G17" s="15">
        <f>MOD(E17,2)</f>
        <v>1.5555555555547471</v>
      </c>
      <c r="H17" s="15" t="str">
        <f t="shared" si="2"/>
        <v>13:20</v>
      </c>
      <c r="I17" t="s">
        <v>73</v>
      </c>
      <c r="J17" t="s">
        <v>31</v>
      </c>
      <c r="K17" t="str">
        <f t="shared" si="3"/>
        <v>Facebook</v>
      </c>
      <c r="L17" t="s">
        <v>74</v>
      </c>
      <c r="M17">
        <v>20</v>
      </c>
      <c r="N17">
        <v>40</v>
      </c>
      <c r="O17">
        <f t="shared" si="4"/>
        <v>60</v>
      </c>
      <c r="P17" t="s">
        <v>18</v>
      </c>
      <c r="Q17" t="str">
        <f t="shared" si="5"/>
        <v>USA</v>
      </c>
      <c r="R17">
        <v>2023</v>
      </c>
      <c r="S17">
        <v>1</v>
      </c>
      <c r="T17">
        <v>19</v>
      </c>
      <c r="U17">
        <v>13</v>
      </c>
      <c r="W17" t="s">
        <v>2579</v>
      </c>
      <c r="X17">
        <f>RSQ(D:D, O:O)</f>
        <v>8.7827464489324311E-2</v>
      </c>
      <c r="Y17" s="4">
        <f t="shared" si="6"/>
        <v>13</v>
      </c>
    </row>
    <row r="18" spans="1:25" ht="18" x14ac:dyDescent="0.25">
      <c r="A18" t="s">
        <v>75</v>
      </c>
      <c r="B18" t="s">
        <v>14</v>
      </c>
      <c r="C18" s="12" t="str">
        <f t="shared" si="0"/>
        <v>Positive</v>
      </c>
      <c r="D18" s="18">
        <f t="shared" si="1"/>
        <v>1</v>
      </c>
      <c r="E18" s="1">
        <v>44945.715277777781</v>
      </c>
      <c r="F18" s="10">
        <f>INT(E18)</f>
        <v>44945</v>
      </c>
      <c r="G18" s="15">
        <f>MOD(E18,2)</f>
        <v>1.7152777777810115</v>
      </c>
      <c r="H18" s="15" t="str">
        <f t="shared" si="2"/>
        <v>17:10</v>
      </c>
      <c r="I18" t="s">
        <v>76</v>
      </c>
      <c r="J18" t="s">
        <v>26</v>
      </c>
      <c r="K18" t="str">
        <f t="shared" si="3"/>
        <v>Instagram</v>
      </c>
      <c r="L18" t="s">
        <v>77</v>
      </c>
      <c r="M18">
        <v>15</v>
      </c>
      <c r="N18">
        <v>30</v>
      </c>
      <c r="O18">
        <f t="shared" si="4"/>
        <v>45</v>
      </c>
      <c r="P18" t="s">
        <v>78</v>
      </c>
      <c r="Q18" t="str">
        <f t="shared" si="5"/>
        <v>Canada</v>
      </c>
      <c r="R18">
        <v>2023</v>
      </c>
      <c r="S18">
        <v>1</v>
      </c>
      <c r="T18">
        <v>19</v>
      </c>
      <c r="U18">
        <v>17</v>
      </c>
      <c r="W18" t="s">
        <v>2690</v>
      </c>
      <c r="X18">
        <f>RSQ(D:D, Y:Y)</f>
        <v>8.5089506191724588E-5</v>
      </c>
      <c r="Y18" s="4">
        <f t="shared" si="6"/>
        <v>17</v>
      </c>
    </row>
    <row r="19" spans="1:25" ht="18" x14ac:dyDescent="0.25">
      <c r="A19" t="s">
        <v>79</v>
      </c>
      <c r="B19" t="s">
        <v>14</v>
      </c>
      <c r="C19" s="12" t="str">
        <f t="shared" si="0"/>
        <v>Positive</v>
      </c>
      <c r="D19" s="18">
        <f t="shared" si="1"/>
        <v>1</v>
      </c>
      <c r="E19" s="1">
        <v>44946.003472222219</v>
      </c>
      <c r="F19" s="10">
        <f>INT(E19)</f>
        <v>44946</v>
      </c>
      <c r="G19" s="15">
        <f>MOD(E19,2)</f>
        <v>3.4722222189884633E-3</v>
      </c>
      <c r="H19" s="15" t="str">
        <f t="shared" si="2"/>
        <v>00:05</v>
      </c>
      <c r="I19" t="s">
        <v>80</v>
      </c>
      <c r="J19" t="s">
        <v>16</v>
      </c>
      <c r="K19" t="str">
        <f t="shared" si="3"/>
        <v>Twitter</v>
      </c>
      <c r="L19" t="s">
        <v>81</v>
      </c>
      <c r="M19">
        <v>18</v>
      </c>
      <c r="N19">
        <v>35</v>
      </c>
      <c r="O19">
        <f t="shared" si="4"/>
        <v>53</v>
      </c>
      <c r="P19" t="s">
        <v>33</v>
      </c>
      <c r="Q19" t="str">
        <f t="shared" si="5"/>
        <v>UK</v>
      </c>
      <c r="R19">
        <v>2023</v>
      </c>
      <c r="S19">
        <v>1</v>
      </c>
      <c r="T19">
        <v>20</v>
      </c>
      <c r="U19">
        <v>0</v>
      </c>
      <c r="W19" t="s">
        <v>2689</v>
      </c>
      <c r="X19">
        <f>RSQ(O:O, Y:Y)</f>
        <v>3.839229425650259E-2</v>
      </c>
      <c r="Y19" s="4">
        <f t="shared" si="6"/>
        <v>0</v>
      </c>
    </row>
    <row r="20" spans="1:25" ht="18" x14ac:dyDescent="0.25">
      <c r="A20" t="s">
        <v>82</v>
      </c>
      <c r="B20" t="s">
        <v>35</v>
      </c>
      <c r="C20" s="12" t="str">
        <f t="shared" si="0"/>
        <v>Neutral</v>
      </c>
      <c r="D20" s="18">
        <f t="shared" si="1"/>
        <v>0</v>
      </c>
      <c r="E20" s="1">
        <v>44946.479166666664</v>
      </c>
      <c r="F20" s="10">
        <f>INT(E20)</f>
        <v>44946</v>
      </c>
      <c r="G20" s="15">
        <f>MOD(E20,2)</f>
        <v>0.47916666666424135</v>
      </c>
      <c r="H20" s="15" t="str">
        <f t="shared" si="2"/>
        <v>11:30</v>
      </c>
      <c r="I20" t="s">
        <v>83</v>
      </c>
      <c r="J20" t="s">
        <v>31</v>
      </c>
      <c r="K20" t="str">
        <f t="shared" si="3"/>
        <v>Facebook</v>
      </c>
      <c r="L20" t="s">
        <v>84</v>
      </c>
      <c r="M20">
        <v>25</v>
      </c>
      <c r="N20">
        <v>50</v>
      </c>
      <c r="O20">
        <f t="shared" si="4"/>
        <v>75</v>
      </c>
      <c r="P20" t="s">
        <v>59</v>
      </c>
      <c r="Q20" t="str">
        <f t="shared" si="5"/>
        <v>USA</v>
      </c>
      <c r="R20">
        <v>2023</v>
      </c>
      <c r="S20">
        <v>1</v>
      </c>
      <c r="T20">
        <v>20</v>
      </c>
      <c r="U20">
        <v>11</v>
      </c>
      <c r="Y20" s="4">
        <f t="shared" si="6"/>
        <v>11</v>
      </c>
    </row>
    <row r="21" spans="1:25" ht="18" x14ac:dyDescent="0.25">
      <c r="A21" t="s">
        <v>85</v>
      </c>
      <c r="B21" t="s">
        <v>20</v>
      </c>
      <c r="C21" s="12" t="str">
        <f t="shared" si="0"/>
        <v>Negative</v>
      </c>
      <c r="D21" s="18">
        <f t="shared" si="1"/>
        <v>-1</v>
      </c>
      <c r="E21" s="1">
        <v>44946.635416666664</v>
      </c>
      <c r="F21" s="10">
        <f>INT(E21)</f>
        <v>44946</v>
      </c>
      <c r="G21" s="15">
        <f>MOD(E21,2)</f>
        <v>0.63541666666424135</v>
      </c>
      <c r="H21" s="15" t="str">
        <f t="shared" si="2"/>
        <v>15:15</v>
      </c>
      <c r="I21" t="s">
        <v>86</v>
      </c>
      <c r="J21" t="s">
        <v>26</v>
      </c>
      <c r="K21" t="str">
        <f t="shared" si="3"/>
        <v>Instagram</v>
      </c>
      <c r="L21" t="s">
        <v>87</v>
      </c>
      <c r="M21">
        <v>8</v>
      </c>
      <c r="N21">
        <v>15</v>
      </c>
      <c r="O21">
        <f t="shared" si="4"/>
        <v>23</v>
      </c>
      <c r="P21" t="s">
        <v>88</v>
      </c>
      <c r="Q21" t="str">
        <f t="shared" si="5"/>
        <v>USA</v>
      </c>
      <c r="R21">
        <v>2023</v>
      </c>
      <c r="S21">
        <v>1</v>
      </c>
      <c r="T21">
        <v>20</v>
      </c>
      <c r="U21">
        <v>15</v>
      </c>
      <c r="Y21" s="4">
        <f t="shared" si="6"/>
        <v>15</v>
      </c>
    </row>
    <row r="22" spans="1:25" ht="18" x14ac:dyDescent="0.25">
      <c r="A22" t="s">
        <v>89</v>
      </c>
      <c r="B22" t="s">
        <v>14</v>
      </c>
      <c r="C22" s="12" t="str">
        <f t="shared" si="0"/>
        <v>Positive</v>
      </c>
      <c r="D22" s="18">
        <f t="shared" si="1"/>
        <v>1</v>
      </c>
      <c r="E22" s="1">
        <v>44947.361111111109</v>
      </c>
      <c r="F22" s="10">
        <f>INT(E22)</f>
        <v>44947</v>
      </c>
      <c r="G22" s="15">
        <f>MOD(E22,2)</f>
        <v>1.3611111111094942</v>
      </c>
      <c r="H22" s="15" t="str">
        <f t="shared" si="2"/>
        <v>08:40</v>
      </c>
      <c r="I22" t="s">
        <v>90</v>
      </c>
      <c r="J22" t="s">
        <v>16</v>
      </c>
      <c r="K22" t="str">
        <f t="shared" si="3"/>
        <v>Twitter</v>
      </c>
      <c r="L22" t="s">
        <v>91</v>
      </c>
      <c r="M22">
        <v>22</v>
      </c>
      <c r="N22">
        <v>45</v>
      </c>
      <c r="O22">
        <f t="shared" si="4"/>
        <v>67</v>
      </c>
      <c r="P22" t="s">
        <v>42</v>
      </c>
      <c r="Q22" t="str">
        <f t="shared" si="5"/>
        <v>India</v>
      </c>
      <c r="R22">
        <v>2023</v>
      </c>
      <c r="S22">
        <v>1</v>
      </c>
      <c r="T22">
        <v>21</v>
      </c>
      <c r="U22">
        <v>8</v>
      </c>
      <c r="Y22" s="4">
        <f t="shared" si="6"/>
        <v>8</v>
      </c>
    </row>
    <row r="23" spans="1:25" ht="18" x14ac:dyDescent="0.25">
      <c r="A23" t="s">
        <v>92</v>
      </c>
      <c r="B23" t="s">
        <v>14</v>
      </c>
      <c r="C23" s="12" t="str">
        <f t="shared" si="0"/>
        <v>Positive</v>
      </c>
      <c r="D23" s="18">
        <f t="shared" si="1"/>
        <v>1</v>
      </c>
      <c r="E23" s="1">
        <v>44947.555555555555</v>
      </c>
      <c r="F23" s="10">
        <f>INT(E23)</f>
        <v>44947</v>
      </c>
      <c r="G23" s="15">
        <f>MOD(E23,2)</f>
        <v>1.5555555555547471</v>
      </c>
      <c r="H23" s="15" t="str">
        <f t="shared" si="2"/>
        <v>13:20</v>
      </c>
      <c r="I23" t="s">
        <v>93</v>
      </c>
      <c r="J23" t="s">
        <v>31</v>
      </c>
      <c r="K23" t="str">
        <f t="shared" si="3"/>
        <v>Facebook</v>
      </c>
      <c r="L23" t="s">
        <v>94</v>
      </c>
      <c r="M23">
        <v>15</v>
      </c>
      <c r="N23">
        <v>30</v>
      </c>
      <c r="O23">
        <f t="shared" si="4"/>
        <v>45</v>
      </c>
      <c r="P23" t="s">
        <v>59</v>
      </c>
      <c r="Q23" t="str">
        <f t="shared" si="5"/>
        <v>USA</v>
      </c>
      <c r="R23">
        <v>2023</v>
      </c>
      <c r="S23">
        <v>1</v>
      </c>
      <c r="T23">
        <v>21</v>
      </c>
      <c r="U23">
        <v>13</v>
      </c>
      <c r="Y23" s="4">
        <f t="shared" si="6"/>
        <v>13</v>
      </c>
    </row>
    <row r="24" spans="1:25" ht="18" x14ac:dyDescent="0.25">
      <c r="A24" t="s">
        <v>95</v>
      </c>
      <c r="B24" t="s">
        <v>14</v>
      </c>
      <c r="C24" s="12" t="str">
        <f t="shared" si="0"/>
        <v>Positive</v>
      </c>
      <c r="D24" s="18">
        <f t="shared" si="1"/>
        <v>1</v>
      </c>
      <c r="E24" s="1">
        <v>44947.697916666664</v>
      </c>
      <c r="F24" s="10">
        <f>INT(E24)</f>
        <v>44947</v>
      </c>
      <c r="G24" s="15">
        <f>MOD(E24,2)</f>
        <v>1.6979166666642413</v>
      </c>
      <c r="H24" s="15" t="str">
        <f t="shared" si="2"/>
        <v>16:45</v>
      </c>
      <c r="I24" t="s">
        <v>96</v>
      </c>
      <c r="J24" t="s">
        <v>26</v>
      </c>
      <c r="K24" t="str">
        <f t="shared" si="3"/>
        <v>Instagram</v>
      </c>
      <c r="L24" t="s">
        <v>97</v>
      </c>
      <c r="M24">
        <v>30</v>
      </c>
      <c r="N24">
        <v>60</v>
      </c>
      <c r="O24">
        <f t="shared" si="4"/>
        <v>90</v>
      </c>
      <c r="P24" t="s">
        <v>98</v>
      </c>
      <c r="Q24" t="str">
        <f t="shared" si="5"/>
        <v>USA</v>
      </c>
      <c r="R24">
        <v>2023</v>
      </c>
      <c r="S24">
        <v>1</v>
      </c>
      <c r="T24">
        <v>21</v>
      </c>
      <c r="U24">
        <v>16</v>
      </c>
      <c r="Y24" s="4">
        <f t="shared" si="6"/>
        <v>16</v>
      </c>
    </row>
    <row r="25" spans="1:25" ht="18" x14ac:dyDescent="0.25">
      <c r="A25" t="s">
        <v>99</v>
      </c>
      <c r="B25" t="s">
        <v>14</v>
      </c>
      <c r="C25" s="12" t="str">
        <f t="shared" si="0"/>
        <v>Positive</v>
      </c>
      <c r="D25" s="18">
        <f t="shared" si="1"/>
        <v>1</v>
      </c>
      <c r="E25" s="1">
        <v>44948.385416666664</v>
      </c>
      <c r="F25" s="10">
        <f>INT(E25)</f>
        <v>44948</v>
      </c>
      <c r="G25" s="15">
        <f>MOD(E25,2)</f>
        <v>0.38541666666424135</v>
      </c>
      <c r="H25" s="15" t="str">
        <f t="shared" si="2"/>
        <v>09:15</v>
      </c>
      <c r="I25" t="s">
        <v>100</v>
      </c>
      <c r="J25" t="s">
        <v>16</v>
      </c>
      <c r="K25" t="str">
        <f t="shared" si="3"/>
        <v>Twitter</v>
      </c>
      <c r="L25" t="s">
        <v>101</v>
      </c>
      <c r="M25">
        <v>20</v>
      </c>
      <c r="N25">
        <v>40</v>
      </c>
      <c r="O25">
        <f t="shared" si="4"/>
        <v>60</v>
      </c>
      <c r="P25" t="s">
        <v>33</v>
      </c>
      <c r="Q25" t="str">
        <f t="shared" si="5"/>
        <v>UK</v>
      </c>
      <c r="R25">
        <v>2023</v>
      </c>
      <c r="S25">
        <v>1</v>
      </c>
      <c r="T25">
        <v>22</v>
      </c>
      <c r="U25">
        <v>9</v>
      </c>
      <c r="Y25" s="4">
        <f t="shared" si="6"/>
        <v>9</v>
      </c>
    </row>
    <row r="26" spans="1:25" ht="18" x14ac:dyDescent="0.25">
      <c r="A26" t="s">
        <v>102</v>
      </c>
      <c r="B26" t="s">
        <v>14</v>
      </c>
      <c r="C26" s="12" t="str">
        <f t="shared" si="0"/>
        <v>Positive</v>
      </c>
      <c r="D26" s="18">
        <f t="shared" si="1"/>
        <v>1</v>
      </c>
      <c r="E26" s="1">
        <v>44948.604166666664</v>
      </c>
      <c r="F26" s="10">
        <f>INT(E26)</f>
        <v>44948</v>
      </c>
      <c r="G26" s="15">
        <f>MOD(E26,2)</f>
        <v>0.60416666666424135</v>
      </c>
      <c r="H26" s="15" t="str">
        <f t="shared" si="2"/>
        <v>14:30</v>
      </c>
      <c r="I26" t="s">
        <v>103</v>
      </c>
      <c r="J26" t="s">
        <v>31</v>
      </c>
      <c r="K26" t="str">
        <f t="shared" si="3"/>
        <v>Facebook</v>
      </c>
      <c r="L26" t="s">
        <v>104</v>
      </c>
      <c r="M26">
        <v>12</v>
      </c>
      <c r="N26">
        <v>25</v>
      </c>
      <c r="O26">
        <f t="shared" si="4"/>
        <v>37</v>
      </c>
      <c r="P26" t="s">
        <v>105</v>
      </c>
      <c r="Q26" t="str">
        <f t="shared" si="5"/>
        <v>Canada</v>
      </c>
      <c r="R26">
        <v>2023</v>
      </c>
      <c r="S26">
        <v>1</v>
      </c>
      <c r="T26">
        <v>22</v>
      </c>
      <c r="U26">
        <v>14</v>
      </c>
      <c r="Y26" s="4">
        <f t="shared" si="6"/>
        <v>14</v>
      </c>
    </row>
    <row r="27" spans="1:25" ht="18" x14ac:dyDescent="0.25">
      <c r="A27" t="s">
        <v>106</v>
      </c>
      <c r="B27" t="s">
        <v>14</v>
      </c>
      <c r="C27" s="12" t="str">
        <f t="shared" si="0"/>
        <v>Positive</v>
      </c>
      <c r="D27" s="18">
        <f t="shared" si="1"/>
        <v>1</v>
      </c>
      <c r="E27" s="1">
        <v>44948.5</v>
      </c>
      <c r="F27" s="10">
        <f>INT(E27)</f>
        <v>44948</v>
      </c>
      <c r="G27" s="15">
        <f>MOD(E27,2)</f>
        <v>0.5</v>
      </c>
      <c r="H27" s="15" t="str">
        <f t="shared" si="2"/>
        <v>12:00</v>
      </c>
      <c r="I27" t="s">
        <v>107</v>
      </c>
      <c r="J27" t="s">
        <v>26</v>
      </c>
      <c r="K27" t="str">
        <f t="shared" si="3"/>
        <v>Instagram</v>
      </c>
      <c r="L27" t="s">
        <v>108</v>
      </c>
      <c r="M27">
        <v>15</v>
      </c>
      <c r="N27">
        <v>30</v>
      </c>
      <c r="O27">
        <f t="shared" si="4"/>
        <v>45</v>
      </c>
      <c r="P27" t="s">
        <v>109</v>
      </c>
      <c r="Q27" t="str">
        <f t="shared" si="5"/>
        <v>UK</v>
      </c>
      <c r="R27">
        <v>2023</v>
      </c>
      <c r="S27">
        <v>1</v>
      </c>
      <c r="T27">
        <v>22</v>
      </c>
      <c r="U27">
        <v>12</v>
      </c>
      <c r="Y27" s="4">
        <f t="shared" si="6"/>
        <v>12</v>
      </c>
    </row>
    <row r="28" spans="1:25" ht="18" x14ac:dyDescent="0.25">
      <c r="A28" t="s">
        <v>110</v>
      </c>
      <c r="B28" t="s">
        <v>14</v>
      </c>
      <c r="C28" s="12" t="str">
        <f t="shared" si="0"/>
        <v>Positive</v>
      </c>
      <c r="D28" s="18">
        <f t="shared" si="1"/>
        <v>1</v>
      </c>
      <c r="E28" s="1">
        <v>44949.680555555555</v>
      </c>
      <c r="F28" s="10">
        <f>INT(E28)</f>
        <v>44949</v>
      </c>
      <c r="G28" s="15">
        <f>MOD(E28,2)</f>
        <v>1.6805555555547471</v>
      </c>
      <c r="H28" s="15" t="str">
        <f t="shared" si="2"/>
        <v>16:20</v>
      </c>
      <c r="I28" t="s">
        <v>111</v>
      </c>
      <c r="J28" t="s">
        <v>31</v>
      </c>
      <c r="K28" t="str">
        <f t="shared" si="3"/>
        <v>Facebook</v>
      </c>
      <c r="L28" t="s">
        <v>112</v>
      </c>
      <c r="M28">
        <v>25</v>
      </c>
      <c r="N28">
        <v>50</v>
      </c>
      <c r="O28">
        <f t="shared" si="4"/>
        <v>75</v>
      </c>
      <c r="P28" t="s">
        <v>113</v>
      </c>
      <c r="Q28" t="str">
        <f t="shared" si="5"/>
        <v>India</v>
      </c>
      <c r="R28">
        <v>2023</v>
      </c>
      <c r="S28">
        <v>1</v>
      </c>
      <c r="T28">
        <v>23</v>
      </c>
      <c r="U28">
        <v>16</v>
      </c>
      <c r="Y28" s="4">
        <f t="shared" si="6"/>
        <v>16</v>
      </c>
    </row>
    <row r="29" spans="1:25" ht="18" x14ac:dyDescent="0.25">
      <c r="A29" t="s">
        <v>114</v>
      </c>
      <c r="B29" t="s">
        <v>14</v>
      </c>
      <c r="C29" s="12" t="str">
        <f t="shared" si="0"/>
        <v>Positive</v>
      </c>
      <c r="D29" s="18">
        <f t="shared" si="1"/>
        <v>1</v>
      </c>
      <c r="E29" s="1">
        <v>44949.822916666664</v>
      </c>
      <c r="F29" s="10">
        <f>INT(E29)</f>
        <v>44949</v>
      </c>
      <c r="G29" s="15">
        <f>MOD(E29,2)</f>
        <v>1.8229166666642413</v>
      </c>
      <c r="H29" s="15" t="str">
        <f t="shared" si="2"/>
        <v>19:45</v>
      </c>
      <c r="I29" t="s">
        <v>115</v>
      </c>
      <c r="J29" t="s">
        <v>26</v>
      </c>
      <c r="K29" t="str">
        <f t="shared" si="3"/>
        <v>Instagram</v>
      </c>
      <c r="L29" t="s">
        <v>116</v>
      </c>
      <c r="M29">
        <v>15</v>
      </c>
      <c r="N29">
        <v>30</v>
      </c>
      <c r="O29">
        <f t="shared" si="4"/>
        <v>45</v>
      </c>
      <c r="P29" t="s">
        <v>38</v>
      </c>
      <c r="Q29" t="str">
        <f t="shared" si="5"/>
        <v>Australia</v>
      </c>
      <c r="R29">
        <v>2023</v>
      </c>
      <c r="S29">
        <v>1</v>
      </c>
      <c r="T29">
        <v>23</v>
      </c>
      <c r="U29">
        <v>19</v>
      </c>
      <c r="Y29" s="4">
        <f t="shared" si="6"/>
        <v>19</v>
      </c>
    </row>
    <row r="30" spans="1:25" ht="18" x14ac:dyDescent="0.25">
      <c r="A30" t="s">
        <v>117</v>
      </c>
      <c r="B30" t="s">
        <v>14</v>
      </c>
      <c r="C30" s="12" t="str">
        <f t="shared" si="0"/>
        <v>Positive</v>
      </c>
      <c r="D30" s="18">
        <f t="shared" si="1"/>
        <v>1</v>
      </c>
      <c r="E30" s="1">
        <v>44950.479166666664</v>
      </c>
      <c r="F30" s="10">
        <f>INT(E30)</f>
        <v>44950</v>
      </c>
      <c r="G30" s="15">
        <f>MOD(E30,2)</f>
        <v>0.47916666666424135</v>
      </c>
      <c r="H30" s="15" t="str">
        <f t="shared" si="2"/>
        <v>11:30</v>
      </c>
      <c r="I30" t="s">
        <v>118</v>
      </c>
      <c r="J30" t="s">
        <v>16</v>
      </c>
      <c r="K30" t="str">
        <f t="shared" si="3"/>
        <v>Twitter</v>
      </c>
      <c r="L30" t="s">
        <v>119</v>
      </c>
      <c r="M30">
        <v>22</v>
      </c>
      <c r="N30">
        <v>45</v>
      </c>
      <c r="O30">
        <f t="shared" si="4"/>
        <v>67</v>
      </c>
      <c r="P30" t="s">
        <v>18</v>
      </c>
      <c r="Q30" t="str">
        <f t="shared" si="5"/>
        <v>USA</v>
      </c>
      <c r="R30">
        <v>2023</v>
      </c>
      <c r="S30">
        <v>1</v>
      </c>
      <c r="T30">
        <v>24</v>
      </c>
      <c r="U30">
        <v>11</v>
      </c>
      <c r="Y30" s="4">
        <f t="shared" si="6"/>
        <v>11</v>
      </c>
    </row>
    <row r="31" spans="1:25" ht="18" x14ac:dyDescent="0.25">
      <c r="A31" t="s">
        <v>120</v>
      </c>
      <c r="B31" t="s">
        <v>14</v>
      </c>
      <c r="C31" s="12" t="str">
        <f t="shared" si="0"/>
        <v>Positive</v>
      </c>
      <c r="D31" s="18">
        <f t="shared" si="1"/>
        <v>1</v>
      </c>
      <c r="E31" s="1">
        <v>44950.625</v>
      </c>
      <c r="F31" s="10">
        <f>INT(E31)</f>
        <v>44950</v>
      </c>
      <c r="G31" s="15">
        <f>MOD(E31,2)</f>
        <v>0.625</v>
      </c>
      <c r="H31" s="15" t="str">
        <f t="shared" si="2"/>
        <v>15:00</v>
      </c>
      <c r="I31" t="s">
        <v>121</v>
      </c>
      <c r="J31" t="s">
        <v>31</v>
      </c>
      <c r="K31" t="str">
        <f t="shared" si="3"/>
        <v>Facebook</v>
      </c>
      <c r="L31" t="s">
        <v>122</v>
      </c>
      <c r="M31">
        <v>12</v>
      </c>
      <c r="N31">
        <v>25</v>
      </c>
      <c r="O31">
        <f t="shared" si="4"/>
        <v>37</v>
      </c>
      <c r="P31" t="s">
        <v>123</v>
      </c>
      <c r="Q31" t="str">
        <f t="shared" si="5"/>
        <v>Canada</v>
      </c>
      <c r="R31">
        <v>2023</v>
      </c>
      <c r="S31">
        <v>1</v>
      </c>
      <c r="T31">
        <v>24</v>
      </c>
      <c r="U31">
        <v>15</v>
      </c>
      <c r="Y31" s="4">
        <f t="shared" si="6"/>
        <v>15</v>
      </c>
    </row>
    <row r="32" spans="1:25" ht="18" x14ac:dyDescent="0.25">
      <c r="A32" t="s">
        <v>124</v>
      </c>
      <c r="B32" t="s">
        <v>14</v>
      </c>
      <c r="C32" s="12" t="str">
        <f t="shared" si="0"/>
        <v>Positive</v>
      </c>
      <c r="D32" s="18">
        <f t="shared" si="1"/>
        <v>1</v>
      </c>
      <c r="E32" s="1">
        <v>44950.729166666664</v>
      </c>
      <c r="F32" s="10">
        <f>INT(E32)</f>
        <v>44950</v>
      </c>
      <c r="G32" s="15">
        <f>MOD(E32,2)</f>
        <v>0.72916666666424135</v>
      </c>
      <c r="H32" s="15" t="str">
        <f t="shared" si="2"/>
        <v>17:30</v>
      </c>
      <c r="I32" t="s">
        <v>125</v>
      </c>
      <c r="J32" t="s">
        <v>26</v>
      </c>
      <c r="K32" t="str">
        <f t="shared" si="3"/>
        <v>Instagram</v>
      </c>
      <c r="L32" t="s">
        <v>126</v>
      </c>
      <c r="M32">
        <v>18</v>
      </c>
      <c r="N32">
        <v>35</v>
      </c>
      <c r="O32">
        <f t="shared" si="4"/>
        <v>53</v>
      </c>
      <c r="P32" t="s">
        <v>127</v>
      </c>
      <c r="Q32" t="str">
        <f t="shared" si="5"/>
        <v>UK</v>
      </c>
      <c r="R32">
        <v>2023</v>
      </c>
      <c r="S32">
        <v>1</v>
      </c>
      <c r="T32">
        <v>24</v>
      </c>
      <c r="U32">
        <v>17</v>
      </c>
      <c r="Y32" s="4">
        <f t="shared" si="6"/>
        <v>17</v>
      </c>
    </row>
    <row r="33" spans="1:25" ht="18" x14ac:dyDescent="0.25">
      <c r="A33" t="s">
        <v>128</v>
      </c>
      <c r="B33" t="s">
        <v>14</v>
      </c>
      <c r="C33" s="12" t="str">
        <f t="shared" si="0"/>
        <v>Positive</v>
      </c>
      <c r="D33" s="18">
        <f t="shared" si="1"/>
        <v>1</v>
      </c>
      <c r="E33" s="1">
        <v>44951.75</v>
      </c>
      <c r="F33" s="10">
        <f>INT(E33)</f>
        <v>44951</v>
      </c>
      <c r="G33" s="15">
        <f>MOD(E33,2)</f>
        <v>1.75</v>
      </c>
      <c r="H33" s="15" t="str">
        <f t="shared" si="2"/>
        <v>18:00</v>
      </c>
      <c r="I33" t="s">
        <v>129</v>
      </c>
      <c r="J33" t="s">
        <v>16</v>
      </c>
      <c r="K33" t="str">
        <f t="shared" si="3"/>
        <v>Twitter</v>
      </c>
      <c r="L33" t="s">
        <v>130</v>
      </c>
      <c r="M33">
        <v>15</v>
      </c>
      <c r="N33">
        <v>30</v>
      </c>
      <c r="O33">
        <f t="shared" si="4"/>
        <v>45</v>
      </c>
      <c r="P33" t="s">
        <v>42</v>
      </c>
      <c r="Q33" t="str">
        <f t="shared" si="5"/>
        <v>India</v>
      </c>
      <c r="R33">
        <v>2023</v>
      </c>
      <c r="S33">
        <v>1</v>
      </c>
      <c r="T33">
        <v>25</v>
      </c>
      <c r="U33">
        <v>18</v>
      </c>
      <c r="Y33" s="4">
        <f t="shared" si="6"/>
        <v>18</v>
      </c>
    </row>
    <row r="34" spans="1:25" ht="18" x14ac:dyDescent="0.25">
      <c r="A34" t="s">
        <v>131</v>
      </c>
      <c r="B34" t="s">
        <v>14</v>
      </c>
      <c r="C34" s="12" t="str">
        <f t="shared" si="0"/>
        <v>Positive</v>
      </c>
      <c r="D34" s="18">
        <f t="shared" si="1"/>
        <v>1</v>
      </c>
      <c r="E34" s="1">
        <v>44951.552083333336</v>
      </c>
      <c r="F34" s="10">
        <f>INT(E34)</f>
        <v>44951</v>
      </c>
      <c r="G34" s="15">
        <f>MOD(E34,2)</f>
        <v>1.5520833333357587</v>
      </c>
      <c r="H34" s="15" t="str">
        <f t="shared" si="2"/>
        <v>13:15</v>
      </c>
      <c r="I34" t="s">
        <v>132</v>
      </c>
      <c r="J34" t="s">
        <v>31</v>
      </c>
      <c r="K34" t="str">
        <f t="shared" si="3"/>
        <v>Facebook</v>
      </c>
      <c r="L34" t="s">
        <v>133</v>
      </c>
      <c r="M34">
        <v>30</v>
      </c>
      <c r="N34">
        <v>60</v>
      </c>
      <c r="O34">
        <f t="shared" si="4"/>
        <v>90</v>
      </c>
      <c r="P34" t="s">
        <v>98</v>
      </c>
      <c r="Q34" t="str">
        <f t="shared" si="5"/>
        <v>USA</v>
      </c>
      <c r="R34">
        <v>2023</v>
      </c>
      <c r="S34">
        <v>1</v>
      </c>
      <c r="T34">
        <v>25</v>
      </c>
      <c r="U34">
        <v>13</v>
      </c>
      <c r="Y34" s="4">
        <f t="shared" si="6"/>
        <v>13</v>
      </c>
    </row>
    <row r="35" spans="1:25" ht="18" x14ac:dyDescent="0.25">
      <c r="A35" t="s">
        <v>134</v>
      </c>
      <c r="B35" t="s">
        <v>14</v>
      </c>
      <c r="C35" s="12" t="str">
        <f t="shared" si="0"/>
        <v>Positive</v>
      </c>
      <c r="D35" s="18">
        <f t="shared" si="1"/>
        <v>1</v>
      </c>
      <c r="E35" s="1">
        <v>44952.40625</v>
      </c>
      <c r="F35" s="10">
        <f>INT(E35)</f>
        <v>44952</v>
      </c>
      <c r="G35" s="15">
        <f>MOD(E35,2)</f>
        <v>0.40625</v>
      </c>
      <c r="H35" s="15" t="str">
        <f t="shared" si="2"/>
        <v>09:45</v>
      </c>
      <c r="I35" t="s">
        <v>135</v>
      </c>
      <c r="J35" t="s">
        <v>26</v>
      </c>
      <c r="K35" t="str">
        <f t="shared" si="3"/>
        <v>Instagram</v>
      </c>
      <c r="L35" t="s">
        <v>136</v>
      </c>
      <c r="M35">
        <v>25</v>
      </c>
      <c r="N35">
        <v>50</v>
      </c>
      <c r="O35">
        <f t="shared" si="4"/>
        <v>75</v>
      </c>
      <c r="P35" t="s">
        <v>59</v>
      </c>
      <c r="Q35" t="str">
        <f t="shared" si="5"/>
        <v>USA</v>
      </c>
      <c r="R35">
        <v>2023</v>
      </c>
      <c r="S35">
        <v>1</v>
      </c>
      <c r="T35">
        <v>26</v>
      </c>
      <c r="U35">
        <v>9</v>
      </c>
      <c r="Y35" s="4">
        <f t="shared" si="6"/>
        <v>9</v>
      </c>
    </row>
    <row r="36" spans="1:25" ht="18" x14ac:dyDescent="0.25">
      <c r="A36" t="s">
        <v>137</v>
      </c>
      <c r="B36" t="s">
        <v>14</v>
      </c>
      <c r="C36" s="12" t="str">
        <f t="shared" si="0"/>
        <v>Positive</v>
      </c>
      <c r="D36" s="18">
        <f t="shared" si="1"/>
        <v>1</v>
      </c>
      <c r="E36" s="1">
        <v>44952.597222222219</v>
      </c>
      <c r="F36" s="10">
        <f>INT(E36)</f>
        <v>44952</v>
      </c>
      <c r="G36" s="15">
        <f>MOD(E36,2)</f>
        <v>0.59722222221898846</v>
      </c>
      <c r="H36" s="15" t="str">
        <f t="shared" si="2"/>
        <v>14:20</v>
      </c>
      <c r="I36" t="s">
        <v>138</v>
      </c>
      <c r="J36" t="s">
        <v>16</v>
      </c>
      <c r="K36" t="str">
        <f t="shared" si="3"/>
        <v>Twitter</v>
      </c>
      <c r="L36" t="s">
        <v>139</v>
      </c>
      <c r="M36">
        <v>15</v>
      </c>
      <c r="N36">
        <v>30</v>
      </c>
      <c r="O36">
        <f t="shared" si="4"/>
        <v>45</v>
      </c>
      <c r="P36" t="s">
        <v>23</v>
      </c>
      <c r="Q36" t="str">
        <f t="shared" si="5"/>
        <v>Canada</v>
      </c>
      <c r="R36">
        <v>2023</v>
      </c>
      <c r="S36">
        <v>1</v>
      </c>
      <c r="T36">
        <v>26</v>
      </c>
      <c r="U36">
        <v>14</v>
      </c>
      <c r="Y36" s="4">
        <f t="shared" si="6"/>
        <v>14</v>
      </c>
    </row>
    <row r="37" spans="1:25" ht="18" x14ac:dyDescent="0.25">
      <c r="A37" t="s">
        <v>140</v>
      </c>
      <c r="B37" t="s">
        <v>14</v>
      </c>
      <c r="C37" s="12" t="str">
        <f t="shared" si="0"/>
        <v>Positive</v>
      </c>
      <c r="D37" s="18">
        <f t="shared" si="1"/>
        <v>1</v>
      </c>
      <c r="E37" s="1">
        <v>44952.736111111109</v>
      </c>
      <c r="F37" s="10">
        <f>INT(E37)</f>
        <v>44952</v>
      </c>
      <c r="G37" s="15">
        <f>MOD(E37,2)</f>
        <v>0.73611111110949423</v>
      </c>
      <c r="H37" s="15" t="str">
        <f t="shared" si="2"/>
        <v>17:40</v>
      </c>
      <c r="I37" t="s">
        <v>141</v>
      </c>
      <c r="J37" t="s">
        <v>31</v>
      </c>
      <c r="K37" t="str">
        <f t="shared" si="3"/>
        <v>Facebook</v>
      </c>
      <c r="L37" t="s">
        <v>142</v>
      </c>
      <c r="M37">
        <v>22</v>
      </c>
      <c r="N37">
        <v>45</v>
      </c>
      <c r="O37">
        <f t="shared" si="4"/>
        <v>67</v>
      </c>
      <c r="P37" t="s">
        <v>127</v>
      </c>
      <c r="Q37" t="str">
        <f t="shared" si="5"/>
        <v>UK</v>
      </c>
      <c r="R37">
        <v>2023</v>
      </c>
      <c r="S37">
        <v>1</v>
      </c>
      <c r="T37">
        <v>26</v>
      </c>
      <c r="U37">
        <v>17</v>
      </c>
      <c r="Y37" s="4">
        <f t="shared" si="6"/>
        <v>17</v>
      </c>
    </row>
    <row r="38" spans="1:25" ht="18" x14ac:dyDescent="0.25">
      <c r="A38" t="s">
        <v>143</v>
      </c>
      <c r="B38" t="s">
        <v>14</v>
      </c>
      <c r="C38" s="12" t="str">
        <f t="shared" si="0"/>
        <v>Positive</v>
      </c>
      <c r="D38" s="18">
        <f t="shared" si="1"/>
        <v>1</v>
      </c>
      <c r="E38" s="1">
        <v>44953.833333333336</v>
      </c>
      <c r="F38" s="10">
        <f>INT(E38)</f>
        <v>44953</v>
      </c>
      <c r="G38" s="15">
        <f>MOD(E38,2)</f>
        <v>1.8333333333357587</v>
      </c>
      <c r="H38" s="15" t="str">
        <f t="shared" si="2"/>
        <v>20:00</v>
      </c>
      <c r="I38" t="s">
        <v>144</v>
      </c>
      <c r="J38" t="s">
        <v>26</v>
      </c>
      <c r="K38" t="str">
        <f t="shared" si="3"/>
        <v>Instagram</v>
      </c>
      <c r="L38" t="s">
        <v>145</v>
      </c>
      <c r="M38">
        <v>18</v>
      </c>
      <c r="N38">
        <v>35</v>
      </c>
      <c r="O38">
        <f t="shared" si="4"/>
        <v>53</v>
      </c>
      <c r="P38" t="s">
        <v>98</v>
      </c>
      <c r="Q38" t="str">
        <f t="shared" si="5"/>
        <v>USA</v>
      </c>
      <c r="R38">
        <v>2023</v>
      </c>
      <c r="S38">
        <v>1</v>
      </c>
      <c r="T38">
        <v>27</v>
      </c>
      <c r="U38">
        <v>20</v>
      </c>
      <c r="Y38" s="4">
        <f t="shared" si="6"/>
        <v>20</v>
      </c>
    </row>
    <row r="39" spans="1:25" ht="18" x14ac:dyDescent="0.25">
      <c r="A39" t="s">
        <v>146</v>
      </c>
      <c r="B39" t="s">
        <v>14</v>
      </c>
      <c r="C39" s="12" t="str">
        <f t="shared" si="0"/>
        <v>Positive</v>
      </c>
      <c r="D39" s="18">
        <f t="shared" si="1"/>
        <v>1</v>
      </c>
      <c r="E39" s="1">
        <v>44953.520833333336</v>
      </c>
      <c r="F39" s="10">
        <f>INT(E39)</f>
        <v>44953</v>
      </c>
      <c r="G39" s="15">
        <f>MOD(E39,2)</f>
        <v>1.5208333333357587</v>
      </c>
      <c r="H39" s="15" t="str">
        <f t="shared" si="2"/>
        <v>12:30</v>
      </c>
      <c r="I39" t="s">
        <v>147</v>
      </c>
      <c r="J39" t="s">
        <v>16</v>
      </c>
      <c r="K39" t="str">
        <f t="shared" si="3"/>
        <v>Twitter</v>
      </c>
      <c r="L39" t="s">
        <v>148</v>
      </c>
      <c r="M39">
        <v>15</v>
      </c>
      <c r="N39">
        <v>30</v>
      </c>
      <c r="O39">
        <f t="shared" si="4"/>
        <v>45</v>
      </c>
      <c r="P39" t="s">
        <v>42</v>
      </c>
      <c r="Q39" t="str">
        <f t="shared" si="5"/>
        <v>India</v>
      </c>
      <c r="R39">
        <v>2023</v>
      </c>
      <c r="S39">
        <v>1</v>
      </c>
      <c r="T39">
        <v>27</v>
      </c>
      <c r="U39">
        <v>12</v>
      </c>
      <c r="Y39" s="4">
        <f t="shared" si="6"/>
        <v>12</v>
      </c>
    </row>
    <row r="40" spans="1:25" ht="18" x14ac:dyDescent="0.25">
      <c r="A40" t="s">
        <v>149</v>
      </c>
      <c r="B40" t="s">
        <v>14</v>
      </c>
      <c r="C40" s="12" t="str">
        <f t="shared" si="0"/>
        <v>Positive</v>
      </c>
      <c r="D40" s="18">
        <f t="shared" si="1"/>
        <v>1</v>
      </c>
      <c r="E40" s="1">
        <v>44953.673611111109</v>
      </c>
      <c r="F40" s="10">
        <f>INT(E40)</f>
        <v>44953</v>
      </c>
      <c r="G40" s="15">
        <f>MOD(E40,2)</f>
        <v>1.6736111111094942</v>
      </c>
      <c r="H40" s="15" t="str">
        <f t="shared" si="2"/>
        <v>16:10</v>
      </c>
      <c r="I40" t="s">
        <v>150</v>
      </c>
      <c r="J40" t="s">
        <v>31</v>
      </c>
      <c r="K40" t="str">
        <f t="shared" si="3"/>
        <v>Facebook</v>
      </c>
      <c r="L40" t="s">
        <v>151</v>
      </c>
      <c r="M40">
        <v>12</v>
      </c>
      <c r="N40">
        <v>25</v>
      </c>
      <c r="O40">
        <f t="shared" si="4"/>
        <v>37</v>
      </c>
      <c r="P40" t="s">
        <v>123</v>
      </c>
      <c r="Q40" t="str">
        <f t="shared" si="5"/>
        <v>Canada</v>
      </c>
      <c r="R40">
        <v>2023</v>
      </c>
      <c r="S40">
        <v>1</v>
      </c>
      <c r="T40">
        <v>27</v>
      </c>
      <c r="U40">
        <v>16</v>
      </c>
      <c r="Y40" s="4">
        <f t="shared" si="6"/>
        <v>16</v>
      </c>
    </row>
    <row r="41" spans="1:25" ht="18" x14ac:dyDescent="0.25">
      <c r="A41" t="s">
        <v>152</v>
      </c>
      <c r="B41" t="s">
        <v>14</v>
      </c>
      <c r="C41" s="12" t="str">
        <f t="shared" si="0"/>
        <v>Positive</v>
      </c>
      <c r="D41" s="18">
        <f t="shared" si="1"/>
        <v>1</v>
      </c>
      <c r="E41" s="1">
        <v>44954.375</v>
      </c>
      <c r="F41" s="10">
        <f>INT(E41)</f>
        <v>44954</v>
      </c>
      <c r="G41" s="15">
        <f>MOD(E41,2)</f>
        <v>0.375</v>
      </c>
      <c r="H41" s="15" t="str">
        <f t="shared" si="2"/>
        <v>09:00</v>
      </c>
      <c r="I41" t="s">
        <v>153</v>
      </c>
      <c r="J41" t="s">
        <v>26</v>
      </c>
      <c r="K41" t="str">
        <f t="shared" si="3"/>
        <v>Instagram</v>
      </c>
      <c r="L41" t="s">
        <v>154</v>
      </c>
      <c r="M41">
        <v>30</v>
      </c>
      <c r="N41">
        <v>60</v>
      </c>
      <c r="O41">
        <f t="shared" si="4"/>
        <v>90</v>
      </c>
      <c r="P41" t="s">
        <v>59</v>
      </c>
      <c r="Q41" t="str">
        <f t="shared" si="5"/>
        <v>USA</v>
      </c>
      <c r="R41">
        <v>2023</v>
      </c>
      <c r="S41">
        <v>1</v>
      </c>
      <c r="T41">
        <v>28</v>
      </c>
      <c r="U41">
        <v>9</v>
      </c>
      <c r="Y41" s="4">
        <f t="shared" si="6"/>
        <v>9</v>
      </c>
    </row>
    <row r="42" spans="1:25" ht="18" x14ac:dyDescent="0.25">
      <c r="A42" t="s">
        <v>155</v>
      </c>
      <c r="B42" t="s">
        <v>14</v>
      </c>
      <c r="C42" s="12" t="str">
        <f t="shared" si="0"/>
        <v>Positive</v>
      </c>
      <c r="D42" s="18">
        <f t="shared" si="1"/>
        <v>1</v>
      </c>
      <c r="E42" s="1">
        <v>44954.614583333336</v>
      </c>
      <c r="F42" s="10">
        <f>INT(E42)</f>
        <v>44954</v>
      </c>
      <c r="G42" s="15">
        <f>MOD(E42,2)</f>
        <v>0.61458333333575865</v>
      </c>
      <c r="H42" s="15" t="str">
        <f t="shared" si="2"/>
        <v>14:45</v>
      </c>
      <c r="I42" t="s">
        <v>156</v>
      </c>
      <c r="J42" t="s">
        <v>16</v>
      </c>
      <c r="K42" t="str">
        <f t="shared" si="3"/>
        <v>Twitter</v>
      </c>
      <c r="L42" t="s">
        <v>157</v>
      </c>
      <c r="M42">
        <v>25</v>
      </c>
      <c r="N42">
        <v>50</v>
      </c>
      <c r="O42">
        <f t="shared" si="4"/>
        <v>75</v>
      </c>
      <c r="P42" t="s">
        <v>18</v>
      </c>
      <c r="Q42" t="str">
        <f t="shared" si="5"/>
        <v>USA</v>
      </c>
      <c r="R42">
        <v>2023</v>
      </c>
      <c r="S42">
        <v>1</v>
      </c>
      <c r="T42">
        <v>28</v>
      </c>
      <c r="U42">
        <v>14</v>
      </c>
      <c r="Y42" s="4">
        <f t="shared" si="6"/>
        <v>14</v>
      </c>
    </row>
    <row r="43" spans="1:25" ht="18" x14ac:dyDescent="0.25">
      <c r="A43" t="s">
        <v>158</v>
      </c>
      <c r="B43" t="s">
        <v>14</v>
      </c>
      <c r="C43" s="12" t="str">
        <f t="shared" si="0"/>
        <v>Positive</v>
      </c>
      <c r="D43" s="18">
        <f t="shared" si="1"/>
        <v>1</v>
      </c>
      <c r="E43" s="1">
        <v>44954.8125</v>
      </c>
      <c r="F43" s="10">
        <f>INT(E43)</f>
        <v>44954</v>
      </c>
      <c r="G43" s="15">
        <f>MOD(E43,2)</f>
        <v>0.8125</v>
      </c>
      <c r="H43" s="15" t="str">
        <f t="shared" si="2"/>
        <v>19:30</v>
      </c>
      <c r="I43" t="s">
        <v>159</v>
      </c>
      <c r="J43" t="s">
        <v>31</v>
      </c>
      <c r="K43" t="str">
        <f t="shared" si="3"/>
        <v>Facebook</v>
      </c>
      <c r="L43" t="s">
        <v>160</v>
      </c>
      <c r="M43">
        <v>15</v>
      </c>
      <c r="N43">
        <v>30</v>
      </c>
      <c r="O43">
        <f t="shared" si="4"/>
        <v>45</v>
      </c>
      <c r="P43" t="s">
        <v>109</v>
      </c>
      <c r="Q43" t="str">
        <f t="shared" si="5"/>
        <v>UK</v>
      </c>
      <c r="R43">
        <v>2023</v>
      </c>
      <c r="S43">
        <v>1</v>
      </c>
      <c r="T43">
        <v>28</v>
      </c>
      <c r="U43">
        <v>19</v>
      </c>
      <c r="Y43" s="4">
        <f t="shared" si="6"/>
        <v>19</v>
      </c>
    </row>
    <row r="44" spans="1:25" ht="18" x14ac:dyDescent="0.25">
      <c r="A44" t="s">
        <v>161</v>
      </c>
      <c r="B44" t="s">
        <v>14</v>
      </c>
      <c r="C44" s="12" t="str">
        <f t="shared" si="0"/>
        <v>Positive</v>
      </c>
      <c r="D44" s="18">
        <f t="shared" si="1"/>
        <v>1</v>
      </c>
      <c r="E44" s="1">
        <v>44955.708333333336</v>
      </c>
      <c r="F44" s="10">
        <f>INT(E44)</f>
        <v>44955</v>
      </c>
      <c r="G44" s="15">
        <f>MOD(E44,2)</f>
        <v>1.7083333333357587</v>
      </c>
      <c r="H44" s="15" t="str">
        <f t="shared" si="2"/>
        <v>17:00</v>
      </c>
      <c r="I44" t="s">
        <v>162</v>
      </c>
      <c r="J44" t="s">
        <v>26</v>
      </c>
      <c r="K44" t="str">
        <f t="shared" si="3"/>
        <v>Instagram</v>
      </c>
      <c r="L44" t="s">
        <v>163</v>
      </c>
      <c r="M44">
        <v>22</v>
      </c>
      <c r="N44">
        <v>45</v>
      </c>
      <c r="O44">
        <f t="shared" si="4"/>
        <v>67</v>
      </c>
      <c r="P44" t="s">
        <v>164</v>
      </c>
      <c r="Q44" t="str">
        <f t="shared" si="5"/>
        <v>India</v>
      </c>
      <c r="R44">
        <v>2023</v>
      </c>
      <c r="S44">
        <v>1</v>
      </c>
      <c r="T44">
        <v>29</v>
      </c>
      <c r="U44">
        <v>17</v>
      </c>
      <c r="Y44" s="4">
        <f t="shared" si="6"/>
        <v>17</v>
      </c>
    </row>
    <row r="45" spans="1:25" ht="18" x14ac:dyDescent="0.25">
      <c r="A45" t="s">
        <v>165</v>
      </c>
      <c r="B45" t="s">
        <v>14</v>
      </c>
      <c r="C45" s="12" t="str">
        <f t="shared" si="0"/>
        <v>Positive</v>
      </c>
      <c r="D45" s="18">
        <f t="shared" si="1"/>
        <v>1</v>
      </c>
      <c r="E45" s="1">
        <v>44955.847222222219</v>
      </c>
      <c r="F45" s="10">
        <f>INT(E45)</f>
        <v>44955</v>
      </c>
      <c r="G45" s="15">
        <f>MOD(E45,2)</f>
        <v>1.8472222222189885</v>
      </c>
      <c r="H45" s="15" t="str">
        <f t="shared" si="2"/>
        <v>20:20</v>
      </c>
      <c r="I45" t="s">
        <v>166</v>
      </c>
      <c r="J45" t="s">
        <v>16</v>
      </c>
      <c r="K45" t="str">
        <f t="shared" si="3"/>
        <v>Twitter</v>
      </c>
      <c r="L45" t="s">
        <v>167</v>
      </c>
      <c r="M45">
        <v>18</v>
      </c>
      <c r="N45">
        <v>35</v>
      </c>
      <c r="O45">
        <f t="shared" si="4"/>
        <v>53</v>
      </c>
      <c r="P45" t="s">
        <v>23</v>
      </c>
      <c r="Q45" t="str">
        <f t="shared" si="5"/>
        <v>Canada</v>
      </c>
      <c r="R45">
        <v>2023</v>
      </c>
      <c r="S45">
        <v>1</v>
      </c>
      <c r="T45">
        <v>29</v>
      </c>
      <c r="U45">
        <v>20</v>
      </c>
      <c r="Y45" s="4">
        <f t="shared" si="6"/>
        <v>20</v>
      </c>
    </row>
    <row r="46" spans="1:25" ht="18" x14ac:dyDescent="0.25">
      <c r="A46" t="s">
        <v>168</v>
      </c>
      <c r="B46" t="s">
        <v>14</v>
      </c>
      <c r="C46" s="12" t="str">
        <f t="shared" si="0"/>
        <v>Positive</v>
      </c>
      <c r="D46" s="18">
        <f t="shared" si="1"/>
        <v>1</v>
      </c>
      <c r="E46" s="1">
        <v>44956.479166666664</v>
      </c>
      <c r="F46" s="10">
        <f>INT(E46)</f>
        <v>44956</v>
      </c>
      <c r="G46" s="15">
        <f>MOD(E46,2)</f>
        <v>0.47916666666424135</v>
      </c>
      <c r="H46" s="15" t="str">
        <f t="shared" si="2"/>
        <v>11:30</v>
      </c>
      <c r="I46" t="s">
        <v>169</v>
      </c>
      <c r="J46" t="s">
        <v>31</v>
      </c>
      <c r="K46" t="str">
        <f t="shared" si="3"/>
        <v>Facebook</v>
      </c>
      <c r="L46" t="s">
        <v>170</v>
      </c>
      <c r="M46">
        <v>15</v>
      </c>
      <c r="N46">
        <v>30</v>
      </c>
      <c r="O46">
        <f t="shared" si="4"/>
        <v>45</v>
      </c>
      <c r="P46" t="s">
        <v>18</v>
      </c>
      <c r="Q46" t="str">
        <f t="shared" si="5"/>
        <v>USA</v>
      </c>
      <c r="R46">
        <v>2023</v>
      </c>
      <c r="S46">
        <v>1</v>
      </c>
      <c r="T46">
        <v>30</v>
      </c>
      <c r="U46">
        <v>11</v>
      </c>
      <c r="Y46" s="4">
        <f t="shared" si="6"/>
        <v>11</v>
      </c>
    </row>
    <row r="47" spans="1:25" ht="18" x14ac:dyDescent="0.25">
      <c r="A47" t="s">
        <v>171</v>
      </c>
      <c r="B47" t="s">
        <v>14</v>
      </c>
      <c r="C47" s="12" t="str">
        <f t="shared" si="0"/>
        <v>Positive</v>
      </c>
      <c r="D47" s="18">
        <f t="shared" si="1"/>
        <v>1</v>
      </c>
      <c r="E47" s="1">
        <v>44956.65625</v>
      </c>
      <c r="F47" s="10">
        <f>INT(E47)</f>
        <v>44956</v>
      </c>
      <c r="G47" s="15">
        <f>MOD(E47,2)</f>
        <v>0.65625</v>
      </c>
      <c r="H47" s="15" t="str">
        <f t="shared" si="2"/>
        <v>15:45</v>
      </c>
      <c r="I47" t="s">
        <v>172</v>
      </c>
      <c r="J47" t="s">
        <v>26</v>
      </c>
      <c r="K47" t="str">
        <f t="shared" si="3"/>
        <v>Instagram</v>
      </c>
      <c r="L47" t="s">
        <v>173</v>
      </c>
      <c r="M47">
        <v>12</v>
      </c>
      <c r="N47">
        <v>25</v>
      </c>
      <c r="O47">
        <f t="shared" si="4"/>
        <v>37</v>
      </c>
      <c r="P47" t="s">
        <v>174</v>
      </c>
      <c r="Q47" t="str">
        <f t="shared" si="5"/>
        <v>UK</v>
      </c>
      <c r="R47">
        <v>2023</v>
      </c>
      <c r="S47">
        <v>1</v>
      </c>
      <c r="T47">
        <v>30</v>
      </c>
      <c r="U47">
        <v>15</v>
      </c>
      <c r="Y47" s="4">
        <f t="shared" si="6"/>
        <v>15</v>
      </c>
    </row>
    <row r="48" spans="1:25" ht="18" x14ac:dyDescent="0.25">
      <c r="A48" t="s">
        <v>175</v>
      </c>
      <c r="B48" t="s">
        <v>14</v>
      </c>
      <c r="C48" s="12" t="str">
        <f t="shared" si="0"/>
        <v>Positive</v>
      </c>
      <c r="D48" s="18">
        <f t="shared" si="1"/>
        <v>1</v>
      </c>
      <c r="E48" s="1">
        <v>44956.770833333336</v>
      </c>
      <c r="F48" s="10">
        <f>INT(E48)</f>
        <v>44956</v>
      </c>
      <c r="G48" s="15">
        <f>MOD(E48,2)</f>
        <v>0.77083333333575865</v>
      </c>
      <c r="H48" s="15" t="str">
        <f t="shared" si="2"/>
        <v>18:30</v>
      </c>
      <c r="I48" t="s">
        <v>176</v>
      </c>
      <c r="J48" t="s">
        <v>16</v>
      </c>
      <c r="K48" t="str">
        <f t="shared" si="3"/>
        <v>Twitter</v>
      </c>
      <c r="L48" t="s">
        <v>177</v>
      </c>
      <c r="M48">
        <v>28</v>
      </c>
      <c r="N48">
        <v>55</v>
      </c>
      <c r="O48">
        <f t="shared" si="4"/>
        <v>83</v>
      </c>
      <c r="P48" t="s">
        <v>42</v>
      </c>
      <c r="Q48" t="str">
        <f t="shared" si="5"/>
        <v>India</v>
      </c>
      <c r="R48">
        <v>2023</v>
      </c>
      <c r="S48">
        <v>1</v>
      </c>
      <c r="T48">
        <v>30</v>
      </c>
      <c r="U48">
        <v>18</v>
      </c>
      <c r="Y48" s="4">
        <f t="shared" si="6"/>
        <v>18</v>
      </c>
    </row>
    <row r="49" spans="1:25" ht="18" x14ac:dyDescent="0.25">
      <c r="A49" t="s">
        <v>178</v>
      </c>
      <c r="B49" t="s">
        <v>14</v>
      </c>
      <c r="C49" s="12" t="str">
        <f t="shared" si="0"/>
        <v>Positive</v>
      </c>
      <c r="D49" s="18">
        <f t="shared" si="1"/>
        <v>1</v>
      </c>
      <c r="E49" s="1">
        <v>44957.447916666664</v>
      </c>
      <c r="F49" s="10">
        <f>INT(E49)</f>
        <v>44957</v>
      </c>
      <c r="G49" s="15">
        <f>MOD(E49,2)</f>
        <v>1.4479166666642413</v>
      </c>
      <c r="H49" s="15" t="str">
        <f t="shared" si="2"/>
        <v>10:45</v>
      </c>
      <c r="I49" t="s">
        <v>179</v>
      </c>
      <c r="J49" t="s">
        <v>31</v>
      </c>
      <c r="K49" t="str">
        <f t="shared" si="3"/>
        <v>Facebook</v>
      </c>
      <c r="L49" t="s">
        <v>180</v>
      </c>
      <c r="M49">
        <v>15</v>
      </c>
      <c r="N49">
        <v>30</v>
      </c>
      <c r="O49">
        <f t="shared" si="4"/>
        <v>45</v>
      </c>
      <c r="P49" t="s">
        <v>38</v>
      </c>
      <c r="Q49" t="str">
        <f t="shared" si="5"/>
        <v>Australia</v>
      </c>
      <c r="R49">
        <v>2023</v>
      </c>
      <c r="S49">
        <v>1</v>
      </c>
      <c r="T49">
        <v>31</v>
      </c>
      <c r="U49">
        <v>10</v>
      </c>
      <c r="Y49" s="4">
        <f t="shared" si="6"/>
        <v>10</v>
      </c>
    </row>
    <row r="50" spans="1:25" ht="18" x14ac:dyDescent="0.25">
      <c r="A50" t="s">
        <v>181</v>
      </c>
      <c r="B50" t="s">
        <v>14</v>
      </c>
      <c r="C50" s="12" t="str">
        <f t="shared" si="0"/>
        <v>Positive</v>
      </c>
      <c r="D50" s="18">
        <f t="shared" si="1"/>
        <v>1</v>
      </c>
      <c r="E50" s="1">
        <v>44957.791666666664</v>
      </c>
      <c r="F50" s="10">
        <f>INT(E50)</f>
        <v>44957</v>
      </c>
      <c r="G50" s="15">
        <f>MOD(E50,2)</f>
        <v>1.7916666666642413</v>
      </c>
      <c r="H50" s="15" t="str">
        <f t="shared" si="2"/>
        <v>19:00</v>
      </c>
      <c r="I50" t="s">
        <v>182</v>
      </c>
      <c r="J50" t="s">
        <v>26</v>
      </c>
      <c r="K50" t="str">
        <f t="shared" si="3"/>
        <v>Instagram</v>
      </c>
      <c r="L50" t="s">
        <v>183</v>
      </c>
      <c r="M50">
        <v>20</v>
      </c>
      <c r="N50">
        <v>40</v>
      </c>
      <c r="O50">
        <f t="shared" si="4"/>
        <v>60</v>
      </c>
      <c r="P50" t="s">
        <v>88</v>
      </c>
      <c r="Q50" t="str">
        <f t="shared" si="5"/>
        <v>USA</v>
      </c>
      <c r="R50">
        <v>2023</v>
      </c>
      <c r="S50">
        <v>1</v>
      </c>
      <c r="T50">
        <v>31</v>
      </c>
      <c r="U50">
        <v>19</v>
      </c>
      <c r="Y50" s="4">
        <f t="shared" si="6"/>
        <v>19</v>
      </c>
    </row>
    <row r="51" spans="1:25" ht="18" x14ac:dyDescent="0.25">
      <c r="A51" t="s">
        <v>184</v>
      </c>
      <c r="B51" t="s">
        <v>14</v>
      </c>
      <c r="C51" s="12" t="str">
        <f t="shared" si="0"/>
        <v>Positive</v>
      </c>
      <c r="D51" s="18">
        <f t="shared" si="1"/>
        <v>1</v>
      </c>
      <c r="E51" s="1">
        <v>44957.680555555555</v>
      </c>
      <c r="F51" s="10">
        <f>INT(E51)</f>
        <v>44957</v>
      </c>
      <c r="G51" s="15">
        <f>MOD(E51,2)</f>
        <v>1.6805555555547471</v>
      </c>
      <c r="H51" s="15" t="str">
        <f t="shared" si="2"/>
        <v>16:20</v>
      </c>
      <c r="I51" t="s">
        <v>185</v>
      </c>
      <c r="J51" t="s">
        <v>16</v>
      </c>
      <c r="K51" t="str">
        <f t="shared" si="3"/>
        <v>Twitter</v>
      </c>
      <c r="L51" t="s">
        <v>186</v>
      </c>
      <c r="M51">
        <v>15</v>
      </c>
      <c r="N51">
        <v>30</v>
      </c>
      <c r="O51">
        <f t="shared" si="4"/>
        <v>45</v>
      </c>
      <c r="P51" t="s">
        <v>23</v>
      </c>
      <c r="Q51" t="str">
        <f t="shared" si="5"/>
        <v>Canada</v>
      </c>
      <c r="R51">
        <v>2023</v>
      </c>
      <c r="S51">
        <v>1</v>
      </c>
      <c r="T51">
        <v>31</v>
      </c>
      <c r="U51">
        <v>16</v>
      </c>
      <c r="Y51" s="4">
        <f t="shared" si="6"/>
        <v>16</v>
      </c>
    </row>
    <row r="52" spans="1:25" ht="18" x14ac:dyDescent="0.25">
      <c r="A52" t="s">
        <v>187</v>
      </c>
      <c r="B52" t="s">
        <v>14</v>
      </c>
      <c r="C52" s="12" t="str">
        <f t="shared" si="0"/>
        <v>Positive</v>
      </c>
      <c r="D52" s="18">
        <f t="shared" si="1"/>
        <v>1</v>
      </c>
      <c r="E52" s="1">
        <v>44958.333333333336</v>
      </c>
      <c r="F52" s="10">
        <f>INT(E52)</f>
        <v>44958</v>
      </c>
      <c r="G52" s="15">
        <f>MOD(E52,2)</f>
        <v>0.33333333333575865</v>
      </c>
      <c r="H52" s="15" t="str">
        <f t="shared" si="2"/>
        <v>08:00</v>
      </c>
      <c r="I52" t="s">
        <v>188</v>
      </c>
      <c r="J52" t="s">
        <v>31</v>
      </c>
      <c r="K52" t="str">
        <f t="shared" si="3"/>
        <v>Facebook</v>
      </c>
      <c r="L52" t="s">
        <v>189</v>
      </c>
      <c r="M52">
        <v>22</v>
      </c>
      <c r="N52">
        <v>45</v>
      </c>
      <c r="O52">
        <f t="shared" si="4"/>
        <v>67</v>
      </c>
      <c r="P52" t="s">
        <v>190</v>
      </c>
      <c r="Q52" t="str">
        <f t="shared" si="5"/>
        <v>UK</v>
      </c>
      <c r="R52">
        <v>2023</v>
      </c>
      <c r="S52">
        <v>2</v>
      </c>
      <c r="T52">
        <v>1</v>
      </c>
      <c r="U52">
        <v>8</v>
      </c>
      <c r="Y52" s="4">
        <f t="shared" si="6"/>
        <v>8</v>
      </c>
    </row>
    <row r="53" spans="1:25" ht="18" x14ac:dyDescent="0.25">
      <c r="A53" t="s">
        <v>191</v>
      </c>
      <c r="B53" t="s">
        <v>14</v>
      </c>
      <c r="C53" s="12" t="str">
        <f t="shared" si="0"/>
        <v>Positive</v>
      </c>
      <c r="D53" s="18">
        <f t="shared" si="1"/>
        <v>1</v>
      </c>
      <c r="E53" s="1">
        <v>44958.5625</v>
      </c>
      <c r="F53" s="10">
        <f>INT(E53)</f>
        <v>44958</v>
      </c>
      <c r="G53" s="15">
        <f>MOD(E53,2)</f>
        <v>0.5625</v>
      </c>
      <c r="H53" s="15" t="str">
        <f t="shared" si="2"/>
        <v>13:30</v>
      </c>
      <c r="I53" t="s">
        <v>192</v>
      </c>
      <c r="J53" t="s">
        <v>26</v>
      </c>
      <c r="K53" t="str">
        <f t="shared" si="3"/>
        <v>Instagram</v>
      </c>
      <c r="L53" t="s">
        <v>193</v>
      </c>
      <c r="M53">
        <v>18</v>
      </c>
      <c r="N53">
        <v>35</v>
      </c>
      <c r="O53">
        <f t="shared" si="4"/>
        <v>53</v>
      </c>
      <c r="P53" t="s">
        <v>194</v>
      </c>
      <c r="Q53" t="str">
        <f t="shared" si="5"/>
        <v>USA</v>
      </c>
      <c r="R53">
        <v>2023</v>
      </c>
      <c r="S53">
        <v>2</v>
      </c>
      <c r="T53">
        <v>1</v>
      </c>
      <c r="U53">
        <v>13</v>
      </c>
      <c r="Y53" s="4">
        <f t="shared" si="6"/>
        <v>13</v>
      </c>
    </row>
    <row r="54" spans="1:25" ht="18" x14ac:dyDescent="0.25">
      <c r="A54" t="s">
        <v>195</v>
      </c>
      <c r="B54" t="s">
        <v>196</v>
      </c>
      <c r="C54" s="12" t="str">
        <f t="shared" si="0"/>
        <v>Negative</v>
      </c>
      <c r="D54" s="18">
        <f t="shared" si="1"/>
        <v>-1</v>
      </c>
      <c r="E54" s="1">
        <v>44968.395833333336</v>
      </c>
      <c r="F54" s="10">
        <f>INT(E54)</f>
        <v>44968</v>
      </c>
      <c r="G54" s="15">
        <f>MOD(E54,2)</f>
        <v>0.39583333333575865</v>
      </c>
      <c r="H54" s="15" t="str">
        <f t="shared" si="2"/>
        <v>09:30</v>
      </c>
      <c r="I54" t="s">
        <v>197</v>
      </c>
      <c r="J54" t="s">
        <v>16</v>
      </c>
      <c r="K54" t="str">
        <f t="shared" si="3"/>
        <v>Twitter</v>
      </c>
      <c r="L54" t="s">
        <v>198</v>
      </c>
      <c r="M54">
        <v>20</v>
      </c>
      <c r="N54">
        <v>40</v>
      </c>
      <c r="O54">
        <f t="shared" si="4"/>
        <v>60</v>
      </c>
      <c r="P54" t="s">
        <v>199</v>
      </c>
      <c r="Q54" t="str">
        <f t="shared" si="5"/>
        <v>Canada</v>
      </c>
      <c r="R54">
        <v>2023</v>
      </c>
      <c r="S54">
        <v>2</v>
      </c>
      <c r="T54">
        <v>11</v>
      </c>
      <c r="U54">
        <v>9</v>
      </c>
      <c r="Y54" s="4">
        <f t="shared" si="6"/>
        <v>9</v>
      </c>
    </row>
    <row r="55" spans="1:25" ht="18" x14ac:dyDescent="0.25">
      <c r="A55" t="s">
        <v>200</v>
      </c>
      <c r="B55" t="s">
        <v>201</v>
      </c>
      <c r="C55" s="12" t="str">
        <f t="shared" si="0"/>
        <v>Negative</v>
      </c>
      <c r="D55" s="18">
        <f t="shared" si="1"/>
        <v>-1</v>
      </c>
      <c r="E55" s="1">
        <v>44968.885416666664</v>
      </c>
      <c r="F55" s="10">
        <f>INT(E55)</f>
        <v>44968</v>
      </c>
      <c r="G55" s="15">
        <f>MOD(E55,2)</f>
        <v>0.88541666666424135</v>
      </c>
      <c r="H55" s="15" t="str">
        <f t="shared" si="2"/>
        <v>21:15</v>
      </c>
      <c r="I55" t="s">
        <v>202</v>
      </c>
      <c r="J55" t="s">
        <v>26</v>
      </c>
      <c r="K55" t="str">
        <f t="shared" si="3"/>
        <v>Instagram</v>
      </c>
      <c r="L55" t="s">
        <v>203</v>
      </c>
      <c r="M55">
        <v>15</v>
      </c>
      <c r="N55">
        <v>30</v>
      </c>
      <c r="O55">
        <f t="shared" si="4"/>
        <v>45</v>
      </c>
      <c r="P55" t="s">
        <v>204</v>
      </c>
      <c r="Q55" t="str">
        <f t="shared" si="5"/>
        <v>USA</v>
      </c>
      <c r="R55">
        <v>2023</v>
      </c>
      <c r="S55">
        <v>2</v>
      </c>
      <c r="T55">
        <v>11</v>
      </c>
      <c r="U55">
        <v>21</v>
      </c>
      <c r="Y55" s="4">
        <f t="shared" si="6"/>
        <v>21</v>
      </c>
    </row>
    <row r="56" spans="1:25" ht="18" x14ac:dyDescent="0.25">
      <c r="A56" t="s">
        <v>205</v>
      </c>
      <c r="B56" t="s">
        <v>206</v>
      </c>
      <c r="C56" s="12" t="str">
        <f t="shared" si="0"/>
        <v>Negative</v>
      </c>
      <c r="D56" s="18">
        <f t="shared" si="1"/>
        <v>-1</v>
      </c>
      <c r="E56" s="1">
        <v>44969.614583333336</v>
      </c>
      <c r="F56" s="10">
        <f>INT(E56)</f>
        <v>44969</v>
      </c>
      <c r="G56" s="15">
        <f>MOD(E56,2)</f>
        <v>1.6145833333357587</v>
      </c>
      <c r="H56" s="15" t="str">
        <f t="shared" si="2"/>
        <v>14:45</v>
      </c>
      <c r="I56" t="s">
        <v>207</v>
      </c>
      <c r="J56" t="s">
        <v>31</v>
      </c>
      <c r="K56" t="str">
        <f t="shared" si="3"/>
        <v>Facebook</v>
      </c>
      <c r="L56" t="s">
        <v>208</v>
      </c>
      <c r="M56">
        <v>25</v>
      </c>
      <c r="N56">
        <v>50</v>
      </c>
      <c r="O56">
        <f t="shared" si="4"/>
        <v>75</v>
      </c>
      <c r="P56" t="s">
        <v>209</v>
      </c>
      <c r="Q56" t="str">
        <f t="shared" si="5"/>
        <v>India</v>
      </c>
      <c r="R56">
        <v>2023</v>
      </c>
      <c r="S56">
        <v>2</v>
      </c>
      <c r="T56">
        <v>12</v>
      </c>
      <c r="U56">
        <v>14</v>
      </c>
      <c r="Y56" s="4">
        <f t="shared" si="6"/>
        <v>14</v>
      </c>
    </row>
    <row r="57" spans="1:25" ht="18" x14ac:dyDescent="0.25">
      <c r="A57" t="s">
        <v>210</v>
      </c>
      <c r="B57" t="s">
        <v>211</v>
      </c>
      <c r="C57" s="12" t="str">
        <f t="shared" si="0"/>
        <v>Negative</v>
      </c>
      <c r="D57" s="18">
        <f t="shared" si="1"/>
        <v>-1</v>
      </c>
      <c r="E57" s="1">
        <v>44969.763888888891</v>
      </c>
      <c r="F57" s="10">
        <f>INT(E57)</f>
        <v>44969</v>
      </c>
      <c r="G57" s="15">
        <f>MOD(E57,2)</f>
        <v>1.7638888888905058</v>
      </c>
      <c r="H57" s="15" t="str">
        <f t="shared" si="2"/>
        <v>18:20</v>
      </c>
      <c r="I57" t="s">
        <v>212</v>
      </c>
      <c r="J57" t="s">
        <v>16</v>
      </c>
      <c r="K57" t="str">
        <f t="shared" si="3"/>
        <v>Twitter</v>
      </c>
      <c r="L57" t="s">
        <v>213</v>
      </c>
      <c r="M57">
        <v>18</v>
      </c>
      <c r="N57">
        <v>35</v>
      </c>
      <c r="O57">
        <f t="shared" si="4"/>
        <v>53</v>
      </c>
      <c r="P57" t="s">
        <v>190</v>
      </c>
      <c r="Q57" t="str">
        <f t="shared" si="5"/>
        <v>UK</v>
      </c>
      <c r="R57">
        <v>2023</v>
      </c>
      <c r="S57">
        <v>2</v>
      </c>
      <c r="T57">
        <v>12</v>
      </c>
      <c r="U57">
        <v>18</v>
      </c>
      <c r="Y57" s="4">
        <f t="shared" si="6"/>
        <v>18</v>
      </c>
    </row>
    <row r="58" spans="1:25" ht="18" x14ac:dyDescent="0.25">
      <c r="A58" t="s">
        <v>214</v>
      </c>
      <c r="B58" t="s">
        <v>215</v>
      </c>
      <c r="C58" s="12" t="str">
        <f t="shared" si="0"/>
        <v>Positive</v>
      </c>
      <c r="D58" s="18">
        <f t="shared" si="1"/>
        <v>1</v>
      </c>
      <c r="E58" s="1">
        <v>44970.416666666664</v>
      </c>
      <c r="F58" s="10">
        <f>INT(E58)</f>
        <v>44970</v>
      </c>
      <c r="G58" s="15">
        <f>MOD(E58,2)</f>
        <v>0.41666666666424135</v>
      </c>
      <c r="H58" s="15" t="str">
        <f t="shared" si="2"/>
        <v>10:00</v>
      </c>
      <c r="I58" t="s">
        <v>216</v>
      </c>
      <c r="J58" t="s">
        <v>26</v>
      </c>
      <c r="K58" t="str">
        <f t="shared" si="3"/>
        <v>Instagram</v>
      </c>
      <c r="L58" t="s">
        <v>217</v>
      </c>
      <c r="M58">
        <v>30</v>
      </c>
      <c r="N58">
        <v>60</v>
      </c>
      <c r="O58">
        <f t="shared" si="4"/>
        <v>90</v>
      </c>
      <c r="P58" t="s">
        <v>98</v>
      </c>
      <c r="Q58" t="str">
        <f t="shared" si="5"/>
        <v>USA</v>
      </c>
      <c r="R58">
        <v>2023</v>
      </c>
      <c r="S58">
        <v>2</v>
      </c>
      <c r="T58">
        <v>13</v>
      </c>
      <c r="U58">
        <v>10</v>
      </c>
      <c r="Y58" s="4">
        <f t="shared" si="6"/>
        <v>10</v>
      </c>
    </row>
    <row r="59" spans="1:25" ht="18" x14ac:dyDescent="0.25">
      <c r="A59" t="s">
        <v>218</v>
      </c>
      <c r="B59" t="s">
        <v>219</v>
      </c>
      <c r="C59" s="12" t="str">
        <f t="shared" si="0"/>
        <v>Positive</v>
      </c>
      <c r="D59" s="18">
        <f t="shared" si="1"/>
        <v>1</v>
      </c>
      <c r="E59" s="1">
        <v>44970.8125</v>
      </c>
      <c r="F59" s="10">
        <f>INT(E59)</f>
        <v>44970</v>
      </c>
      <c r="G59" s="15">
        <f>MOD(E59,2)</f>
        <v>0.8125</v>
      </c>
      <c r="H59" s="15" t="str">
        <f t="shared" si="2"/>
        <v>19:30</v>
      </c>
      <c r="I59" t="s">
        <v>220</v>
      </c>
      <c r="J59" t="s">
        <v>31</v>
      </c>
      <c r="K59" t="str">
        <f t="shared" si="3"/>
        <v>Facebook</v>
      </c>
      <c r="L59" t="s">
        <v>221</v>
      </c>
      <c r="M59">
        <v>22</v>
      </c>
      <c r="N59">
        <v>45</v>
      </c>
      <c r="O59">
        <f t="shared" si="4"/>
        <v>67</v>
      </c>
      <c r="P59" t="s">
        <v>78</v>
      </c>
      <c r="Q59" t="str">
        <f t="shared" si="5"/>
        <v>Canada</v>
      </c>
      <c r="R59">
        <v>2023</v>
      </c>
      <c r="S59">
        <v>2</v>
      </c>
      <c r="T59">
        <v>13</v>
      </c>
      <c r="U59">
        <v>19</v>
      </c>
      <c r="Y59" s="4">
        <f t="shared" si="6"/>
        <v>19</v>
      </c>
    </row>
    <row r="60" spans="1:25" ht="18" x14ac:dyDescent="0.25">
      <c r="A60" t="s">
        <v>222</v>
      </c>
      <c r="B60" t="s">
        <v>223</v>
      </c>
      <c r="C60" s="12" t="str">
        <f t="shared" si="0"/>
        <v>Positive</v>
      </c>
      <c r="D60" s="18">
        <f t="shared" si="1"/>
        <v>1</v>
      </c>
      <c r="E60" s="1">
        <v>44971.354166666664</v>
      </c>
      <c r="F60" s="10">
        <f>INT(E60)</f>
        <v>44971</v>
      </c>
      <c r="G60" s="15">
        <f>MOD(E60,2)</f>
        <v>1.3541666666642413</v>
      </c>
      <c r="H60" s="15" t="str">
        <f t="shared" si="2"/>
        <v>08:30</v>
      </c>
      <c r="I60" t="s">
        <v>224</v>
      </c>
      <c r="J60" t="s">
        <v>16</v>
      </c>
      <c r="K60" t="str">
        <f t="shared" si="3"/>
        <v>Twitter</v>
      </c>
      <c r="L60" t="s">
        <v>225</v>
      </c>
      <c r="M60">
        <v>15</v>
      </c>
      <c r="N60">
        <v>30</v>
      </c>
      <c r="O60">
        <f t="shared" si="4"/>
        <v>45</v>
      </c>
      <c r="P60" t="s">
        <v>226</v>
      </c>
      <c r="Q60" t="str">
        <f t="shared" si="5"/>
        <v>Australia</v>
      </c>
      <c r="R60">
        <v>2023</v>
      </c>
      <c r="S60">
        <v>2</v>
      </c>
      <c r="T60">
        <v>14</v>
      </c>
      <c r="U60">
        <v>8</v>
      </c>
      <c r="Y60" s="4">
        <f t="shared" si="6"/>
        <v>8</v>
      </c>
    </row>
    <row r="61" spans="1:25" ht="18" x14ac:dyDescent="0.25">
      <c r="A61" t="s">
        <v>227</v>
      </c>
      <c r="B61" t="s">
        <v>228</v>
      </c>
      <c r="C61" s="12" t="str">
        <f t="shared" si="0"/>
        <v>Positive</v>
      </c>
      <c r="D61" s="18">
        <f t="shared" si="1"/>
        <v>1</v>
      </c>
      <c r="E61" s="1">
        <v>44971.597222222219</v>
      </c>
      <c r="F61" s="10">
        <f>INT(E61)</f>
        <v>44971</v>
      </c>
      <c r="G61" s="15">
        <f>MOD(E61,2)</f>
        <v>1.5972222222189885</v>
      </c>
      <c r="H61" s="15" t="str">
        <f t="shared" si="2"/>
        <v>14:20</v>
      </c>
      <c r="I61" t="s">
        <v>229</v>
      </c>
      <c r="J61" t="s">
        <v>26</v>
      </c>
      <c r="K61" t="str">
        <f t="shared" si="3"/>
        <v>Instagram</v>
      </c>
      <c r="L61" t="s">
        <v>230</v>
      </c>
      <c r="M61">
        <v>18</v>
      </c>
      <c r="N61">
        <v>35</v>
      </c>
      <c r="O61">
        <f t="shared" si="4"/>
        <v>53</v>
      </c>
      <c r="P61" t="s">
        <v>231</v>
      </c>
      <c r="Q61" t="str">
        <f t="shared" si="5"/>
        <v>UK</v>
      </c>
      <c r="R61">
        <v>2023</v>
      </c>
      <c r="S61">
        <v>2</v>
      </c>
      <c r="T61">
        <v>14</v>
      </c>
      <c r="U61">
        <v>14</v>
      </c>
      <c r="Y61" s="4">
        <f t="shared" si="6"/>
        <v>14</v>
      </c>
    </row>
    <row r="62" spans="1:25" ht="18" x14ac:dyDescent="0.25">
      <c r="A62" t="s">
        <v>232</v>
      </c>
      <c r="B62" t="s">
        <v>233</v>
      </c>
      <c r="C62" s="12" t="str">
        <f t="shared" si="0"/>
        <v>Positive</v>
      </c>
      <c r="D62" s="18">
        <f t="shared" si="1"/>
        <v>1</v>
      </c>
      <c r="E62" s="1">
        <v>44971.822916666664</v>
      </c>
      <c r="F62" s="10">
        <f>INT(E62)</f>
        <v>44971</v>
      </c>
      <c r="G62" s="15">
        <f>MOD(E62,2)</f>
        <v>1.8229166666642413</v>
      </c>
      <c r="H62" s="15" t="str">
        <f t="shared" si="2"/>
        <v>19:45</v>
      </c>
      <c r="I62" t="s">
        <v>234</v>
      </c>
      <c r="J62" t="s">
        <v>31</v>
      </c>
      <c r="K62" t="str">
        <f t="shared" si="3"/>
        <v>Facebook</v>
      </c>
      <c r="L62" t="s">
        <v>235</v>
      </c>
      <c r="M62">
        <v>25</v>
      </c>
      <c r="N62">
        <v>50</v>
      </c>
      <c r="O62">
        <f t="shared" si="4"/>
        <v>75</v>
      </c>
      <c r="P62" t="s">
        <v>236</v>
      </c>
      <c r="Q62" t="str">
        <f t="shared" si="5"/>
        <v>Canada</v>
      </c>
      <c r="R62">
        <v>2023</v>
      </c>
      <c r="S62">
        <v>2</v>
      </c>
      <c r="T62">
        <v>14</v>
      </c>
      <c r="U62">
        <v>19</v>
      </c>
      <c r="Y62" s="4">
        <f t="shared" si="6"/>
        <v>19</v>
      </c>
    </row>
    <row r="63" spans="1:25" ht="18" x14ac:dyDescent="0.25">
      <c r="A63" t="s">
        <v>237</v>
      </c>
      <c r="B63" t="s">
        <v>238</v>
      </c>
      <c r="C63" s="12" t="str">
        <f t="shared" si="0"/>
        <v>Neutral</v>
      </c>
      <c r="D63" s="18">
        <f t="shared" si="1"/>
        <v>0</v>
      </c>
      <c r="E63" s="1">
        <v>44972.479166666664</v>
      </c>
      <c r="F63" s="10">
        <f>INT(E63)</f>
        <v>44972</v>
      </c>
      <c r="G63" s="15">
        <f>MOD(E63,2)</f>
        <v>0.47916666666424135</v>
      </c>
      <c r="H63" s="15" t="str">
        <f t="shared" si="2"/>
        <v>11:30</v>
      </c>
      <c r="I63" t="s">
        <v>239</v>
      </c>
      <c r="J63" t="s">
        <v>16</v>
      </c>
      <c r="K63" t="str">
        <f t="shared" si="3"/>
        <v>Twitter</v>
      </c>
      <c r="L63" t="s">
        <v>240</v>
      </c>
      <c r="M63">
        <v>20</v>
      </c>
      <c r="N63">
        <v>40</v>
      </c>
      <c r="O63">
        <f t="shared" si="4"/>
        <v>60</v>
      </c>
      <c r="P63" t="s">
        <v>88</v>
      </c>
      <c r="Q63" t="str">
        <f t="shared" si="5"/>
        <v>USA</v>
      </c>
      <c r="R63">
        <v>2023</v>
      </c>
      <c r="S63">
        <v>2</v>
      </c>
      <c r="T63">
        <v>15</v>
      </c>
      <c r="U63">
        <v>11</v>
      </c>
      <c r="Y63" s="4">
        <f t="shared" si="6"/>
        <v>11</v>
      </c>
    </row>
    <row r="64" spans="1:25" ht="18" x14ac:dyDescent="0.25">
      <c r="A64" t="s">
        <v>241</v>
      </c>
      <c r="B64" t="s">
        <v>242</v>
      </c>
      <c r="C64" s="12" t="str">
        <f t="shared" si="0"/>
        <v>Positive</v>
      </c>
      <c r="D64" s="18">
        <f t="shared" si="1"/>
        <v>1</v>
      </c>
      <c r="E64" s="1">
        <v>44972.666666666664</v>
      </c>
      <c r="F64" s="10">
        <f>INT(E64)</f>
        <v>44972</v>
      </c>
      <c r="G64" s="15">
        <f>MOD(E64,2)</f>
        <v>0.66666666666424135</v>
      </c>
      <c r="H64" s="15" t="str">
        <f t="shared" si="2"/>
        <v>16:00</v>
      </c>
      <c r="I64" t="s">
        <v>243</v>
      </c>
      <c r="J64" t="s">
        <v>26</v>
      </c>
      <c r="K64" t="str">
        <f t="shared" si="3"/>
        <v>Instagram</v>
      </c>
      <c r="L64" t="s">
        <v>244</v>
      </c>
      <c r="M64">
        <v>15</v>
      </c>
      <c r="N64">
        <v>30</v>
      </c>
      <c r="O64">
        <f t="shared" si="4"/>
        <v>45</v>
      </c>
      <c r="P64" t="s">
        <v>59</v>
      </c>
      <c r="Q64" t="str">
        <f t="shared" si="5"/>
        <v>USA</v>
      </c>
      <c r="R64">
        <v>2023</v>
      </c>
      <c r="S64">
        <v>2</v>
      </c>
      <c r="T64">
        <v>15</v>
      </c>
      <c r="U64">
        <v>16</v>
      </c>
      <c r="Y64" s="4">
        <f t="shared" si="6"/>
        <v>16</v>
      </c>
    </row>
    <row r="65" spans="1:25" ht="18" x14ac:dyDescent="0.25">
      <c r="A65" t="s">
        <v>245</v>
      </c>
      <c r="B65" t="s">
        <v>246</v>
      </c>
      <c r="C65" s="12" t="str">
        <f t="shared" si="0"/>
        <v>Positive</v>
      </c>
      <c r="D65" s="18">
        <f t="shared" si="1"/>
        <v>1</v>
      </c>
      <c r="E65" s="1">
        <v>44972.854166666664</v>
      </c>
      <c r="F65" s="10">
        <f>INT(E65)</f>
        <v>44972</v>
      </c>
      <c r="G65" s="15">
        <f>MOD(E65,2)</f>
        <v>0.85416666666424135</v>
      </c>
      <c r="H65" s="15" t="str">
        <f t="shared" si="2"/>
        <v>20:30</v>
      </c>
      <c r="I65" t="s">
        <v>247</v>
      </c>
      <c r="J65" t="s">
        <v>31</v>
      </c>
      <c r="K65" t="str">
        <f t="shared" si="3"/>
        <v>Facebook</v>
      </c>
      <c r="L65" t="s">
        <v>248</v>
      </c>
      <c r="M65">
        <v>22</v>
      </c>
      <c r="N65">
        <v>45</v>
      </c>
      <c r="O65">
        <f t="shared" si="4"/>
        <v>67</v>
      </c>
      <c r="P65" t="s">
        <v>249</v>
      </c>
      <c r="Q65" t="str">
        <f t="shared" si="5"/>
        <v>Australia</v>
      </c>
      <c r="R65">
        <v>2023</v>
      </c>
      <c r="S65">
        <v>2</v>
      </c>
      <c r="T65">
        <v>15</v>
      </c>
      <c r="U65">
        <v>20</v>
      </c>
      <c r="Y65" s="4">
        <f t="shared" si="6"/>
        <v>20</v>
      </c>
    </row>
    <row r="66" spans="1:25" ht="18" x14ac:dyDescent="0.25">
      <c r="A66" t="s">
        <v>250</v>
      </c>
      <c r="B66" t="s">
        <v>251</v>
      </c>
      <c r="C66" s="12" t="str">
        <f t="shared" si="0"/>
        <v>Negative</v>
      </c>
      <c r="D66" s="18">
        <f t="shared" si="1"/>
        <v>-1</v>
      </c>
      <c r="E66" s="1">
        <v>44973.375</v>
      </c>
      <c r="F66" s="10">
        <f>INT(E66)</f>
        <v>44973</v>
      </c>
      <c r="G66" s="15">
        <f>MOD(E66,2)</f>
        <v>1.375</v>
      </c>
      <c r="H66" s="15" t="str">
        <f t="shared" si="2"/>
        <v>09:00</v>
      </c>
      <c r="I66" t="s">
        <v>252</v>
      </c>
      <c r="J66" t="s">
        <v>16</v>
      </c>
      <c r="K66" t="str">
        <f t="shared" si="3"/>
        <v>Twitter</v>
      </c>
      <c r="L66" t="s">
        <v>253</v>
      </c>
      <c r="M66">
        <v>18</v>
      </c>
      <c r="N66">
        <v>35</v>
      </c>
      <c r="O66">
        <f t="shared" si="4"/>
        <v>53</v>
      </c>
      <c r="P66" t="s">
        <v>209</v>
      </c>
      <c r="Q66" t="str">
        <f t="shared" si="5"/>
        <v>India</v>
      </c>
      <c r="R66">
        <v>2023</v>
      </c>
      <c r="S66">
        <v>2</v>
      </c>
      <c r="T66">
        <v>16</v>
      </c>
      <c r="U66">
        <v>9</v>
      </c>
      <c r="Y66" s="4">
        <f t="shared" si="6"/>
        <v>9</v>
      </c>
    </row>
    <row r="67" spans="1:25" ht="18" x14ac:dyDescent="0.25">
      <c r="A67" t="s">
        <v>254</v>
      </c>
      <c r="B67" t="s">
        <v>255</v>
      </c>
      <c r="C67" s="12" t="str">
        <f t="shared" ref="C67:C130" si="7">IF(OR(ISNUMBER(SEARCH("happ",B67)),ISNUMBER(SEARCH("joy",B67)),ISNUMBER(SEARCH("love",B67)),ISNUMBER(SEARCH("amuse",B67)),ISNUMBER(SEARCH("enjoy",B67)),ISNUMBER(SEARCH("admire",B67)),ISNUMBER(SEARCH("affection",B67)),ISNUMBER(SEARCH("awe",B67)),ISNUMBER(SEARCH("accept",B67)),ISNUMBER(SEARCH("ador",B67)),ISNUMBER(SEARCH("calm",B67)),ISNUMBER(SEARCH("excit",B67)),ISNUMBER(SEARCH("kind",B67)),ISNUMBER(SEARCH("pride",B67)),ISNUMBER(SEARCH("elat",B67)),ISNUMBER(SEARCH("euphor",B67)),ISNUMBER(SEARCH("content",B67)),ISNUMBER(SEARCH("seren",B67)),ISNUMBER(SEARCH("grat",B67)),ISNUMBER(SEARCH("hope",B67)),ISNUMBER(SEARCH("empower",B67)),ISNUMBER(SEARCH("compass",B67)),ISNUMBER(SEARCH("tender",B67)),ISNUMBER(SEARCH("enthus",B67)),ISNUMBER(SEARCH("fulfill",B67)),ISNUMBER(SEARCH("rever",B67)),ISNUMBER(SEARCH("zest",B67)),ISNUMBER(SEARCH("play",B67)),ISNUMBER(SEARCH("inspir",B67)),ISNUMBER(SEARCH("confid",B67)),ISNUMBER(SEARCH("determin",B67)),ISNUMBER(SEARCH("thrill",B67)),ISNUMBER(SEARCH("overjoy",B67)),ISNUMBER(SEARCH("motiv",B67)),ISNUMBER(SEARCH("satisf",B67)),ISNUMBER(SEARCH("bless",B67)),ISNUMBER(SEARCH("appreci",B67)),ISNUMBER(SEARCH("accomplish",B67)),ISNUMBER(SEARCH("wonder",B67)),ISNUMBER(SEARCH("optim",B67)),ISNUMBER(SEARCH("enchant",B67)),ISNUMBER(SEARCH("intrigu",B67)),ISNUMBER(SEARCH("mindful",B67)),ISNUMBER(SEARCH("eleg",B67)),ISNUMBER(SEARCH("whims",B67)),ISNUMBER(SEARCH("harmon",B67)),ISNUMBER(SEARCH("creativ",B67)),ISNUMBER(SEARCH("radian",B67)),ISNUMBER(SEARCH("rejuven",B67)),ISNUMBER(SEARCH("cozy",B67)),ISNUMBER(SEARCH("adventur",B67)),ISNUMBER(SEARCH("melod",B67)),ISNUMBER(SEARCH("festiv",B67)),ISNUMBER(SEARCH("free",B67)),ISNUMBER(SEARCH("dazzl",B67)),ISNUMBER(SEARCH("adrenal",B67)),ISNUMBER(SEARCH("artistic",B67)),ISNUMBER(SEARCH("resil",B67)),ISNUMBER(SEARCH("immers",B67)),ISNUMBER(SEARCH("spark",B67)),ISNUMBER(SEARCH("marvel",B67)),ISNUMBER(SEARCH("friend",B67)),ISNUMBER(SEARCH("success",B67)),ISNUMBER(SEARCH("explor",B67)),ISNUMBER(SEARCH("amaz",B67)),ISNUMBER(SEARCH("romanc",B67)),ISNUMBER(SEARCH("captiv",B67)),ISNUMBER(SEARCH("tranquil",B67)),ISNUMBER(SEARCH("grand",B67)),ISNUMBER(SEARCH("energ",B67)),ISNUMBER(SEARCH("celebr",B67)),ISNUMBER(SEARCH("charm",B67)),ISNUMBER(SEARCH("ecstasy",B67)),ISNUMBER(SEARCH("color",B67)),ISNUMBER(SEARCH("hypnot",B67)),ISNUMBER(SEARCH("connect",B67)),ISNUMBER(SEARCH("icon",B67)),ISNUMBER(SEARCH("engag",B67)),ISNUMBER(SEARCH("triumph",B67)),ISNUMBER(SEARCH("heartwarm",B67)),ISNUMBER(SEARCH("solac",B67)),ISNUMBER(SEARCH("breakthrough",B67)),ISNUMBER(SEARCH("imagin",B67)),ISNUMBER(SEARCH("vibran",B67)),ISNUMBER(SEARCH("mesmer",B67)),ISNUMBER(SEARCH("winter magic",B67)),ISNUMBER(SEARCH("nature",B67)),ISNUMBER(SEARCH("celestial",B67)),ISNUMBER(SEARCH("positive",B67)),ISNUMBER(SEARCH("arous",B67))),"Positive",IF(OR(ISNUMBER(SEARCH("anger",B67)),ISNUMBER(SEARCH("fear",B67)),ISNUMBER(SEARCH("sad",B67)),ISNUMBER(SEARCH("disgust",B67)),ISNUMBER(SEARCH("disappoint",B67)),ISNUMBER(SEARCH("bitter",B67)),ISNUMBER(SEARCH("shame",B67)),ISNUMBER(SEARCH("despair",B67)),ISNUMBER(SEARCH("grief",B67)),ISNUMBER(SEARCH("lonel",B67)),ISNUMBER(SEARCH("jealous",B67)),ISNUMBER(SEARCH("resent",B67)),ISNUMBER(SEARCH("frustrat",B67)),ISNUMBER(SEARCH("bored",B67)),ISNUMBER(SEARCH("anxi",B67)),ISNUMBER(SEARCH("intimid",B67)),ISNUMBER(SEARCH("helpless",B67)),ISNUMBER(SEARCH("envy",B67)),ISNUMBER(SEARCH("regret",B67)),ISNUMBER(SEARCH("melanchol",B67)),ISNUMBER(SEARCH("yearn",B67)),ISNUMBER(SEARCH("apprehens",B67)),ISNUMBER(SEARCH("overwhelm",B67)),ISNUMBER(SEARCH("devastat",B67)),ISNUMBER(SEARCH("dismiss",B67)),ISNUMBER(SEARCH("heartbreak",B67)),ISNUMBER(SEARCH("betray",B67)),ISNUMBER(SEARCH("suffer",B67)),ISNUMBER(SEARCH("isolat",B67)),ISNUMBER(SEARCH("lost",B67)),ISNUMBER(SEARCH("exhaust",B67)),ISNUMBER(SEARCH("sorrow",B67)),ISNUMBER(SEARCH("darkness",B67)),ISNUMBER(SEARCH("desperat",B67)),ISNUMBER(SEARCH("ruins",B67)),ISNUMBER(SEARCH("desolat",B67)),ISNUMBER(SEARCH("heartache",B67)),ISNUMBER(SEARCH("solitude",B67)),ISNUMBER(SEARCH("obstacle",B67)),ISNUMBER(SEARCH("pressure",B67)),ISNUMBER(SEARCH("miscalcul",B67)),ISNUMBER(SEARCH("challenge",B67)),ISNUMBER(SEARCH("embarrass",B67)),ISNUMBER(SEARCH("hate",B67)),ISNUMBER(SEARCH("bad",B67)),ISNUMBER(SEARCH("negative",B67))),"Negative","Neutral"))</f>
        <v>Neutral</v>
      </c>
      <c r="D67" s="18">
        <f t="shared" ref="D67:D130" si="8">IF(C67="Positive", 1, IF(C67="Negative", -1, 0))</f>
        <v>0</v>
      </c>
      <c r="E67" s="1">
        <v>44973.614583333336</v>
      </c>
      <c r="F67" s="10">
        <f>INT(E67)</f>
        <v>44973</v>
      </c>
      <c r="G67" s="15">
        <f>MOD(E67,2)</f>
        <v>1.6145833333357587</v>
      </c>
      <c r="H67" s="15" t="str">
        <f t="shared" ref="H67:H130" si="9">TEXT(G67, "hh:mm")</f>
        <v>14:45</v>
      </c>
      <c r="I67" t="s">
        <v>256</v>
      </c>
      <c r="J67" t="s">
        <v>26</v>
      </c>
      <c r="K67" t="str">
        <f t="shared" ref="K67:K130" si="10">TRIM(CLEAN(J67))</f>
        <v>Instagram</v>
      </c>
      <c r="L67" t="s">
        <v>257</v>
      </c>
      <c r="M67">
        <v>25</v>
      </c>
      <c r="N67">
        <v>50</v>
      </c>
      <c r="O67">
        <f t="shared" ref="O67:O130" si="11">M67+N67</f>
        <v>75</v>
      </c>
      <c r="P67" t="s">
        <v>204</v>
      </c>
      <c r="Q67" t="str">
        <f t="shared" ref="Q67:Q130" si="12">TRIM(CLEAN(P67))</f>
        <v>USA</v>
      </c>
      <c r="R67">
        <v>2023</v>
      </c>
      <c r="S67">
        <v>2</v>
      </c>
      <c r="T67">
        <v>16</v>
      </c>
      <c r="U67">
        <v>14</v>
      </c>
      <c r="Y67" s="4">
        <f t="shared" ref="Y67:Y130" si="13">HOUR(H67)</f>
        <v>14</v>
      </c>
    </row>
    <row r="68" spans="1:25" ht="18" x14ac:dyDescent="0.25">
      <c r="A68" t="s">
        <v>258</v>
      </c>
      <c r="B68" t="s">
        <v>259</v>
      </c>
      <c r="C68" s="12" t="str">
        <f t="shared" si="7"/>
        <v>Positive</v>
      </c>
      <c r="D68" s="18">
        <f t="shared" si="8"/>
        <v>1</v>
      </c>
      <c r="E68" s="1">
        <v>44973.763888888891</v>
      </c>
      <c r="F68" s="10">
        <f>INT(E68)</f>
        <v>44973</v>
      </c>
      <c r="G68" s="15">
        <f>MOD(E68,2)</f>
        <v>1.7638888888905058</v>
      </c>
      <c r="H68" s="15" t="str">
        <f t="shared" si="9"/>
        <v>18:20</v>
      </c>
      <c r="I68" t="s">
        <v>260</v>
      </c>
      <c r="J68" t="s">
        <v>31</v>
      </c>
      <c r="K68" t="str">
        <f t="shared" si="10"/>
        <v>Facebook</v>
      </c>
      <c r="L68" t="s">
        <v>261</v>
      </c>
      <c r="M68">
        <v>15</v>
      </c>
      <c r="N68">
        <v>30</v>
      </c>
      <c r="O68">
        <f t="shared" si="11"/>
        <v>45</v>
      </c>
      <c r="P68" t="s">
        <v>199</v>
      </c>
      <c r="Q68" t="str">
        <f t="shared" si="12"/>
        <v>Canada</v>
      </c>
      <c r="R68">
        <v>2023</v>
      </c>
      <c r="S68">
        <v>2</v>
      </c>
      <c r="T68">
        <v>16</v>
      </c>
      <c r="U68">
        <v>18</v>
      </c>
      <c r="Y68" s="4">
        <f t="shared" si="13"/>
        <v>18</v>
      </c>
    </row>
    <row r="69" spans="1:25" ht="18" x14ac:dyDescent="0.25">
      <c r="A69" t="s">
        <v>262</v>
      </c>
      <c r="B69" t="s">
        <v>263</v>
      </c>
      <c r="C69" s="12" t="str">
        <f t="shared" si="7"/>
        <v>Positive</v>
      </c>
      <c r="D69" s="18">
        <f t="shared" si="8"/>
        <v>1</v>
      </c>
      <c r="E69" s="1">
        <v>44974.447916666664</v>
      </c>
      <c r="F69" s="10">
        <f>INT(E69)</f>
        <v>44974</v>
      </c>
      <c r="G69" s="15">
        <f>MOD(E69,2)</f>
        <v>0.44791666666424135</v>
      </c>
      <c r="H69" s="15" t="str">
        <f t="shared" si="9"/>
        <v>10:45</v>
      </c>
      <c r="I69" t="s">
        <v>264</v>
      </c>
      <c r="J69" t="s">
        <v>16</v>
      </c>
      <c r="K69" t="str">
        <f t="shared" si="10"/>
        <v>Twitter</v>
      </c>
      <c r="L69" t="s">
        <v>265</v>
      </c>
      <c r="M69">
        <v>22</v>
      </c>
      <c r="N69">
        <v>45</v>
      </c>
      <c r="O69">
        <f t="shared" si="11"/>
        <v>67</v>
      </c>
      <c r="P69" t="s">
        <v>127</v>
      </c>
      <c r="Q69" t="str">
        <f t="shared" si="12"/>
        <v>UK</v>
      </c>
      <c r="R69">
        <v>2023</v>
      </c>
      <c r="S69">
        <v>2</v>
      </c>
      <c r="T69">
        <v>17</v>
      </c>
      <c r="U69">
        <v>10</v>
      </c>
      <c r="Y69" s="4">
        <f t="shared" si="13"/>
        <v>10</v>
      </c>
    </row>
    <row r="70" spans="1:25" ht="18" x14ac:dyDescent="0.25">
      <c r="A70" t="s">
        <v>266</v>
      </c>
      <c r="B70" t="s">
        <v>267</v>
      </c>
      <c r="C70" s="12" t="str">
        <f t="shared" si="7"/>
        <v>Neutral</v>
      </c>
      <c r="D70" s="18">
        <f t="shared" si="8"/>
        <v>0</v>
      </c>
      <c r="E70" s="1">
        <v>44974.3125</v>
      </c>
      <c r="F70" s="10">
        <f>INT(E70)</f>
        <v>44974</v>
      </c>
      <c r="G70" s="15">
        <f>MOD(E70,2)</f>
        <v>0.3125</v>
      </c>
      <c r="H70" s="15" t="str">
        <f t="shared" si="9"/>
        <v>07:30</v>
      </c>
      <c r="I70" t="s">
        <v>268</v>
      </c>
      <c r="J70" t="s">
        <v>26</v>
      </c>
      <c r="K70" t="str">
        <f t="shared" si="10"/>
        <v>Instagram</v>
      </c>
      <c r="L70" t="s">
        <v>269</v>
      </c>
      <c r="M70">
        <v>20</v>
      </c>
      <c r="N70">
        <v>40</v>
      </c>
      <c r="O70">
        <f t="shared" si="11"/>
        <v>60</v>
      </c>
      <c r="P70" t="s">
        <v>59</v>
      </c>
      <c r="Q70" t="str">
        <f t="shared" si="12"/>
        <v>USA</v>
      </c>
      <c r="R70">
        <v>2023</v>
      </c>
      <c r="S70">
        <v>2</v>
      </c>
      <c r="T70">
        <v>17</v>
      </c>
      <c r="U70">
        <v>7</v>
      </c>
      <c r="Y70" s="4">
        <f t="shared" si="13"/>
        <v>7</v>
      </c>
    </row>
    <row r="71" spans="1:25" ht="18" x14ac:dyDescent="0.25">
      <c r="A71" t="s">
        <v>270</v>
      </c>
      <c r="B71" t="s">
        <v>271</v>
      </c>
      <c r="C71" s="12" t="str">
        <f t="shared" si="7"/>
        <v>Negative</v>
      </c>
      <c r="D71" s="18">
        <f t="shared" si="8"/>
        <v>-1</v>
      </c>
      <c r="E71" s="1">
        <v>44974.625</v>
      </c>
      <c r="F71" s="10">
        <f>INT(E71)</f>
        <v>44974</v>
      </c>
      <c r="G71" s="15">
        <f>MOD(E71,2)</f>
        <v>0.625</v>
      </c>
      <c r="H71" s="15" t="str">
        <f t="shared" si="9"/>
        <v>15:00</v>
      </c>
      <c r="I71" t="s">
        <v>272</v>
      </c>
      <c r="J71" t="s">
        <v>31</v>
      </c>
      <c r="K71" t="str">
        <f t="shared" si="10"/>
        <v>Facebook</v>
      </c>
      <c r="L71" t="s">
        <v>273</v>
      </c>
      <c r="M71">
        <v>18</v>
      </c>
      <c r="N71">
        <v>35</v>
      </c>
      <c r="O71">
        <f t="shared" si="11"/>
        <v>53</v>
      </c>
      <c r="P71" t="s">
        <v>88</v>
      </c>
      <c r="Q71" t="str">
        <f t="shared" si="12"/>
        <v>USA</v>
      </c>
      <c r="R71">
        <v>2023</v>
      </c>
      <c r="S71">
        <v>2</v>
      </c>
      <c r="T71">
        <v>17</v>
      </c>
      <c r="U71">
        <v>15</v>
      </c>
      <c r="Y71" s="4">
        <f t="shared" si="13"/>
        <v>15</v>
      </c>
    </row>
    <row r="72" spans="1:25" ht="18" x14ac:dyDescent="0.25">
      <c r="A72" t="s">
        <v>274</v>
      </c>
      <c r="B72" t="s">
        <v>275</v>
      </c>
      <c r="C72" s="12" t="str">
        <f t="shared" si="7"/>
        <v>Positive</v>
      </c>
      <c r="D72" s="18">
        <f t="shared" si="8"/>
        <v>1</v>
      </c>
      <c r="E72" s="1">
        <v>44975.395833333336</v>
      </c>
      <c r="F72" s="10">
        <f>INT(E72)</f>
        <v>44975</v>
      </c>
      <c r="G72" s="15">
        <f>MOD(E72,2)</f>
        <v>1.3958333333357587</v>
      </c>
      <c r="H72" s="15" t="str">
        <f t="shared" si="9"/>
        <v>09:30</v>
      </c>
      <c r="I72" t="s">
        <v>276</v>
      </c>
      <c r="J72" t="s">
        <v>16</v>
      </c>
      <c r="K72" t="str">
        <f t="shared" si="10"/>
        <v>Twitter</v>
      </c>
      <c r="L72" t="s">
        <v>277</v>
      </c>
      <c r="M72">
        <v>15</v>
      </c>
      <c r="N72">
        <v>30</v>
      </c>
      <c r="O72">
        <f t="shared" si="11"/>
        <v>45</v>
      </c>
      <c r="P72" t="s">
        <v>113</v>
      </c>
      <c r="Q72" t="str">
        <f t="shared" si="12"/>
        <v>India</v>
      </c>
      <c r="R72">
        <v>2023</v>
      </c>
      <c r="S72">
        <v>2</v>
      </c>
      <c r="T72">
        <v>18</v>
      </c>
      <c r="U72">
        <v>9</v>
      </c>
      <c r="Y72" s="4">
        <f t="shared" si="13"/>
        <v>9</v>
      </c>
    </row>
    <row r="73" spans="1:25" ht="18" x14ac:dyDescent="0.25">
      <c r="A73" t="s">
        <v>278</v>
      </c>
      <c r="B73" t="s">
        <v>279</v>
      </c>
      <c r="C73" s="12" t="str">
        <f t="shared" si="7"/>
        <v>Neutral</v>
      </c>
      <c r="D73" s="18">
        <f t="shared" si="8"/>
        <v>0</v>
      </c>
      <c r="E73" s="1">
        <v>44975.597222222219</v>
      </c>
      <c r="F73" s="10">
        <f>INT(E73)</f>
        <v>44975</v>
      </c>
      <c r="G73" s="15">
        <f>MOD(E73,2)</f>
        <v>1.5972222222189885</v>
      </c>
      <c r="H73" s="15" t="str">
        <f t="shared" si="9"/>
        <v>14:20</v>
      </c>
      <c r="I73" t="s">
        <v>280</v>
      </c>
      <c r="J73" t="s">
        <v>26</v>
      </c>
      <c r="K73" t="str">
        <f t="shared" si="10"/>
        <v>Instagram</v>
      </c>
      <c r="L73" t="s">
        <v>281</v>
      </c>
      <c r="M73">
        <v>25</v>
      </c>
      <c r="N73">
        <v>50</v>
      </c>
      <c r="O73">
        <f t="shared" si="11"/>
        <v>75</v>
      </c>
      <c r="P73" t="s">
        <v>174</v>
      </c>
      <c r="Q73" t="str">
        <f t="shared" si="12"/>
        <v>UK</v>
      </c>
      <c r="R73">
        <v>2023</v>
      </c>
      <c r="S73">
        <v>2</v>
      </c>
      <c r="T73">
        <v>18</v>
      </c>
      <c r="U73">
        <v>14</v>
      </c>
      <c r="Y73" s="4">
        <f t="shared" si="13"/>
        <v>14</v>
      </c>
    </row>
    <row r="74" spans="1:25" ht="18" x14ac:dyDescent="0.25">
      <c r="A74" t="s">
        <v>282</v>
      </c>
      <c r="B74" t="s">
        <v>283</v>
      </c>
      <c r="C74" s="12" t="str">
        <f t="shared" si="7"/>
        <v>Positive</v>
      </c>
      <c r="D74" s="18">
        <f t="shared" si="8"/>
        <v>1</v>
      </c>
      <c r="E74" s="1">
        <v>44975.78125</v>
      </c>
      <c r="F74" s="10">
        <f>INT(E74)</f>
        <v>44975</v>
      </c>
      <c r="G74" s="15">
        <f>MOD(E74,2)</f>
        <v>1.78125</v>
      </c>
      <c r="H74" s="15" t="str">
        <f t="shared" si="9"/>
        <v>18:45</v>
      </c>
      <c r="I74" t="s">
        <v>284</v>
      </c>
      <c r="J74" t="s">
        <v>31</v>
      </c>
      <c r="K74" t="str">
        <f t="shared" si="10"/>
        <v>Facebook</v>
      </c>
      <c r="L74" t="s">
        <v>285</v>
      </c>
      <c r="M74">
        <v>22</v>
      </c>
      <c r="N74">
        <v>45</v>
      </c>
      <c r="O74">
        <f t="shared" si="11"/>
        <v>67</v>
      </c>
      <c r="P74" t="s">
        <v>78</v>
      </c>
      <c r="Q74" t="str">
        <f t="shared" si="12"/>
        <v>Canada</v>
      </c>
      <c r="R74">
        <v>2023</v>
      </c>
      <c r="S74">
        <v>2</v>
      </c>
      <c r="T74">
        <v>18</v>
      </c>
      <c r="U74">
        <v>18</v>
      </c>
      <c r="Y74" s="4">
        <f t="shared" si="13"/>
        <v>18</v>
      </c>
    </row>
    <row r="75" spans="1:25" ht="18" x14ac:dyDescent="0.25">
      <c r="A75" t="s">
        <v>286</v>
      </c>
      <c r="B75" t="s">
        <v>287</v>
      </c>
      <c r="C75" s="12" t="str">
        <f t="shared" si="7"/>
        <v>Positive</v>
      </c>
      <c r="D75" s="18">
        <f t="shared" si="8"/>
        <v>1</v>
      </c>
      <c r="E75" s="1">
        <v>44976.479166666664</v>
      </c>
      <c r="F75" s="10">
        <f>INT(E75)</f>
        <v>44976</v>
      </c>
      <c r="G75" s="15">
        <f>MOD(E75,2)</f>
        <v>0.47916666666424135</v>
      </c>
      <c r="H75" s="15" t="str">
        <f t="shared" si="9"/>
        <v>11:30</v>
      </c>
      <c r="I75" t="s">
        <v>288</v>
      </c>
      <c r="J75" t="s">
        <v>16</v>
      </c>
      <c r="K75" t="str">
        <f t="shared" si="10"/>
        <v>Twitter</v>
      </c>
      <c r="L75" t="s">
        <v>289</v>
      </c>
      <c r="M75">
        <v>20</v>
      </c>
      <c r="N75">
        <v>40</v>
      </c>
      <c r="O75">
        <f t="shared" si="11"/>
        <v>60</v>
      </c>
      <c r="P75" t="s">
        <v>88</v>
      </c>
      <c r="Q75" t="str">
        <f t="shared" si="12"/>
        <v>USA</v>
      </c>
      <c r="R75">
        <v>2023</v>
      </c>
      <c r="S75">
        <v>2</v>
      </c>
      <c r="T75">
        <v>19</v>
      </c>
      <c r="U75">
        <v>11</v>
      </c>
      <c r="Y75" s="4">
        <f t="shared" si="13"/>
        <v>11</v>
      </c>
    </row>
    <row r="76" spans="1:25" ht="18" x14ac:dyDescent="0.25">
      <c r="A76" t="s">
        <v>290</v>
      </c>
      <c r="B76" t="s">
        <v>291</v>
      </c>
      <c r="C76" s="12" t="str">
        <f t="shared" si="7"/>
        <v>Positive</v>
      </c>
      <c r="D76" s="18">
        <f t="shared" si="8"/>
        <v>1</v>
      </c>
      <c r="E76" s="1">
        <v>44976.666666666664</v>
      </c>
      <c r="F76" s="10">
        <f>INT(E76)</f>
        <v>44976</v>
      </c>
      <c r="G76" s="15">
        <f>MOD(E76,2)</f>
        <v>0.66666666666424135</v>
      </c>
      <c r="H76" s="15" t="str">
        <f t="shared" si="9"/>
        <v>16:00</v>
      </c>
      <c r="I76" t="s">
        <v>292</v>
      </c>
      <c r="J76" t="s">
        <v>26</v>
      </c>
      <c r="K76" t="str">
        <f t="shared" si="10"/>
        <v>Instagram</v>
      </c>
      <c r="L76" t="s">
        <v>293</v>
      </c>
      <c r="M76">
        <v>30</v>
      </c>
      <c r="N76">
        <v>60</v>
      </c>
      <c r="O76">
        <f t="shared" si="11"/>
        <v>90</v>
      </c>
      <c r="P76" t="s">
        <v>294</v>
      </c>
      <c r="Q76" t="str">
        <f t="shared" si="12"/>
        <v>Australia</v>
      </c>
      <c r="R76">
        <v>2023</v>
      </c>
      <c r="S76">
        <v>2</v>
      </c>
      <c r="T76">
        <v>19</v>
      </c>
      <c r="U76">
        <v>16</v>
      </c>
      <c r="Y76" s="4">
        <f t="shared" si="13"/>
        <v>16</v>
      </c>
    </row>
    <row r="77" spans="1:25" ht="18" x14ac:dyDescent="0.25">
      <c r="A77" t="s">
        <v>295</v>
      </c>
      <c r="B77" t="s">
        <v>296</v>
      </c>
      <c r="C77" s="12" t="str">
        <f t="shared" si="7"/>
        <v>Negative</v>
      </c>
      <c r="D77" s="18">
        <f t="shared" si="8"/>
        <v>-1</v>
      </c>
      <c r="E77" s="1">
        <v>44976.822916666664</v>
      </c>
      <c r="F77" s="10">
        <f>INT(E77)</f>
        <v>44976</v>
      </c>
      <c r="G77" s="15">
        <f>MOD(E77,2)</f>
        <v>0.82291666666424135</v>
      </c>
      <c r="H77" s="15" t="str">
        <f t="shared" si="9"/>
        <v>19:45</v>
      </c>
      <c r="I77" t="s">
        <v>297</v>
      </c>
      <c r="J77" t="s">
        <v>31</v>
      </c>
      <c r="K77" t="str">
        <f t="shared" si="10"/>
        <v>Facebook</v>
      </c>
      <c r="L77" t="s">
        <v>298</v>
      </c>
      <c r="M77">
        <v>15</v>
      </c>
      <c r="N77">
        <v>30</v>
      </c>
      <c r="O77">
        <f t="shared" si="11"/>
        <v>45</v>
      </c>
      <c r="P77" t="s">
        <v>209</v>
      </c>
      <c r="Q77" t="str">
        <f t="shared" si="12"/>
        <v>India</v>
      </c>
      <c r="R77">
        <v>2023</v>
      </c>
      <c r="S77">
        <v>2</v>
      </c>
      <c r="T77">
        <v>19</v>
      </c>
      <c r="U77">
        <v>19</v>
      </c>
      <c r="Y77" s="4">
        <f t="shared" si="13"/>
        <v>19</v>
      </c>
    </row>
    <row r="78" spans="1:25" ht="18" x14ac:dyDescent="0.25">
      <c r="A78" t="s">
        <v>299</v>
      </c>
      <c r="B78" t="s">
        <v>196</v>
      </c>
      <c r="C78" s="12" t="str">
        <f t="shared" si="7"/>
        <v>Negative</v>
      </c>
      <c r="D78" s="18">
        <f t="shared" si="8"/>
        <v>-1</v>
      </c>
      <c r="E78" s="1">
        <v>44977.395833333336</v>
      </c>
      <c r="F78" s="10">
        <f>INT(E78)</f>
        <v>44977</v>
      </c>
      <c r="G78" s="15">
        <f>MOD(E78,2)</f>
        <v>1.3958333333357587</v>
      </c>
      <c r="H78" s="15" t="str">
        <f t="shared" si="9"/>
        <v>09:30</v>
      </c>
      <c r="I78" t="s">
        <v>300</v>
      </c>
      <c r="J78" t="s">
        <v>16</v>
      </c>
      <c r="K78" t="str">
        <f t="shared" si="10"/>
        <v>Twitter</v>
      </c>
      <c r="L78" t="s">
        <v>301</v>
      </c>
      <c r="M78">
        <v>20</v>
      </c>
      <c r="N78">
        <v>40</v>
      </c>
      <c r="O78">
        <f t="shared" si="11"/>
        <v>60</v>
      </c>
      <c r="P78" t="s">
        <v>199</v>
      </c>
      <c r="Q78" t="str">
        <f t="shared" si="12"/>
        <v>Canada</v>
      </c>
      <c r="R78">
        <v>2023</v>
      </c>
      <c r="S78">
        <v>2</v>
      </c>
      <c r="T78">
        <v>20</v>
      </c>
      <c r="U78">
        <v>9</v>
      </c>
      <c r="Y78" s="4">
        <f t="shared" si="13"/>
        <v>9</v>
      </c>
    </row>
    <row r="79" spans="1:25" ht="18" x14ac:dyDescent="0.25">
      <c r="A79" t="s">
        <v>302</v>
      </c>
      <c r="B79" t="s">
        <v>201</v>
      </c>
      <c r="C79" s="12" t="str">
        <f t="shared" si="7"/>
        <v>Negative</v>
      </c>
      <c r="D79" s="18">
        <f t="shared" si="8"/>
        <v>-1</v>
      </c>
      <c r="E79" s="1">
        <v>44977.885416666664</v>
      </c>
      <c r="F79" s="10">
        <f>INT(E79)</f>
        <v>44977</v>
      </c>
      <c r="G79" s="15">
        <f>MOD(E79,2)</f>
        <v>1.8854166666642413</v>
      </c>
      <c r="H79" s="15" t="str">
        <f t="shared" si="9"/>
        <v>21:15</v>
      </c>
      <c r="I79" t="s">
        <v>303</v>
      </c>
      <c r="J79" t="s">
        <v>26</v>
      </c>
      <c r="K79" t="str">
        <f t="shared" si="10"/>
        <v>Instagram</v>
      </c>
      <c r="L79" t="s">
        <v>304</v>
      </c>
      <c r="M79">
        <v>15</v>
      </c>
      <c r="N79">
        <v>30</v>
      </c>
      <c r="O79">
        <f t="shared" si="11"/>
        <v>45</v>
      </c>
      <c r="P79" t="s">
        <v>204</v>
      </c>
      <c r="Q79" t="str">
        <f t="shared" si="12"/>
        <v>USA</v>
      </c>
      <c r="R79">
        <v>2023</v>
      </c>
      <c r="S79">
        <v>2</v>
      </c>
      <c r="T79">
        <v>20</v>
      </c>
      <c r="U79">
        <v>21</v>
      </c>
      <c r="Y79" s="4">
        <f t="shared" si="13"/>
        <v>21</v>
      </c>
    </row>
    <row r="80" spans="1:25" ht="18" x14ac:dyDescent="0.25">
      <c r="A80" t="s">
        <v>305</v>
      </c>
      <c r="B80" t="s">
        <v>206</v>
      </c>
      <c r="C80" s="12" t="str">
        <f t="shared" si="7"/>
        <v>Negative</v>
      </c>
      <c r="D80" s="18">
        <f t="shared" si="8"/>
        <v>-1</v>
      </c>
      <c r="E80" s="1">
        <v>44978.614583333336</v>
      </c>
      <c r="F80" s="10">
        <f>INT(E80)</f>
        <v>44978</v>
      </c>
      <c r="G80" s="15">
        <f>MOD(E80,2)</f>
        <v>0.61458333333575865</v>
      </c>
      <c r="H80" s="15" t="str">
        <f t="shared" si="9"/>
        <v>14:45</v>
      </c>
      <c r="I80" t="s">
        <v>306</v>
      </c>
      <c r="J80" t="s">
        <v>31</v>
      </c>
      <c r="K80" t="str">
        <f t="shared" si="10"/>
        <v>Facebook</v>
      </c>
      <c r="L80" t="s">
        <v>307</v>
      </c>
      <c r="M80">
        <v>25</v>
      </c>
      <c r="N80">
        <v>50</v>
      </c>
      <c r="O80">
        <f t="shared" si="11"/>
        <v>75</v>
      </c>
      <c r="P80" t="s">
        <v>209</v>
      </c>
      <c r="Q80" t="str">
        <f t="shared" si="12"/>
        <v>India</v>
      </c>
      <c r="R80">
        <v>2023</v>
      </c>
      <c r="S80">
        <v>2</v>
      </c>
      <c r="T80">
        <v>21</v>
      </c>
      <c r="U80">
        <v>14</v>
      </c>
      <c r="Y80" s="4">
        <f t="shared" si="13"/>
        <v>14</v>
      </c>
    </row>
    <row r="81" spans="1:25" ht="18" x14ac:dyDescent="0.25">
      <c r="A81" t="s">
        <v>308</v>
      </c>
      <c r="B81" t="s">
        <v>211</v>
      </c>
      <c r="C81" s="12" t="str">
        <f t="shared" si="7"/>
        <v>Negative</v>
      </c>
      <c r="D81" s="18">
        <f t="shared" si="8"/>
        <v>-1</v>
      </c>
      <c r="E81" s="1">
        <v>44978.763888888891</v>
      </c>
      <c r="F81" s="10">
        <f>INT(E81)</f>
        <v>44978</v>
      </c>
      <c r="G81" s="15">
        <f>MOD(E81,2)</f>
        <v>0.76388888889050577</v>
      </c>
      <c r="H81" s="15" t="str">
        <f t="shared" si="9"/>
        <v>18:20</v>
      </c>
      <c r="I81" t="s">
        <v>309</v>
      </c>
      <c r="J81" t="s">
        <v>16</v>
      </c>
      <c r="K81" t="str">
        <f t="shared" si="10"/>
        <v>Twitter</v>
      </c>
      <c r="L81" t="s">
        <v>310</v>
      </c>
      <c r="M81">
        <v>18</v>
      </c>
      <c r="N81">
        <v>35</v>
      </c>
      <c r="O81">
        <f t="shared" si="11"/>
        <v>53</v>
      </c>
      <c r="P81" t="s">
        <v>190</v>
      </c>
      <c r="Q81" t="str">
        <f t="shared" si="12"/>
        <v>UK</v>
      </c>
      <c r="R81">
        <v>2023</v>
      </c>
      <c r="S81">
        <v>2</v>
      </c>
      <c r="T81">
        <v>21</v>
      </c>
      <c r="U81">
        <v>18</v>
      </c>
      <c r="Y81" s="4">
        <f t="shared" si="13"/>
        <v>18</v>
      </c>
    </row>
    <row r="82" spans="1:25" ht="18" x14ac:dyDescent="0.25">
      <c r="A82" t="s">
        <v>311</v>
      </c>
      <c r="B82" t="s">
        <v>215</v>
      </c>
      <c r="C82" s="12" t="str">
        <f t="shared" si="7"/>
        <v>Positive</v>
      </c>
      <c r="D82" s="18">
        <f t="shared" si="8"/>
        <v>1</v>
      </c>
      <c r="E82" s="1">
        <v>44979.416666666664</v>
      </c>
      <c r="F82" s="10">
        <f>INT(E82)</f>
        <v>44979</v>
      </c>
      <c r="G82" s="15">
        <f>MOD(E82,2)</f>
        <v>1.4166666666642413</v>
      </c>
      <c r="H82" s="15" t="str">
        <f t="shared" si="9"/>
        <v>10:00</v>
      </c>
      <c r="I82" t="s">
        <v>312</v>
      </c>
      <c r="J82" t="s">
        <v>26</v>
      </c>
      <c r="K82" t="str">
        <f t="shared" si="10"/>
        <v>Instagram</v>
      </c>
      <c r="L82" t="s">
        <v>313</v>
      </c>
      <c r="M82">
        <v>30</v>
      </c>
      <c r="N82">
        <v>60</v>
      </c>
      <c r="O82">
        <f t="shared" si="11"/>
        <v>90</v>
      </c>
      <c r="P82" t="s">
        <v>231</v>
      </c>
      <c r="Q82" t="str">
        <f t="shared" si="12"/>
        <v>UK</v>
      </c>
      <c r="R82">
        <v>2023</v>
      </c>
      <c r="S82">
        <v>2</v>
      </c>
      <c r="T82">
        <v>22</v>
      </c>
      <c r="U82">
        <v>10</v>
      </c>
      <c r="Y82" s="4">
        <f t="shared" si="13"/>
        <v>10</v>
      </c>
    </row>
    <row r="83" spans="1:25" ht="18" x14ac:dyDescent="0.25">
      <c r="A83" t="s">
        <v>314</v>
      </c>
      <c r="B83" t="s">
        <v>219</v>
      </c>
      <c r="C83" s="12" t="str">
        <f t="shared" si="7"/>
        <v>Positive</v>
      </c>
      <c r="D83" s="18">
        <f t="shared" si="8"/>
        <v>1</v>
      </c>
      <c r="E83" s="1">
        <v>44979.8125</v>
      </c>
      <c r="F83" s="10">
        <f>INT(E83)</f>
        <v>44979</v>
      </c>
      <c r="G83" s="15">
        <f>MOD(E83,2)</f>
        <v>1.8125</v>
      </c>
      <c r="H83" s="15" t="str">
        <f t="shared" si="9"/>
        <v>19:30</v>
      </c>
      <c r="I83" t="s">
        <v>315</v>
      </c>
      <c r="J83" t="s">
        <v>31</v>
      </c>
      <c r="K83" t="str">
        <f t="shared" si="10"/>
        <v>Facebook</v>
      </c>
      <c r="L83" t="s">
        <v>316</v>
      </c>
      <c r="M83">
        <v>22</v>
      </c>
      <c r="N83">
        <v>45</v>
      </c>
      <c r="O83">
        <f t="shared" si="11"/>
        <v>67</v>
      </c>
      <c r="P83" t="s">
        <v>78</v>
      </c>
      <c r="Q83" t="str">
        <f t="shared" si="12"/>
        <v>Canada</v>
      </c>
      <c r="R83">
        <v>2023</v>
      </c>
      <c r="S83">
        <v>2</v>
      </c>
      <c r="T83">
        <v>22</v>
      </c>
      <c r="U83">
        <v>19</v>
      </c>
      <c r="Y83" s="4">
        <f t="shared" si="13"/>
        <v>19</v>
      </c>
    </row>
    <row r="84" spans="1:25" ht="18" x14ac:dyDescent="0.25">
      <c r="A84" t="s">
        <v>317</v>
      </c>
      <c r="B84" t="s">
        <v>223</v>
      </c>
      <c r="C84" s="12" t="str">
        <f t="shared" si="7"/>
        <v>Positive</v>
      </c>
      <c r="D84" s="18">
        <f t="shared" si="8"/>
        <v>1</v>
      </c>
      <c r="E84" s="1">
        <v>44980.354166666664</v>
      </c>
      <c r="F84" s="10">
        <f>INT(E84)</f>
        <v>44980</v>
      </c>
      <c r="G84" s="15">
        <f>MOD(E84,2)</f>
        <v>0.35416666666424135</v>
      </c>
      <c r="H84" s="15" t="str">
        <f t="shared" si="9"/>
        <v>08:30</v>
      </c>
      <c r="I84" t="s">
        <v>318</v>
      </c>
      <c r="J84" t="s">
        <v>16</v>
      </c>
      <c r="K84" t="str">
        <f t="shared" si="10"/>
        <v>Twitter</v>
      </c>
      <c r="L84" t="s">
        <v>225</v>
      </c>
      <c r="M84">
        <v>15</v>
      </c>
      <c r="N84">
        <v>30</v>
      </c>
      <c r="O84">
        <f t="shared" si="11"/>
        <v>45</v>
      </c>
      <c r="P84" t="s">
        <v>226</v>
      </c>
      <c r="Q84" t="str">
        <f t="shared" si="12"/>
        <v>Australia</v>
      </c>
      <c r="R84">
        <v>2023</v>
      </c>
      <c r="S84">
        <v>2</v>
      </c>
      <c r="T84">
        <v>23</v>
      </c>
      <c r="U84">
        <v>8</v>
      </c>
      <c r="Y84" s="4">
        <f t="shared" si="13"/>
        <v>8</v>
      </c>
    </row>
    <row r="85" spans="1:25" ht="18" x14ac:dyDescent="0.25">
      <c r="A85" t="s">
        <v>319</v>
      </c>
      <c r="B85" t="s">
        <v>228</v>
      </c>
      <c r="C85" s="12" t="str">
        <f t="shared" si="7"/>
        <v>Positive</v>
      </c>
      <c r="D85" s="18">
        <f t="shared" si="8"/>
        <v>1</v>
      </c>
      <c r="E85" s="1">
        <v>44980.597222222219</v>
      </c>
      <c r="F85" s="10">
        <f>INT(E85)</f>
        <v>44980</v>
      </c>
      <c r="G85" s="15">
        <f>MOD(E85,2)</f>
        <v>0.59722222221898846</v>
      </c>
      <c r="H85" s="15" t="str">
        <f t="shared" si="9"/>
        <v>14:20</v>
      </c>
      <c r="I85" t="s">
        <v>320</v>
      </c>
      <c r="J85" t="s">
        <v>26</v>
      </c>
      <c r="K85" t="str">
        <f t="shared" si="10"/>
        <v>Instagram</v>
      </c>
      <c r="L85" t="s">
        <v>321</v>
      </c>
      <c r="M85">
        <v>18</v>
      </c>
      <c r="N85">
        <v>35</v>
      </c>
      <c r="O85">
        <f t="shared" si="11"/>
        <v>53</v>
      </c>
      <c r="P85" t="s">
        <v>231</v>
      </c>
      <c r="Q85" t="str">
        <f t="shared" si="12"/>
        <v>UK</v>
      </c>
      <c r="R85">
        <v>2023</v>
      </c>
      <c r="S85">
        <v>2</v>
      </c>
      <c r="T85">
        <v>23</v>
      </c>
      <c r="U85">
        <v>14</v>
      </c>
      <c r="Y85" s="4">
        <f t="shared" si="13"/>
        <v>14</v>
      </c>
    </row>
    <row r="86" spans="1:25" ht="18" x14ac:dyDescent="0.25">
      <c r="A86" t="s">
        <v>322</v>
      </c>
      <c r="B86" t="s">
        <v>233</v>
      </c>
      <c r="C86" s="12" t="str">
        <f t="shared" si="7"/>
        <v>Positive</v>
      </c>
      <c r="D86" s="18">
        <f t="shared" si="8"/>
        <v>1</v>
      </c>
      <c r="E86" s="1">
        <v>44980.822916666664</v>
      </c>
      <c r="F86" s="10">
        <f>INT(E86)</f>
        <v>44980</v>
      </c>
      <c r="G86" s="15">
        <f>MOD(E86,2)</f>
        <v>0.82291666666424135</v>
      </c>
      <c r="H86" s="15" t="str">
        <f t="shared" si="9"/>
        <v>19:45</v>
      </c>
      <c r="I86" t="s">
        <v>323</v>
      </c>
      <c r="J86" t="s">
        <v>31</v>
      </c>
      <c r="K86" t="str">
        <f t="shared" si="10"/>
        <v>Facebook</v>
      </c>
      <c r="L86" t="s">
        <v>324</v>
      </c>
      <c r="M86">
        <v>25</v>
      </c>
      <c r="N86">
        <v>50</v>
      </c>
      <c r="O86">
        <f t="shared" si="11"/>
        <v>75</v>
      </c>
      <c r="P86" t="s">
        <v>98</v>
      </c>
      <c r="Q86" t="str">
        <f t="shared" si="12"/>
        <v>USA</v>
      </c>
      <c r="R86">
        <v>2023</v>
      </c>
      <c r="S86">
        <v>2</v>
      </c>
      <c r="T86">
        <v>23</v>
      </c>
      <c r="U86">
        <v>19</v>
      </c>
      <c r="Y86" s="4">
        <f t="shared" si="13"/>
        <v>19</v>
      </c>
    </row>
    <row r="87" spans="1:25" ht="18" x14ac:dyDescent="0.25">
      <c r="A87" t="s">
        <v>325</v>
      </c>
      <c r="B87" t="s">
        <v>238</v>
      </c>
      <c r="C87" s="12" t="str">
        <f t="shared" si="7"/>
        <v>Neutral</v>
      </c>
      <c r="D87" s="18">
        <f t="shared" si="8"/>
        <v>0</v>
      </c>
      <c r="E87" s="1">
        <v>44981.479166666664</v>
      </c>
      <c r="F87" s="10">
        <f>INT(E87)</f>
        <v>44981</v>
      </c>
      <c r="G87" s="15">
        <f>MOD(E87,2)</f>
        <v>1.4791666666642413</v>
      </c>
      <c r="H87" s="15" t="str">
        <f t="shared" si="9"/>
        <v>11:30</v>
      </c>
      <c r="I87" t="s">
        <v>326</v>
      </c>
      <c r="J87" t="s">
        <v>16</v>
      </c>
      <c r="K87" t="str">
        <f t="shared" si="10"/>
        <v>Twitter</v>
      </c>
      <c r="L87" t="s">
        <v>327</v>
      </c>
      <c r="M87">
        <v>20</v>
      </c>
      <c r="N87">
        <v>40</v>
      </c>
      <c r="O87">
        <f t="shared" si="11"/>
        <v>60</v>
      </c>
      <c r="P87" t="s">
        <v>28</v>
      </c>
      <c r="Q87" t="str">
        <f t="shared" si="12"/>
        <v>USA</v>
      </c>
      <c r="R87">
        <v>2023</v>
      </c>
      <c r="S87">
        <v>2</v>
      </c>
      <c r="T87">
        <v>24</v>
      </c>
      <c r="U87">
        <v>11</v>
      </c>
      <c r="Y87" s="4">
        <f t="shared" si="13"/>
        <v>11</v>
      </c>
    </row>
    <row r="88" spans="1:25" ht="18" x14ac:dyDescent="0.25">
      <c r="A88" t="s">
        <v>328</v>
      </c>
      <c r="B88" t="s">
        <v>242</v>
      </c>
      <c r="C88" s="12" t="str">
        <f t="shared" si="7"/>
        <v>Positive</v>
      </c>
      <c r="D88" s="18">
        <f t="shared" si="8"/>
        <v>1</v>
      </c>
      <c r="E88" s="1">
        <v>44981.666666666664</v>
      </c>
      <c r="F88" s="10">
        <f>INT(E88)</f>
        <v>44981</v>
      </c>
      <c r="G88" s="15">
        <f>MOD(E88,2)</f>
        <v>1.6666666666642413</v>
      </c>
      <c r="H88" s="15" t="str">
        <f t="shared" si="9"/>
        <v>16:00</v>
      </c>
      <c r="I88" t="s">
        <v>329</v>
      </c>
      <c r="J88" t="s">
        <v>26</v>
      </c>
      <c r="K88" t="str">
        <f t="shared" si="10"/>
        <v>Instagram</v>
      </c>
      <c r="L88" t="s">
        <v>330</v>
      </c>
      <c r="M88">
        <v>15</v>
      </c>
      <c r="N88">
        <v>30</v>
      </c>
      <c r="O88">
        <f t="shared" si="11"/>
        <v>45</v>
      </c>
      <c r="P88" t="s">
        <v>59</v>
      </c>
      <c r="Q88" t="str">
        <f t="shared" si="12"/>
        <v>USA</v>
      </c>
      <c r="R88">
        <v>2023</v>
      </c>
      <c r="S88">
        <v>2</v>
      </c>
      <c r="T88">
        <v>24</v>
      </c>
      <c r="U88">
        <v>16</v>
      </c>
      <c r="Y88" s="4">
        <f t="shared" si="13"/>
        <v>16</v>
      </c>
    </row>
    <row r="89" spans="1:25" ht="18" x14ac:dyDescent="0.25">
      <c r="A89" t="s">
        <v>331</v>
      </c>
      <c r="B89" t="s">
        <v>246</v>
      </c>
      <c r="C89" s="12" t="str">
        <f t="shared" si="7"/>
        <v>Positive</v>
      </c>
      <c r="D89" s="18">
        <f t="shared" si="8"/>
        <v>1</v>
      </c>
      <c r="E89" s="1">
        <v>44981.854166666664</v>
      </c>
      <c r="F89" s="10">
        <f>INT(E89)</f>
        <v>44981</v>
      </c>
      <c r="G89" s="15">
        <f>MOD(E89,2)</f>
        <v>1.8541666666642413</v>
      </c>
      <c r="H89" s="15" t="str">
        <f t="shared" si="9"/>
        <v>20:30</v>
      </c>
      <c r="I89" t="s">
        <v>332</v>
      </c>
      <c r="J89" t="s">
        <v>31</v>
      </c>
      <c r="K89" t="str">
        <f t="shared" si="10"/>
        <v>Facebook</v>
      </c>
      <c r="L89" t="s">
        <v>333</v>
      </c>
      <c r="M89">
        <v>22</v>
      </c>
      <c r="N89">
        <v>45</v>
      </c>
      <c r="O89">
        <f t="shared" si="11"/>
        <v>67</v>
      </c>
      <c r="P89" t="s">
        <v>38</v>
      </c>
      <c r="Q89" t="str">
        <f t="shared" si="12"/>
        <v>Australia</v>
      </c>
      <c r="R89">
        <v>2023</v>
      </c>
      <c r="S89">
        <v>2</v>
      </c>
      <c r="T89">
        <v>24</v>
      </c>
      <c r="U89">
        <v>20</v>
      </c>
      <c r="Y89" s="4">
        <f t="shared" si="13"/>
        <v>20</v>
      </c>
    </row>
    <row r="90" spans="1:25" ht="18" x14ac:dyDescent="0.25">
      <c r="A90" t="s">
        <v>334</v>
      </c>
      <c r="B90" t="s">
        <v>251</v>
      </c>
      <c r="C90" s="12" t="str">
        <f t="shared" si="7"/>
        <v>Negative</v>
      </c>
      <c r="D90" s="18">
        <f t="shared" si="8"/>
        <v>-1</v>
      </c>
      <c r="E90" s="1">
        <v>44982.375</v>
      </c>
      <c r="F90" s="10">
        <f>INT(E90)</f>
        <v>44982</v>
      </c>
      <c r="G90" s="15">
        <f>MOD(E90,2)</f>
        <v>0.375</v>
      </c>
      <c r="H90" s="15" t="str">
        <f t="shared" si="9"/>
        <v>09:00</v>
      </c>
      <c r="I90" t="s">
        <v>335</v>
      </c>
      <c r="J90" t="s">
        <v>16</v>
      </c>
      <c r="K90" t="str">
        <f t="shared" si="10"/>
        <v>Twitter</v>
      </c>
      <c r="L90" t="s">
        <v>336</v>
      </c>
      <c r="M90">
        <v>18</v>
      </c>
      <c r="N90">
        <v>35</v>
      </c>
      <c r="O90">
        <f t="shared" si="11"/>
        <v>53</v>
      </c>
      <c r="P90" t="s">
        <v>209</v>
      </c>
      <c r="Q90" t="str">
        <f t="shared" si="12"/>
        <v>India</v>
      </c>
      <c r="R90">
        <v>2023</v>
      </c>
      <c r="S90">
        <v>2</v>
      </c>
      <c r="T90">
        <v>25</v>
      </c>
      <c r="U90">
        <v>9</v>
      </c>
      <c r="Y90" s="4">
        <f t="shared" si="13"/>
        <v>9</v>
      </c>
    </row>
    <row r="91" spans="1:25" ht="18" x14ac:dyDescent="0.25">
      <c r="A91" t="s">
        <v>337</v>
      </c>
      <c r="B91" t="s">
        <v>255</v>
      </c>
      <c r="C91" s="12" t="str">
        <f t="shared" si="7"/>
        <v>Neutral</v>
      </c>
      <c r="D91" s="18">
        <f t="shared" si="8"/>
        <v>0</v>
      </c>
      <c r="E91" s="1">
        <v>44982.614583333336</v>
      </c>
      <c r="F91" s="10">
        <f>INT(E91)</f>
        <v>44982</v>
      </c>
      <c r="G91" s="15">
        <f>MOD(E91,2)</f>
        <v>0.61458333333575865</v>
      </c>
      <c r="H91" s="15" t="str">
        <f t="shared" si="9"/>
        <v>14:45</v>
      </c>
      <c r="I91" t="s">
        <v>338</v>
      </c>
      <c r="J91" t="s">
        <v>26</v>
      </c>
      <c r="K91" t="str">
        <f t="shared" si="10"/>
        <v>Instagram</v>
      </c>
      <c r="L91" t="s">
        <v>339</v>
      </c>
      <c r="M91">
        <v>25</v>
      </c>
      <c r="N91">
        <v>50</v>
      </c>
      <c r="O91">
        <f t="shared" si="11"/>
        <v>75</v>
      </c>
      <c r="P91" t="s">
        <v>204</v>
      </c>
      <c r="Q91" t="str">
        <f t="shared" si="12"/>
        <v>USA</v>
      </c>
      <c r="R91">
        <v>2023</v>
      </c>
      <c r="S91">
        <v>2</v>
      </c>
      <c r="T91">
        <v>25</v>
      </c>
      <c r="U91">
        <v>14</v>
      </c>
      <c r="Y91" s="4">
        <f t="shared" si="13"/>
        <v>14</v>
      </c>
    </row>
    <row r="92" spans="1:25" ht="18" x14ac:dyDescent="0.25">
      <c r="A92" t="s">
        <v>340</v>
      </c>
      <c r="B92" t="s">
        <v>259</v>
      </c>
      <c r="C92" s="12" t="str">
        <f t="shared" si="7"/>
        <v>Positive</v>
      </c>
      <c r="D92" s="18">
        <f t="shared" si="8"/>
        <v>1</v>
      </c>
      <c r="E92" s="1">
        <v>44982.763888888891</v>
      </c>
      <c r="F92" s="10">
        <f>INT(E92)</f>
        <v>44982</v>
      </c>
      <c r="G92" s="15">
        <f>MOD(E92,2)</f>
        <v>0.76388888889050577</v>
      </c>
      <c r="H92" s="15" t="str">
        <f t="shared" si="9"/>
        <v>18:20</v>
      </c>
      <c r="I92" t="s">
        <v>341</v>
      </c>
      <c r="J92" t="s">
        <v>31</v>
      </c>
      <c r="K92" t="str">
        <f t="shared" si="10"/>
        <v>Facebook</v>
      </c>
      <c r="L92" t="s">
        <v>342</v>
      </c>
      <c r="M92">
        <v>15</v>
      </c>
      <c r="N92">
        <v>30</v>
      </c>
      <c r="O92">
        <f t="shared" si="11"/>
        <v>45</v>
      </c>
      <c r="P92" t="s">
        <v>199</v>
      </c>
      <c r="Q92" t="str">
        <f t="shared" si="12"/>
        <v>Canada</v>
      </c>
      <c r="R92">
        <v>2023</v>
      </c>
      <c r="S92">
        <v>2</v>
      </c>
      <c r="T92">
        <v>25</v>
      </c>
      <c r="U92">
        <v>18</v>
      </c>
      <c r="Y92" s="4">
        <f t="shared" si="13"/>
        <v>18</v>
      </c>
    </row>
    <row r="93" spans="1:25" ht="18" x14ac:dyDescent="0.25">
      <c r="A93" t="s">
        <v>343</v>
      </c>
      <c r="B93" t="s">
        <v>263</v>
      </c>
      <c r="C93" s="12" t="str">
        <f t="shared" si="7"/>
        <v>Positive</v>
      </c>
      <c r="D93" s="18">
        <f t="shared" si="8"/>
        <v>1</v>
      </c>
      <c r="E93" s="1">
        <v>44983.447916666664</v>
      </c>
      <c r="F93" s="10">
        <f>INT(E93)</f>
        <v>44983</v>
      </c>
      <c r="G93" s="15">
        <f>MOD(E93,2)</f>
        <v>1.4479166666642413</v>
      </c>
      <c r="H93" s="15" t="str">
        <f t="shared" si="9"/>
        <v>10:45</v>
      </c>
      <c r="I93" t="s">
        <v>344</v>
      </c>
      <c r="J93" t="s">
        <v>16</v>
      </c>
      <c r="K93" t="str">
        <f t="shared" si="10"/>
        <v>Twitter</v>
      </c>
      <c r="L93" t="s">
        <v>345</v>
      </c>
      <c r="M93">
        <v>22</v>
      </c>
      <c r="N93">
        <v>45</v>
      </c>
      <c r="O93">
        <f t="shared" si="11"/>
        <v>67</v>
      </c>
      <c r="P93" t="s">
        <v>190</v>
      </c>
      <c r="Q93" t="str">
        <f t="shared" si="12"/>
        <v>UK</v>
      </c>
      <c r="R93">
        <v>2023</v>
      </c>
      <c r="S93">
        <v>2</v>
      </c>
      <c r="T93">
        <v>26</v>
      </c>
      <c r="U93">
        <v>10</v>
      </c>
      <c r="Y93" s="4">
        <f t="shared" si="13"/>
        <v>10</v>
      </c>
    </row>
    <row r="94" spans="1:25" ht="18" x14ac:dyDescent="0.25">
      <c r="A94" t="s">
        <v>346</v>
      </c>
      <c r="B94" t="s">
        <v>267</v>
      </c>
      <c r="C94" s="12" t="str">
        <f t="shared" si="7"/>
        <v>Neutral</v>
      </c>
      <c r="D94" s="18">
        <f t="shared" si="8"/>
        <v>0</v>
      </c>
      <c r="E94" s="1">
        <v>44983.3125</v>
      </c>
      <c r="F94" s="10">
        <f>INT(E94)</f>
        <v>44983</v>
      </c>
      <c r="G94" s="15">
        <f>MOD(E94,2)</f>
        <v>1.3125</v>
      </c>
      <c r="H94" s="15" t="str">
        <f t="shared" si="9"/>
        <v>07:30</v>
      </c>
      <c r="I94" t="s">
        <v>347</v>
      </c>
      <c r="J94" t="s">
        <v>26</v>
      </c>
      <c r="K94" t="str">
        <f t="shared" si="10"/>
        <v>Instagram</v>
      </c>
      <c r="L94" t="s">
        <v>348</v>
      </c>
      <c r="M94">
        <v>20</v>
      </c>
      <c r="N94">
        <v>40</v>
      </c>
      <c r="O94">
        <f t="shared" si="11"/>
        <v>60</v>
      </c>
      <c r="P94" t="s">
        <v>294</v>
      </c>
      <c r="Q94" t="str">
        <f t="shared" si="12"/>
        <v>Australia</v>
      </c>
      <c r="R94">
        <v>2023</v>
      </c>
      <c r="S94">
        <v>2</v>
      </c>
      <c r="T94">
        <v>26</v>
      </c>
      <c r="U94">
        <v>7</v>
      </c>
      <c r="Y94" s="4">
        <f t="shared" si="13"/>
        <v>7</v>
      </c>
    </row>
    <row r="95" spans="1:25" ht="18" x14ac:dyDescent="0.25">
      <c r="A95" t="s">
        <v>349</v>
      </c>
      <c r="B95" t="s">
        <v>271</v>
      </c>
      <c r="C95" s="12" t="str">
        <f t="shared" si="7"/>
        <v>Negative</v>
      </c>
      <c r="D95" s="18">
        <f t="shared" si="8"/>
        <v>-1</v>
      </c>
      <c r="E95" s="1">
        <v>44983.625</v>
      </c>
      <c r="F95" s="10">
        <f>INT(E95)</f>
        <v>44983</v>
      </c>
      <c r="G95" s="15">
        <f>MOD(E95,2)</f>
        <v>1.625</v>
      </c>
      <c r="H95" s="15" t="str">
        <f t="shared" si="9"/>
        <v>15:00</v>
      </c>
      <c r="I95" t="s">
        <v>350</v>
      </c>
      <c r="J95" t="s">
        <v>31</v>
      </c>
      <c r="K95" t="str">
        <f t="shared" si="10"/>
        <v>Facebook</v>
      </c>
      <c r="L95" t="s">
        <v>351</v>
      </c>
      <c r="M95">
        <v>18</v>
      </c>
      <c r="N95">
        <v>35</v>
      </c>
      <c r="O95">
        <f t="shared" si="11"/>
        <v>53</v>
      </c>
      <c r="P95" t="s">
        <v>88</v>
      </c>
      <c r="Q95" t="str">
        <f t="shared" si="12"/>
        <v>USA</v>
      </c>
      <c r="R95">
        <v>2023</v>
      </c>
      <c r="S95">
        <v>2</v>
      </c>
      <c r="T95">
        <v>26</v>
      </c>
      <c r="U95">
        <v>15</v>
      </c>
      <c r="Y95" s="4">
        <f t="shared" si="13"/>
        <v>15</v>
      </c>
    </row>
    <row r="96" spans="1:25" ht="18" x14ac:dyDescent="0.25">
      <c r="A96" t="s">
        <v>352</v>
      </c>
      <c r="B96" t="s">
        <v>275</v>
      </c>
      <c r="C96" s="12" t="str">
        <f t="shared" si="7"/>
        <v>Positive</v>
      </c>
      <c r="D96" s="18">
        <f t="shared" si="8"/>
        <v>1</v>
      </c>
      <c r="E96" s="1">
        <v>44984.395833333336</v>
      </c>
      <c r="F96" s="10">
        <f>INT(E96)</f>
        <v>44984</v>
      </c>
      <c r="G96" s="15">
        <f>MOD(E96,2)</f>
        <v>0.39583333333575865</v>
      </c>
      <c r="H96" s="15" t="str">
        <f t="shared" si="9"/>
        <v>09:30</v>
      </c>
      <c r="I96" t="s">
        <v>353</v>
      </c>
      <c r="J96" t="s">
        <v>16</v>
      </c>
      <c r="K96" t="str">
        <f t="shared" si="10"/>
        <v>Twitter</v>
      </c>
      <c r="L96" t="s">
        <v>354</v>
      </c>
      <c r="M96">
        <v>15</v>
      </c>
      <c r="N96">
        <v>30</v>
      </c>
      <c r="O96">
        <f t="shared" si="11"/>
        <v>45</v>
      </c>
      <c r="P96" t="s">
        <v>113</v>
      </c>
      <c r="Q96" t="str">
        <f t="shared" si="12"/>
        <v>India</v>
      </c>
      <c r="R96">
        <v>2023</v>
      </c>
      <c r="S96">
        <v>2</v>
      </c>
      <c r="T96">
        <v>27</v>
      </c>
      <c r="U96">
        <v>9</v>
      </c>
      <c r="Y96" s="4">
        <f t="shared" si="13"/>
        <v>9</v>
      </c>
    </row>
    <row r="97" spans="1:25" ht="18" x14ac:dyDescent="0.25">
      <c r="A97" t="s">
        <v>355</v>
      </c>
      <c r="B97" t="s">
        <v>279</v>
      </c>
      <c r="C97" s="12" t="str">
        <f t="shared" si="7"/>
        <v>Neutral</v>
      </c>
      <c r="D97" s="18">
        <f t="shared" si="8"/>
        <v>0</v>
      </c>
      <c r="E97" s="1">
        <v>44984.597222222219</v>
      </c>
      <c r="F97" s="10">
        <f>INT(E97)</f>
        <v>44984</v>
      </c>
      <c r="G97" s="15">
        <f>MOD(E97,2)</f>
        <v>0.59722222221898846</v>
      </c>
      <c r="H97" s="15" t="str">
        <f t="shared" si="9"/>
        <v>14:20</v>
      </c>
      <c r="I97" t="s">
        <v>356</v>
      </c>
      <c r="J97" t="s">
        <v>26</v>
      </c>
      <c r="K97" t="str">
        <f t="shared" si="10"/>
        <v>Instagram</v>
      </c>
      <c r="L97" t="s">
        <v>357</v>
      </c>
      <c r="M97">
        <v>25</v>
      </c>
      <c r="N97">
        <v>50</v>
      </c>
      <c r="O97">
        <f t="shared" si="11"/>
        <v>75</v>
      </c>
      <c r="P97" t="s">
        <v>174</v>
      </c>
      <c r="Q97" t="str">
        <f t="shared" si="12"/>
        <v>UK</v>
      </c>
      <c r="R97">
        <v>2023</v>
      </c>
      <c r="S97">
        <v>2</v>
      </c>
      <c r="T97">
        <v>27</v>
      </c>
      <c r="U97">
        <v>14</v>
      </c>
      <c r="Y97" s="4">
        <f t="shared" si="13"/>
        <v>14</v>
      </c>
    </row>
    <row r="98" spans="1:25" ht="18" x14ac:dyDescent="0.25">
      <c r="A98" t="s">
        <v>358</v>
      </c>
      <c r="B98" t="s">
        <v>283</v>
      </c>
      <c r="C98" s="12" t="str">
        <f t="shared" si="7"/>
        <v>Positive</v>
      </c>
      <c r="D98" s="18">
        <f t="shared" si="8"/>
        <v>1</v>
      </c>
      <c r="E98" s="1">
        <v>44984.78125</v>
      </c>
      <c r="F98" s="10">
        <f>INT(E98)</f>
        <v>44984</v>
      </c>
      <c r="G98" s="15">
        <f>MOD(E98,2)</f>
        <v>0.78125</v>
      </c>
      <c r="H98" s="15" t="str">
        <f t="shared" si="9"/>
        <v>18:45</v>
      </c>
      <c r="I98" t="s">
        <v>359</v>
      </c>
      <c r="J98" t="s">
        <v>31</v>
      </c>
      <c r="K98" t="str">
        <f t="shared" si="10"/>
        <v>Facebook</v>
      </c>
      <c r="L98" t="s">
        <v>360</v>
      </c>
      <c r="M98">
        <v>22</v>
      </c>
      <c r="N98">
        <v>45</v>
      </c>
      <c r="O98">
        <f t="shared" si="11"/>
        <v>67</v>
      </c>
      <c r="P98" t="s">
        <v>123</v>
      </c>
      <c r="Q98" t="str">
        <f t="shared" si="12"/>
        <v>Canada</v>
      </c>
      <c r="R98">
        <v>2023</v>
      </c>
      <c r="S98">
        <v>2</v>
      </c>
      <c r="T98">
        <v>27</v>
      </c>
      <c r="U98">
        <v>18</v>
      </c>
      <c r="Y98" s="4">
        <f t="shared" si="13"/>
        <v>18</v>
      </c>
    </row>
    <row r="99" spans="1:25" ht="18" x14ac:dyDescent="0.25">
      <c r="A99" t="s">
        <v>361</v>
      </c>
      <c r="B99" t="s">
        <v>287</v>
      </c>
      <c r="C99" s="12" t="str">
        <f t="shared" si="7"/>
        <v>Positive</v>
      </c>
      <c r="D99" s="18">
        <f t="shared" si="8"/>
        <v>1</v>
      </c>
      <c r="E99" s="1">
        <v>44985.479166666664</v>
      </c>
      <c r="F99" s="10">
        <f>INT(E99)</f>
        <v>44985</v>
      </c>
      <c r="G99" s="15">
        <f>MOD(E99,2)</f>
        <v>1.4791666666642413</v>
      </c>
      <c r="H99" s="15" t="str">
        <f t="shared" si="9"/>
        <v>11:30</v>
      </c>
      <c r="I99" t="s">
        <v>362</v>
      </c>
      <c r="J99" t="s">
        <v>16</v>
      </c>
      <c r="K99" t="str">
        <f t="shared" si="10"/>
        <v>Twitter</v>
      </c>
      <c r="L99" t="s">
        <v>363</v>
      </c>
      <c r="M99">
        <v>20</v>
      </c>
      <c r="N99">
        <v>40</v>
      </c>
      <c r="O99">
        <f t="shared" si="11"/>
        <v>60</v>
      </c>
      <c r="P99" t="s">
        <v>88</v>
      </c>
      <c r="Q99" t="str">
        <f t="shared" si="12"/>
        <v>USA</v>
      </c>
      <c r="R99">
        <v>2023</v>
      </c>
      <c r="S99">
        <v>2</v>
      </c>
      <c r="T99">
        <v>28</v>
      </c>
      <c r="U99">
        <v>11</v>
      </c>
      <c r="Y99" s="4">
        <f t="shared" si="13"/>
        <v>11</v>
      </c>
    </row>
    <row r="100" spans="1:25" ht="18" x14ac:dyDescent="0.25">
      <c r="A100" t="s">
        <v>364</v>
      </c>
      <c r="B100" t="s">
        <v>291</v>
      </c>
      <c r="C100" s="12" t="str">
        <f t="shared" si="7"/>
        <v>Positive</v>
      </c>
      <c r="D100" s="18">
        <f t="shared" si="8"/>
        <v>1</v>
      </c>
      <c r="E100" s="1">
        <v>44985.666666666664</v>
      </c>
      <c r="F100" s="10">
        <f>INT(E100)</f>
        <v>44985</v>
      </c>
      <c r="G100" s="15">
        <f>MOD(E100,2)</f>
        <v>1.6666666666642413</v>
      </c>
      <c r="H100" s="15" t="str">
        <f t="shared" si="9"/>
        <v>16:00</v>
      </c>
      <c r="I100" t="s">
        <v>365</v>
      </c>
      <c r="J100" t="s">
        <v>26</v>
      </c>
      <c r="K100" t="str">
        <f t="shared" si="10"/>
        <v>Instagram</v>
      </c>
      <c r="L100" t="s">
        <v>366</v>
      </c>
      <c r="M100">
        <v>30</v>
      </c>
      <c r="N100">
        <v>60</v>
      </c>
      <c r="O100">
        <f t="shared" si="11"/>
        <v>90</v>
      </c>
      <c r="P100" t="s">
        <v>367</v>
      </c>
      <c r="Q100" t="str">
        <f t="shared" si="12"/>
        <v>UK</v>
      </c>
      <c r="R100">
        <v>2023</v>
      </c>
      <c r="S100">
        <v>2</v>
      </c>
      <c r="T100">
        <v>28</v>
      </c>
      <c r="U100">
        <v>16</v>
      </c>
      <c r="Y100" s="4">
        <f t="shared" si="13"/>
        <v>16</v>
      </c>
    </row>
    <row r="101" spans="1:25" ht="18" x14ac:dyDescent="0.25">
      <c r="A101" t="s">
        <v>368</v>
      </c>
      <c r="B101" t="s">
        <v>296</v>
      </c>
      <c r="C101" s="12" t="str">
        <f t="shared" si="7"/>
        <v>Negative</v>
      </c>
      <c r="D101" s="18">
        <f t="shared" si="8"/>
        <v>-1</v>
      </c>
      <c r="E101" s="1">
        <v>44985.822916666664</v>
      </c>
      <c r="F101" s="10">
        <f>INT(E101)</f>
        <v>44985</v>
      </c>
      <c r="G101" s="15">
        <f>MOD(E101,2)</f>
        <v>1.8229166666642413</v>
      </c>
      <c r="H101" s="15" t="str">
        <f t="shared" si="9"/>
        <v>19:45</v>
      </c>
      <c r="I101" t="s">
        <v>369</v>
      </c>
      <c r="J101" t="s">
        <v>31</v>
      </c>
      <c r="K101" t="str">
        <f t="shared" si="10"/>
        <v>Facebook</v>
      </c>
      <c r="L101" t="s">
        <v>298</v>
      </c>
      <c r="M101">
        <v>15</v>
      </c>
      <c r="N101">
        <v>30</v>
      </c>
      <c r="O101">
        <f t="shared" si="11"/>
        <v>45</v>
      </c>
      <c r="P101" t="s">
        <v>113</v>
      </c>
      <c r="Q101" t="str">
        <f t="shared" si="12"/>
        <v>India</v>
      </c>
      <c r="R101">
        <v>2023</v>
      </c>
      <c r="S101">
        <v>2</v>
      </c>
      <c r="T101">
        <v>28</v>
      </c>
      <c r="U101">
        <v>19</v>
      </c>
      <c r="Y101" s="4">
        <f t="shared" si="13"/>
        <v>19</v>
      </c>
    </row>
    <row r="102" spans="1:25" ht="18" x14ac:dyDescent="0.25">
      <c r="A102" t="s">
        <v>370</v>
      </c>
      <c r="B102" t="s">
        <v>259</v>
      </c>
      <c r="C102" s="12" t="str">
        <f t="shared" si="7"/>
        <v>Positive</v>
      </c>
      <c r="D102" s="18">
        <f t="shared" si="8"/>
        <v>1</v>
      </c>
      <c r="E102" s="1">
        <v>44986.447916666664</v>
      </c>
      <c r="F102" s="10">
        <f>INT(E102)</f>
        <v>44986</v>
      </c>
      <c r="G102" s="15">
        <f>MOD(E102,2)</f>
        <v>0.44791666666424135</v>
      </c>
      <c r="H102" s="15" t="str">
        <f t="shared" si="9"/>
        <v>10:45</v>
      </c>
      <c r="I102" t="s">
        <v>371</v>
      </c>
      <c r="J102" t="s">
        <v>16</v>
      </c>
      <c r="K102" t="str">
        <f t="shared" si="10"/>
        <v>Twitter</v>
      </c>
      <c r="L102" t="s">
        <v>372</v>
      </c>
      <c r="M102">
        <v>22</v>
      </c>
      <c r="N102">
        <v>45</v>
      </c>
      <c r="O102">
        <f t="shared" si="11"/>
        <v>67</v>
      </c>
      <c r="P102" t="s">
        <v>38</v>
      </c>
      <c r="Q102" t="str">
        <f t="shared" si="12"/>
        <v>Australia</v>
      </c>
      <c r="R102">
        <v>2023</v>
      </c>
      <c r="S102">
        <v>3</v>
      </c>
      <c r="T102">
        <v>1</v>
      </c>
      <c r="U102">
        <v>10</v>
      </c>
      <c r="Y102" s="4">
        <f t="shared" si="13"/>
        <v>10</v>
      </c>
    </row>
    <row r="103" spans="1:25" ht="18" x14ac:dyDescent="0.25">
      <c r="A103" t="s">
        <v>373</v>
      </c>
      <c r="B103" t="s">
        <v>283</v>
      </c>
      <c r="C103" s="12" t="str">
        <f t="shared" si="7"/>
        <v>Positive</v>
      </c>
      <c r="D103" s="18">
        <f t="shared" si="8"/>
        <v>1</v>
      </c>
      <c r="E103" s="1">
        <v>44986.5625</v>
      </c>
      <c r="F103" s="10">
        <f>INT(E103)</f>
        <v>44986</v>
      </c>
      <c r="G103" s="15">
        <f>MOD(E103,2)</f>
        <v>0.5625</v>
      </c>
      <c r="H103" s="15" t="str">
        <f t="shared" si="9"/>
        <v>13:30</v>
      </c>
      <c r="I103" t="s">
        <v>374</v>
      </c>
      <c r="J103" t="s">
        <v>26</v>
      </c>
      <c r="K103" t="str">
        <f t="shared" si="10"/>
        <v>Instagram</v>
      </c>
      <c r="L103" t="s">
        <v>375</v>
      </c>
      <c r="M103">
        <v>18</v>
      </c>
      <c r="N103">
        <v>35</v>
      </c>
      <c r="O103">
        <f t="shared" si="11"/>
        <v>53</v>
      </c>
      <c r="P103" t="s">
        <v>204</v>
      </c>
      <c r="Q103" t="str">
        <f t="shared" si="12"/>
        <v>USA</v>
      </c>
      <c r="R103">
        <v>2023</v>
      </c>
      <c r="S103">
        <v>3</v>
      </c>
      <c r="T103">
        <v>1</v>
      </c>
      <c r="U103">
        <v>13</v>
      </c>
      <c r="Y103" s="4">
        <f t="shared" si="13"/>
        <v>13</v>
      </c>
    </row>
    <row r="104" spans="1:25" ht="18" x14ac:dyDescent="0.25">
      <c r="A104" t="s">
        <v>376</v>
      </c>
      <c r="B104" t="s">
        <v>271</v>
      </c>
      <c r="C104" s="12" t="str">
        <f t="shared" si="7"/>
        <v>Negative</v>
      </c>
      <c r="D104" s="18">
        <f t="shared" si="8"/>
        <v>-1</v>
      </c>
      <c r="E104" s="1">
        <v>44986.739583333336</v>
      </c>
      <c r="F104" s="10">
        <f>INT(E104)</f>
        <v>44986</v>
      </c>
      <c r="G104" s="15">
        <f>MOD(E104,2)</f>
        <v>0.73958333333575865</v>
      </c>
      <c r="H104" s="15" t="str">
        <f t="shared" si="9"/>
        <v>17:45</v>
      </c>
      <c r="I104" t="s">
        <v>377</v>
      </c>
      <c r="J104" t="s">
        <v>16</v>
      </c>
      <c r="K104" t="str">
        <f t="shared" si="10"/>
        <v>Twitter</v>
      </c>
      <c r="L104" t="s">
        <v>378</v>
      </c>
      <c r="M104">
        <v>15</v>
      </c>
      <c r="N104">
        <v>30</v>
      </c>
      <c r="O104">
        <f t="shared" si="11"/>
        <v>45</v>
      </c>
      <c r="P104" t="s">
        <v>78</v>
      </c>
      <c r="Q104" t="str">
        <f t="shared" si="12"/>
        <v>Canada</v>
      </c>
      <c r="R104">
        <v>2023</v>
      </c>
      <c r="S104">
        <v>3</v>
      </c>
      <c r="T104">
        <v>1</v>
      </c>
      <c r="U104">
        <v>17</v>
      </c>
      <c r="Y104" s="4">
        <f t="shared" si="13"/>
        <v>17</v>
      </c>
    </row>
    <row r="105" spans="1:25" ht="18" x14ac:dyDescent="0.25">
      <c r="A105" t="s">
        <v>379</v>
      </c>
      <c r="B105" t="s">
        <v>275</v>
      </c>
      <c r="C105" s="12" t="str">
        <f t="shared" si="7"/>
        <v>Positive</v>
      </c>
      <c r="D105" s="18">
        <f t="shared" si="8"/>
        <v>1</v>
      </c>
      <c r="E105" s="1">
        <v>44987.75</v>
      </c>
      <c r="F105" s="10">
        <f>INT(E105)</f>
        <v>44987</v>
      </c>
      <c r="G105" s="15">
        <f>MOD(E105,2)</f>
        <v>1.75</v>
      </c>
      <c r="H105" s="15" t="str">
        <f t="shared" si="9"/>
        <v>18:00</v>
      </c>
      <c r="I105" t="s">
        <v>380</v>
      </c>
      <c r="J105" t="s">
        <v>31</v>
      </c>
      <c r="K105" t="str">
        <f t="shared" si="10"/>
        <v>Facebook</v>
      </c>
      <c r="L105" t="s">
        <v>381</v>
      </c>
      <c r="M105">
        <v>15</v>
      </c>
      <c r="N105">
        <v>30</v>
      </c>
      <c r="O105">
        <f t="shared" si="11"/>
        <v>45</v>
      </c>
      <c r="P105" t="s">
        <v>127</v>
      </c>
      <c r="Q105" t="str">
        <f t="shared" si="12"/>
        <v>UK</v>
      </c>
      <c r="R105">
        <v>2023</v>
      </c>
      <c r="S105">
        <v>3</v>
      </c>
      <c r="T105">
        <v>2</v>
      </c>
      <c r="U105">
        <v>18</v>
      </c>
      <c r="Y105" s="4">
        <f t="shared" si="13"/>
        <v>18</v>
      </c>
    </row>
    <row r="106" spans="1:25" ht="18" x14ac:dyDescent="0.25">
      <c r="A106" t="s">
        <v>382</v>
      </c>
      <c r="B106" t="s">
        <v>383</v>
      </c>
      <c r="C106" s="12" t="str">
        <f t="shared" si="7"/>
        <v>Neutral</v>
      </c>
      <c r="D106" s="18">
        <f t="shared" si="8"/>
        <v>0</v>
      </c>
      <c r="E106" s="1">
        <v>44987.552083333336</v>
      </c>
      <c r="F106" s="10">
        <f>INT(E106)</f>
        <v>44987</v>
      </c>
      <c r="G106" s="15">
        <f>MOD(E106,2)</f>
        <v>1.5520833333357587</v>
      </c>
      <c r="H106" s="15" t="str">
        <f t="shared" si="9"/>
        <v>13:15</v>
      </c>
      <c r="I106" t="s">
        <v>384</v>
      </c>
      <c r="J106" t="s">
        <v>26</v>
      </c>
      <c r="K106" t="str">
        <f t="shared" si="10"/>
        <v>Instagram</v>
      </c>
      <c r="L106" t="s">
        <v>385</v>
      </c>
      <c r="M106">
        <v>30</v>
      </c>
      <c r="N106">
        <v>60</v>
      </c>
      <c r="O106">
        <f t="shared" si="11"/>
        <v>90</v>
      </c>
      <c r="P106" t="s">
        <v>386</v>
      </c>
      <c r="Q106" t="str">
        <f t="shared" si="12"/>
        <v>USA</v>
      </c>
      <c r="R106">
        <v>2023</v>
      </c>
      <c r="S106">
        <v>3</v>
      </c>
      <c r="T106">
        <v>2</v>
      </c>
      <c r="U106">
        <v>13</v>
      </c>
      <c r="Y106" s="4">
        <f t="shared" si="13"/>
        <v>13</v>
      </c>
    </row>
    <row r="107" spans="1:25" ht="18" x14ac:dyDescent="0.25">
      <c r="A107" t="s">
        <v>387</v>
      </c>
      <c r="B107" t="s">
        <v>388</v>
      </c>
      <c r="C107" s="12" t="str">
        <f t="shared" si="7"/>
        <v>Positive</v>
      </c>
      <c r="D107" s="18">
        <f t="shared" si="8"/>
        <v>1</v>
      </c>
      <c r="E107" s="1">
        <v>44987.697916666664</v>
      </c>
      <c r="F107" s="10">
        <f>INT(E107)</f>
        <v>44987</v>
      </c>
      <c r="G107" s="15">
        <f>MOD(E107,2)</f>
        <v>1.6979166666642413</v>
      </c>
      <c r="H107" s="15" t="str">
        <f t="shared" si="9"/>
        <v>16:45</v>
      </c>
      <c r="I107" t="s">
        <v>389</v>
      </c>
      <c r="J107" t="s">
        <v>16</v>
      </c>
      <c r="K107" t="str">
        <f t="shared" si="10"/>
        <v>Twitter</v>
      </c>
      <c r="L107" t="s">
        <v>390</v>
      </c>
      <c r="M107">
        <v>25</v>
      </c>
      <c r="N107">
        <v>50</v>
      </c>
      <c r="O107">
        <f t="shared" si="11"/>
        <v>75</v>
      </c>
      <c r="P107" t="s">
        <v>113</v>
      </c>
      <c r="Q107" t="str">
        <f t="shared" si="12"/>
        <v>India</v>
      </c>
      <c r="R107">
        <v>2023</v>
      </c>
      <c r="S107">
        <v>3</v>
      </c>
      <c r="T107">
        <v>2</v>
      </c>
      <c r="U107">
        <v>16</v>
      </c>
      <c r="Y107" s="4">
        <f t="shared" si="13"/>
        <v>16</v>
      </c>
    </row>
    <row r="108" spans="1:25" ht="18" x14ac:dyDescent="0.25">
      <c r="A108" t="s">
        <v>391</v>
      </c>
      <c r="B108" t="s">
        <v>287</v>
      </c>
      <c r="C108" s="12" t="str">
        <f t="shared" si="7"/>
        <v>Positive</v>
      </c>
      <c r="D108" s="18">
        <f t="shared" si="8"/>
        <v>1</v>
      </c>
      <c r="E108" s="1">
        <v>44988.479166666664</v>
      </c>
      <c r="F108" s="10">
        <f>INT(E108)</f>
        <v>44988</v>
      </c>
      <c r="G108" s="15">
        <f>MOD(E108,2)</f>
        <v>0.47916666666424135</v>
      </c>
      <c r="H108" s="15" t="str">
        <f t="shared" si="9"/>
        <v>11:30</v>
      </c>
      <c r="I108" t="s">
        <v>392</v>
      </c>
      <c r="J108" t="s">
        <v>31</v>
      </c>
      <c r="K108" t="str">
        <f t="shared" si="10"/>
        <v>Facebook</v>
      </c>
      <c r="L108" t="s">
        <v>393</v>
      </c>
      <c r="M108">
        <v>22</v>
      </c>
      <c r="N108">
        <v>45</v>
      </c>
      <c r="O108">
        <f t="shared" si="11"/>
        <v>67</v>
      </c>
      <c r="P108" t="s">
        <v>88</v>
      </c>
      <c r="Q108" t="str">
        <f t="shared" si="12"/>
        <v>USA</v>
      </c>
      <c r="R108">
        <v>2023</v>
      </c>
      <c r="S108">
        <v>3</v>
      </c>
      <c r="T108">
        <v>3</v>
      </c>
      <c r="U108">
        <v>11</v>
      </c>
      <c r="Y108" s="4">
        <f t="shared" si="13"/>
        <v>11</v>
      </c>
    </row>
    <row r="109" spans="1:25" ht="18" x14ac:dyDescent="0.25">
      <c r="A109" t="s">
        <v>394</v>
      </c>
      <c r="B109" t="s">
        <v>291</v>
      </c>
      <c r="C109" s="12" t="str">
        <f t="shared" si="7"/>
        <v>Positive</v>
      </c>
      <c r="D109" s="18">
        <f t="shared" si="8"/>
        <v>1</v>
      </c>
      <c r="E109" s="1">
        <v>44988.604166666664</v>
      </c>
      <c r="F109" s="10">
        <f>INT(E109)</f>
        <v>44988</v>
      </c>
      <c r="G109" s="15">
        <f>MOD(E109,2)</f>
        <v>0.60416666666424135</v>
      </c>
      <c r="H109" s="15" t="str">
        <f t="shared" si="9"/>
        <v>14:30</v>
      </c>
      <c r="I109" t="s">
        <v>395</v>
      </c>
      <c r="J109" t="s">
        <v>26</v>
      </c>
      <c r="K109" t="str">
        <f t="shared" si="10"/>
        <v>Instagram</v>
      </c>
      <c r="L109" t="s">
        <v>396</v>
      </c>
      <c r="M109">
        <v>12</v>
      </c>
      <c r="N109">
        <v>25</v>
      </c>
      <c r="O109">
        <f t="shared" si="11"/>
        <v>37</v>
      </c>
      <c r="P109" t="s">
        <v>123</v>
      </c>
      <c r="Q109" t="str">
        <f t="shared" si="12"/>
        <v>Canada</v>
      </c>
      <c r="R109">
        <v>2023</v>
      </c>
      <c r="S109">
        <v>3</v>
      </c>
      <c r="T109">
        <v>3</v>
      </c>
      <c r="U109">
        <v>14</v>
      </c>
      <c r="Y109" s="4">
        <f t="shared" si="13"/>
        <v>14</v>
      </c>
    </row>
    <row r="110" spans="1:25" ht="18" x14ac:dyDescent="0.25">
      <c r="A110" t="s">
        <v>397</v>
      </c>
      <c r="B110" t="s">
        <v>398</v>
      </c>
      <c r="C110" s="12" t="str">
        <f t="shared" si="7"/>
        <v>Negative</v>
      </c>
      <c r="D110" s="18">
        <f t="shared" si="8"/>
        <v>-1</v>
      </c>
      <c r="E110" s="1">
        <v>44988.5</v>
      </c>
      <c r="F110" s="10">
        <f>INT(E110)</f>
        <v>44988</v>
      </c>
      <c r="G110" s="15">
        <f>MOD(E110,2)</f>
        <v>0.5</v>
      </c>
      <c r="H110" s="15" t="str">
        <f t="shared" si="9"/>
        <v>12:00</v>
      </c>
      <c r="I110" t="s">
        <v>399</v>
      </c>
      <c r="J110" t="s">
        <v>16</v>
      </c>
      <c r="K110" t="str">
        <f t="shared" si="10"/>
        <v>Twitter</v>
      </c>
      <c r="L110" t="s">
        <v>400</v>
      </c>
      <c r="M110">
        <v>15</v>
      </c>
      <c r="N110">
        <v>30</v>
      </c>
      <c r="O110">
        <f t="shared" si="11"/>
        <v>45</v>
      </c>
      <c r="P110" t="s">
        <v>127</v>
      </c>
      <c r="Q110" t="str">
        <f t="shared" si="12"/>
        <v>UK</v>
      </c>
      <c r="R110">
        <v>2023</v>
      </c>
      <c r="S110">
        <v>3</v>
      </c>
      <c r="T110">
        <v>3</v>
      </c>
      <c r="U110">
        <v>12</v>
      </c>
      <c r="Y110" s="4">
        <f t="shared" si="13"/>
        <v>12</v>
      </c>
    </row>
    <row r="111" spans="1:25" ht="18" x14ac:dyDescent="0.25">
      <c r="A111" t="s">
        <v>401</v>
      </c>
      <c r="B111" t="s">
        <v>402</v>
      </c>
      <c r="C111" s="12" t="str">
        <f t="shared" si="7"/>
        <v>Positive</v>
      </c>
      <c r="D111" s="18">
        <f t="shared" si="8"/>
        <v>1</v>
      </c>
      <c r="E111" s="1">
        <v>40313.645833333336</v>
      </c>
      <c r="F111" s="10">
        <f>INT(E111)</f>
        <v>40313</v>
      </c>
      <c r="G111" s="15">
        <f>MOD(E111,2)</f>
        <v>1.6458333333357587</v>
      </c>
      <c r="H111" s="15" t="str">
        <f t="shared" si="9"/>
        <v>15:30</v>
      </c>
      <c r="I111" t="s">
        <v>403</v>
      </c>
      <c r="J111" t="s">
        <v>16</v>
      </c>
      <c r="K111" t="str">
        <f t="shared" si="10"/>
        <v>Twitter</v>
      </c>
      <c r="L111" t="s">
        <v>404</v>
      </c>
      <c r="M111">
        <v>20</v>
      </c>
      <c r="N111">
        <v>40</v>
      </c>
      <c r="O111">
        <f t="shared" si="11"/>
        <v>60</v>
      </c>
      <c r="P111" t="s">
        <v>78</v>
      </c>
      <c r="Q111" t="str">
        <f t="shared" si="12"/>
        <v>Canada</v>
      </c>
      <c r="R111">
        <v>2010</v>
      </c>
      <c r="S111">
        <v>5</v>
      </c>
      <c r="T111">
        <v>15</v>
      </c>
      <c r="U111">
        <v>15</v>
      </c>
      <c r="Y111" s="4">
        <f t="shared" si="13"/>
        <v>15</v>
      </c>
    </row>
    <row r="112" spans="1:25" ht="18" x14ac:dyDescent="0.25">
      <c r="A112" t="s">
        <v>405</v>
      </c>
      <c r="B112" t="s">
        <v>406</v>
      </c>
      <c r="C112" s="12" t="str">
        <f t="shared" si="7"/>
        <v>Positive</v>
      </c>
      <c r="D112" s="18">
        <f t="shared" si="8"/>
        <v>1</v>
      </c>
      <c r="E112" s="1">
        <v>44418.885416666664</v>
      </c>
      <c r="F112" s="10">
        <f>INT(E112)</f>
        <v>44418</v>
      </c>
      <c r="G112" s="15">
        <f>MOD(E112,2)</f>
        <v>0.88541666666424135</v>
      </c>
      <c r="H112" s="15" t="str">
        <f t="shared" si="9"/>
        <v>21:15</v>
      </c>
      <c r="I112" t="s">
        <v>407</v>
      </c>
      <c r="J112" t="s">
        <v>26</v>
      </c>
      <c r="K112" t="str">
        <f t="shared" si="10"/>
        <v>Instagram</v>
      </c>
      <c r="L112" t="s">
        <v>408</v>
      </c>
      <c r="M112">
        <v>15</v>
      </c>
      <c r="N112">
        <v>30</v>
      </c>
      <c r="O112">
        <f t="shared" si="11"/>
        <v>45</v>
      </c>
      <c r="P112" t="s">
        <v>18</v>
      </c>
      <c r="Q112" t="str">
        <f t="shared" si="12"/>
        <v>USA</v>
      </c>
      <c r="R112">
        <v>2021</v>
      </c>
      <c r="S112">
        <v>8</v>
      </c>
      <c r="T112">
        <v>10</v>
      </c>
      <c r="U112">
        <v>21</v>
      </c>
      <c r="Y112" s="4">
        <f t="shared" si="13"/>
        <v>21</v>
      </c>
    </row>
    <row r="113" spans="1:25" ht="18" x14ac:dyDescent="0.25">
      <c r="A113" t="s">
        <v>409</v>
      </c>
      <c r="B113" t="s">
        <v>410</v>
      </c>
      <c r="C113" s="12" t="str">
        <f t="shared" si="7"/>
        <v>Positive</v>
      </c>
      <c r="D113" s="18">
        <f t="shared" si="8"/>
        <v>1</v>
      </c>
      <c r="E113" s="1">
        <v>40714.614583333336</v>
      </c>
      <c r="F113" s="10">
        <f>INT(E113)</f>
        <v>40714</v>
      </c>
      <c r="G113" s="15">
        <f>MOD(E113,2)</f>
        <v>0.61458333333575865</v>
      </c>
      <c r="H113" s="15" t="str">
        <f t="shared" si="9"/>
        <v>14:45</v>
      </c>
      <c r="I113" t="s">
        <v>411</v>
      </c>
      <c r="J113" t="s">
        <v>31</v>
      </c>
      <c r="K113" t="str">
        <f t="shared" si="10"/>
        <v>Facebook</v>
      </c>
      <c r="L113" t="s">
        <v>412</v>
      </c>
      <c r="M113">
        <v>25</v>
      </c>
      <c r="N113">
        <v>50</v>
      </c>
      <c r="O113">
        <f t="shared" si="11"/>
        <v>75</v>
      </c>
      <c r="P113" t="s">
        <v>413</v>
      </c>
      <c r="Q113" t="str">
        <f t="shared" si="12"/>
        <v>India</v>
      </c>
      <c r="R113">
        <v>2011</v>
      </c>
      <c r="S113">
        <v>6</v>
      </c>
      <c r="T113">
        <v>20</v>
      </c>
      <c r="U113">
        <v>14</v>
      </c>
      <c r="Y113" s="4">
        <f t="shared" si="13"/>
        <v>14</v>
      </c>
    </row>
    <row r="114" spans="1:25" ht="18" x14ac:dyDescent="0.25">
      <c r="A114" t="s">
        <v>414</v>
      </c>
      <c r="B114" t="s">
        <v>415</v>
      </c>
      <c r="C114" s="12" t="str">
        <f t="shared" si="7"/>
        <v>Positive</v>
      </c>
      <c r="D114" s="18">
        <f t="shared" si="8"/>
        <v>1</v>
      </c>
      <c r="E114" s="1">
        <v>44604.763888888891</v>
      </c>
      <c r="F114" s="10">
        <f>INT(E114)</f>
        <v>44604</v>
      </c>
      <c r="G114" s="15">
        <f>MOD(E114,2)</f>
        <v>0.76388888889050577</v>
      </c>
      <c r="H114" s="15" t="str">
        <f t="shared" si="9"/>
        <v>18:20</v>
      </c>
      <c r="I114" t="s">
        <v>416</v>
      </c>
      <c r="J114" t="s">
        <v>16</v>
      </c>
      <c r="K114" t="str">
        <f t="shared" si="10"/>
        <v>Twitter</v>
      </c>
      <c r="L114" t="s">
        <v>417</v>
      </c>
      <c r="M114">
        <v>18</v>
      </c>
      <c r="N114">
        <v>35</v>
      </c>
      <c r="O114">
        <f t="shared" si="11"/>
        <v>53</v>
      </c>
      <c r="P114" t="s">
        <v>418</v>
      </c>
      <c r="Q114" t="str">
        <f t="shared" si="12"/>
        <v>UK</v>
      </c>
      <c r="R114">
        <v>2022</v>
      </c>
      <c r="S114">
        <v>2</v>
      </c>
      <c r="T114">
        <v>12</v>
      </c>
      <c r="U114">
        <v>18</v>
      </c>
      <c r="Y114" s="4">
        <f t="shared" si="13"/>
        <v>18</v>
      </c>
    </row>
    <row r="115" spans="1:25" ht="18" x14ac:dyDescent="0.25">
      <c r="A115" t="s">
        <v>419</v>
      </c>
      <c r="B115" t="s">
        <v>420</v>
      </c>
      <c r="C115" s="12" t="str">
        <f t="shared" si="7"/>
        <v>Positive</v>
      </c>
      <c r="D115" s="18">
        <f t="shared" si="8"/>
        <v>1</v>
      </c>
      <c r="E115" s="1">
        <v>41238.416666666664</v>
      </c>
      <c r="F115" s="10">
        <f>INT(E115)</f>
        <v>41238</v>
      </c>
      <c r="G115" s="15">
        <f>MOD(E115,2)</f>
        <v>0.41666666666424135</v>
      </c>
      <c r="H115" s="15" t="str">
        <f t="shared" si="9"/>
        <v>10:00</v>
      </c>
      <c r="I115" t="s">
        <v>421</v>
      </c>
      <c r="J115" t="s">
        <v>26</v>
      </c>
      <c r="K115" t="str">
        <f t="shared" si="10"/>
        <v>Instagram</v>
      </c>
      <c r="L115" t="s">
        <v>422</v>
      </c>
      <c r="M115">
        <v>30</v>
      </c>
      <c r="N115">
        <v>60</v>
      </c>
      <c r="O115">
        <f t="shared" si="11"/>
        <v>90</v>
      </c>
      <c r="P115" t="s">
        <v>249</v>
      </c>
      <c r="Q115" t="str">
        <f t="shared" si="12"/>
        <v>Australia</v>
      </c>
      <c r="R115">
        <v>2012</v>
      </c>
      <c r="S115">
        <v>11</v>
      </c>
      <c r="T115">
        <v>25</v>
      </c>
      <c r="U115">
        <v>10</v>
      </c>
      <c r="Y115" s="4">
        <f t="shared" si="13"/>
        <v>10</v>
      </c>
    </row>
    <row r="116" spans="1:25" ht="18" x14ac:dyDescent="0.25">
      <c r="A116" t="s">
        <v>423</v>
      </c>
      <c r="B116" t="s">
        <v>424</v>
      </c>
      <c r="C116" s="12" t="str">
        <f t="shared" si="7"/>
        <v>Positive</v>
      </c>
      <c r="D116" s="18">
        <f t="shared" si="8"/>
        <v>1</v>
      </c>
      <c r="E116" s="1">
        <v>41369.8125</v>
      </c>
      <c r="F116" s="10">
        <f>INT(E116)</f>
        <v>41369</v>
      </c>
      <c r="G116" s="15">
        <f>MOD(E116,2)</f>
        <v>1.8125</v>
      </c>
      <c r="H116" s="15" t="str">
        <f t="shared" si="9"/>
        <v>19:30</v>
      </c>
      <c r="I116" t="s">
        <v>425</v>
      </c>
      <c r="J116" t="s">
        <v>31</v>
      </c>
      <c r="K116" t="str">
        <f t="shared" si="10"/>
        <v>Facebook</v>
      </c>
      <c r="L116" t="s">
        <v>426</v>
      </c>
      <c r="M116">
        <v>22</v>
      </c>
      <c r="N116">
        <v>45</v>
      </c>
      <c r="O116">
        <f t="shared" si="11"/>
        <v>67</v>
      </c>
      <c r="P116" t="s">
        <v>18</v>
      </c>
      <c r="Q116" t="str">
        <f t="shared" si="12"/>
        <v>USA</v>
      </c>
      <c r="R116">
        <v>2013</v>
      </c>
      <c r="S116">
        <v>4</v>
      </c>
      <c r="T116">
        <v>5</v>
      </c>
      <c r="U116">
        <v>19</v>
      </c>
      <c r="Y116" s="4">
        <f t="shared" si="13"/>
        <v>19</v>
      </c>
    </row>
    <row r="117" spans="1:25" ht="18" x14ac:dyDescent="0.25">
      <c r="A117" t="s">
        <v>427</v>
      </c>
      <c r="B117" t="s">
        <v>428</v>
      </c>
      <c r="C117" s="12" t="str">
        <f t="shared" si="7"/>
        <v>Positive</v>
      </c>
      <c r="D117" s="18">
        <f t="shared" si="8"/>
        <v>1</v>
      </c>
      <c r="E117" s="1">
        <v>41896.354166666664</v>
      </c>
      <c r="F117" s="10">
        <f>INT(E117)</f>
        <v>41896</v>
      </c>
      <c r="G117" s="15">
        <f>MOD(E117,2)</f>
        <v>0.35416666666424135</v>
      </c>
      <c r="H117" s="15" t="str">
        <f t="shared" si="9"/>
        <v>08:30</v>
      </c>
      <c r="I117" t="s">
        <v>429</v>
      </c>
      <c r="J117" t="s">
        <v>16</v>
      </c>
      <c r="K117" t="str">
        <f t="shared" si="10"/>
        <v>Twitter</v>
      </c>
      <c r="L117" t="s">
        <v>430</v>
      </c>
      <c r="M117">
        <v>15</v>
      </c>
      <c r="N117">
        <v>30</v>
      </c>
      <c r="O117">
        <f t="shared" si="11"/>
        <v>45</v>
      </c>
      <c r="P117" t="s">
        <v>33</v>
      </c>
      <c r="Q117" t="str">
        <f t="shared" si="12"/>
        <v>UK</v>
      </c>
      <c r="R117">
        <v>2014</v>
      </c>
      <c r="S117">
        <v>9</v>
      </c>
      <c r="T117">
        <v>14</v>
      </c>
      <c r="U117">
        <v>8</v>
      </c>
      <c r="Y117" s="4">
        <f t="shared" si="13"/>
        <v>8</v>
      </c>
    </row>
    <row r="118" spans="1:25" ht="18" x14ac:dyDescent="0.25">
      <c r="A118" t="s">
        <v>431</v>
      </c>
      <c r="B118" t="s">
        <v>432</v>
      </c>
      <c r="C118" s="12" t="str">
        <f t="shared" si="7"/>
        <v>Positive</v>
      </c>
      <c r="D118" s="18">
        <f t="shared" si="8"/>
        <v>1</v>
      </c>
      <c r="E118" s="1">
        <v>42203.597222222219</v>
      </c>
      <c r="F118" s="10">
        <f>INT(E118)</f>
        <v>42203</v>
      </c>
      <c r="G118" s="15">
        <f>MOD(E118,2)</f>
        <v>1.5972222222189885</v>
      </c>
      <c r="H118" s="15" t="str">
        <f t="shared" si="9"/>
        <v>14:20</v>
      </c>
      <c r="I118" t="s">
        <v>433</v>
      </c>
      <c r="J118" t="s">
        <v>26</v>
      </c>
      <c r="K118" t="str">
        <f t="shared" si="10"/>
        <v>Instagram</v>
      </c>
      <c r="L118" t="s">
        <v>434</v>
      </c>
      <c r="M118">
        <v>18</v>
      </c>
      <c r="N118">
        <v>35</v>
      </c>
      <c r="O118">
        <f t="shared" si="11"/>
        <v>53</v>
      </c>
      <c r="P118" t="s">
        <v>123</v>
      </c>
      <c r="Q118" t="str">
        <f t="shared" si="12"/>
        <v>Canada</v>
      </c>
      <c r="R118">
        <v>2015</v>
      </c>
      <c r="S118">
        <v>7</v>
      </c>
      <c r="T118">
        <v>18</v>
      </c>
      <c r="U118">
        <v>14</v>
      </c>
      <c r="Y118" s="4">
        <f t="shared" si="13"/>
        <v>14</v>
      </c>
    </row>
    <row r="119" spans="1:25" ht="18" x14ac:dyDescent="0.25">
      <c r="A119" t="s">
        <v>435</v>
      </c>
      <c r="B119" t="s">
        <v>436</v>
      </c>
      <c r="C119" s="12" t="str">
        <f t="shared" si="7"/>
        <v>Positive</v>
      </c>
      <c r="D119" s="18">
        <f t="shared" si="8"/>
        <v>1</v>
      </c>
      <c r="E119" s="1">
        <v>42423.822916666664</v>
      </c>
      <c r="F119" s="10">
        <f>INT(E119)</f>
        <v>42423</v>
      </c>
      <c r="G119" s="15">
        <f>MOD(E119,2)</f>
        <v>1.8229166666642413</v>
      </c>
      <c r="H119" s="15" t="str">
        <f t="shared" si="9"/>
        <v>19:45</v>
      </c>
      <c r="I119" t="s">
        <v>437</v>
      </c>
      <c r="J119" t="s">
        <v>31</v>
      </c>
      <c r="K119" t="str">
        <f t="shared" si="10"/>
        <v>Facebook</v>
      </c>
      <c r="L119" t="s">
        <v>438</v>
      </c>
      <c r="M119">
        <v>25</v>
      </c>
      <c r="N119">
        <v>50</v>
      </c>
      <c r="O119">
        <f t="shared" si="11"/>
        <v>75</v>
      </c>
      <c r="P119" t="s">
        <v>418</v>
      </c>
      <c r="Q119" t="str">
        <f t="shared" si="12"/>
        <v>UK</v>
      </c>
      <c r="R119">
        <v>2016</v>
      </c>
      <c r="S119">
        <v>2</v>
      </c>
      <c r="T119">
        <v>23</v>
      </c>
      <c r="U119">
        <v>19</v>
      </c>
      <c r="Y119" s="4">
        <f t="shared" si="13"/>
        <v>19</v>
      </c>
    </row>
    <row r="120" spans="1:25" ht="18" x14ac:dyDescent="0.25">
      <c r="A120" t="s">
        <v>439</v>
      </c>
      <c r="B120" t="s">
        <v>440</v>
      </c>
      <c r="C120" s="12" t="str">
        <f t="shared" si="7"/>
        <v>Positive</v>
      </c>
      <c r="D120" s="18">
        <f t="shared" si="8"/>
        <v>1</v>
      </c>
      <c r="E120" s="1">
        <v>43038.479166666664</v>
      </c>
      <c r="F120" s="10">
        <f>INT(E120)</f>
        <v>43038</v>
      </c>
      <c r="G120" s="15">
        <f>MOD(E120,2)</f>
        <v>0.47916666666424135</v>
      </c>
      <c r="H120" s="15" t="str">
        <f t="shared" si="9"/>
        <v>11:30</v>
      </c>
      <c r="I120" t="s">
        <v>441</v>
      </c>
      <c r="J120" t="s">
        <v>16</v>
      </c>
      <c r="K120" t="str">
        <f t="shared" si="10"/>
        <v>Twitter</v>
      </c>
      <c r="L120" t="s">
        <v>442</v>
      </c>
      <c r="M120">
        <v>20</v>
      </c>
      <c r="N120">
        <v>40</v>
      </c>
      <c r="O120">
        <f t="shared" si="11"/>
        <v>60</v>
      </c>
      <c r="P120" t="s">
        <v>38</v>
      </c>
      <c r="Q120" t="str">
        <f t="shared" si="12"/>
        <v>Australia</v>
      </c>
      <c r="R120">
        <v>2017</v>
      </c>
      <c r="S120">
        <v>10</v>
      </c>
      <c r="T120">
        <v>30</v>
      </c>
      <c r="U120">
        <v>11</v>
      </c>
      <c r="Y120" s="4">
        <f t="shared" si="13"/>
        <v>11</v>
      </c>
    </row>
    <row r="121" spans="1:25" ht="18" x14ac:dyDescent="0.25">
      <c r="A121" t="s">
        <v>443</v>
      </c>
      <c r="B121" t="s">
        <v>444</v>
      </c>
      <c r="C121" s="12" t="str">
        <f t="shared" si="7"/>
        <v>Positive</v>
      </c>
      <c r="D121" s="18">
        <f t="shared" si="8"/>
        <v>1</v>
      </c>
      <c r="E121" s="1">
        <v>43266.666666666664</v>
      </c>
      <c r="F121" s="10">
        <f>INT(E121)</f>
        <v>43266</v>
      </c>
      <c r="G121" s="15">
        <f>MOD(E121,2)</f>
        <v>0.66666666666424135</v>
      </c>
      <c r="H121" s="15" t="str">
        <f t="shared" si="9"/>
        <v>16:00</v>
      </c>
      <c r="I121" t="s">
        <v>445</v>
      </c>
      <c r="J121" t="s">
        <v>26</v>
      </c>
      <c r="K121" t="str">
        <f t="shared" si="10"/>
        <v>Instagram</v>
      </c>
      <c r="L121" t="s">
        <v>446</v>
      </c>
      <c r="M121">
        <v>15</v>
      </c>
      <c r="N121">
        <v>30</v>
      </c>
      <c r="O121">
        <f t="shared" si="11"/>
        <v>45</v>
      </c>
      <c r="P121" t="s">
        <v>447</v>
      </c>
      <c r="Q121" t="str">
        <f t="shared" si="12"/>
        <v>USA</v>
      </c>
      <c r="R121">
        <v>2018</v>
      </c>
      <c r="S121">
        <v>6</v>
      </c>
      <c r="T121">
        <v>15</v>
      </c>
      <c r="U121">
        <v>16</v>
      </c>
      <c r="Y121" s="4">
        <f t="shared" si="13"/>
        <v>16</v>
      </c>
    </row>
    <row r="122" spans="1:25" ht="18" x14ac:dyDescent="0.25">
      <c r="A122" t="s">
        <v>448</v>
      </c>
      <c r="B122" t="s">
        <v>449</v>
      </c>
      <c r="C122" s="12" t="str">
        <f t="shared" si="7"/>
        <v>Positive</v>
      </c>
      <c r="D122" s="18">
        <f t="shared" si="8"/>
        <v>1</v>
      </c>
      <c r="E122" s="1">
        <v>43552.763888888891</v>
      </c>
      <c r="F122" s="10">
        <f>INT(E122)</f>
        <v>43552</v>
      </c>
      <c r="G122" s="15">
        <f>MOD(E122,2)</f>
        <v>0.76388888889050577</v>
      </c>
      <c r="H122" s="15" t="str">
        <f t="shared" si="9"/>
        <v>18:20</v>
      </c>
      <c r="I122" t="s">
        <v>450</v>
      </c>
      <c r="J122" t="s">
        <v>31</v>
      </c>
      <c r="K122" t="str">
        <f t="shared" si="10"/>
        <v>Facebook</v>
      </c>
      <c r="L122" t="s">
        <v>451</v>
      </c>
      <c r="M122">
        <v>22</v>
      </c>
      <c r="N122">
        <v>45</v>
      </c>
      <c r="O122">
        <f t="shared" si="11"/>
        <v>67</v>
      </c>
      <c r="P122" t="s">
        <v>113</v>
      </c>
      <c r="Q122" t="str">
        <f t="shared" si="12"/>
        <v>India</v>
      </c>
      <c r="R122">
        <v>2019</v>
      </c>
      <c r="S122">
        <v>3</v>
      </c>
      <c r="T122">
        <v>28</v>
      </c>
      <c r="U122">
        <v>18</v>
      </c>
      <c r="Y122" s="4">
        <f t="shared" si="13"/>
        <v>18</v>
      </c>
    </row>
    <row r="123" spans="1:25" ht="18" x14ac:dyDescent="0.25">
      <c r="A123" t="s">
        <v>452</v>
      </c>
      <c r="B123" t="s">
        <v>453</v>
      </c>
      <c r="C123" s="12" t="str">
        <f t="shared" si="7"/>
        <v>Positive</v>
      </c>
      <c r="D123" s="18">
        <f t="shared" si="8"/>
        <v>1</v>
      </c>
      <c r="E123" s="1">
        <v>43780.625</v>
      </c>
      <c r="F123" s="10">
        <f>INT(E123)</f>
        <v>43780</v>
      </c>
      <c r="G123" s="15">
        <f>MOD(E123,2)</f>
        <v>0.625</v>
      </c>
      <c r="H123" s="15" t="str">
        <f t="shared" si="9"/>
        <v>15:00</v>
      </c>
      <c r="I123" t="s">
        <v>454</v>
      </c>
      <c r="J123" t="s">
        <v>16</v>
      </c>
      <c r="K123" t="str">
        <f t="shared" si="10"/>
        <v>Twitter</v>
      </c>
      <c r="L123" t="s">
        <v>455</v>
      </c>
      <c r="M123">
        <v>18</v>
      </c>
      <c r="N123">
        <v>35</v>
      </c>
      <c r="O123">
        <f t="shared" si="11"/>
        <v>53</v>
      </c>
      <c r="P123" t="s">
        <v>456</v>
      </c>
      <c r="Q123" t="str">
        <f t="shared" si="12"/>
        <v>UK</v>
      </c>
      <c r="R123">
        <v>2019</v>
      </c>
      <c r="S123">
        <v>11</v>
      </c>
      <c r="T123">
        <v>11</v>
      </c>
      <c r="U123">
        <v>15</v>
      </c>
      <c r="Y123" s="4">
        <f t="shared" si="13"/>
        <v>15</v>
      </c>
    </row>
    <row r="124" spans="1:25" ht="18" x14ac:dyDescent="0.25">
      <c r="A124" t="s">
        <v>457</v>
      </c>
      <c r="B124" t="s">
        <v>402</v>
      </c>
      <c r="C124" s="12" t="str">
        <f t="shared" si="7"/>
        <v>Positive</v>
      </c>
      <c r="D124" s="18">
        <f t="shared" si="8"/>
        <v>1</v>
      </c>
      <c r="E124" s="1">
        <v>43923.395833333336</v>
      </c>
      <c r="F124" s="10">
        <f>INT(E124)</f>
        <v>43923</v>
      </c>
      <c r="G124" s="15">
        <f>MOD(E124,2)</f>
        <v>1.3958333333357587</v>
      </c>
      <c r="H124" s="15" t="str">
        <f t="shared" si="9"/>
        <v>09:30</v>
      </c>
      <c r="I124" t="s">
        <v>458</v>
      </c>
      <c r="J124" t="s">
        <v>26</v>
      </c>
      <c r="K124" t="str">
        <f t="shared" si="10"/>
        <v>Instagram</v>
      </c>
      <c r="L124" t="s">
        <v>459</v>
      </c>
      <c r="M124">
        <v>25</v>
      </c>
      <c r="N124">
        <v>50</v>
      </c>
      <c r="O124">
        <f t="shared" si="11"/>
        <v>75</v>
      </c>
      <c r="P124" t="s">
        <v>460</v>
      </c>
      <c r="Q124" t="str">
        <f t="shared" si="12"/>
        <v>Canada</v>
      </c>
      <c r="R124">
        <v>2020</v>
      </c>
      <c r="S124">
        <v>4</v>
      </c>
      <c r="T124">
        <v>2</v>
      </c>
      <c r="U124">
        <v>9</v>
      </c>
      <c r="Y124" s="4">
        <f t="shared" si="13"/>
        <v>9</v>
      </c>
    </row>
    <row r="125" spans="1:25" ht="18" x14ac:dyDescent="0.25">
      <c r="A125" t="s">
        <v>461</v>
      </c>
      <c r="B125" t="s">
        <v>406</v>
      </c>
      <c r="C125" s="12" t="str">
        <f t="shared" si="7"/>
        <v>Positive</v>
      </c>
      <c r="D125" s="18">
        <f t="shared" si="8"/>
        <v>1</v>
      </c>
      <c r="E125" s="1">
        <v>44366.614583333336</v>
      </c>
      <c r="F125" s="10">
        <f>INT(E125)</f>
        <v>44366</v>
      </c>
      <c r="G125" s="15">
        <f>MOD(E125,2)</f>
        <v>0.61458333333575865</v>
      </c>
      <c r="H125" s="15" t="str">
        <f t="shared" si="9"/>
        <v>14:45</v>
      </c>
      <c r="I125" t="s">
        <v>462</v>
      </c>
      <c r="J125" t="s">
        <v>31</v>
      </c>
      <c r="K125" t="str">
        <f t="shared" si="10"/>
        <v>Facebook</v>
      </c>
      <c r="L125" t="s">
        <v>463</v>
      </c>
      <c r="M125">
        <v>15</v>
      </c>
      <c r="N125">
        <v>30</v>
      </c>
      <c r="O125">
        <f t="shared" si="11"/>
        <v>45</v>
      </c>
      <c r="P125" t="s">
        <v>98</v>
      </c>
      <c r="Q125" t="str">
        <f t="shared" si="12"/>
        <v>USA</v>
      </c>
      <c r="R125">
        <v>2021</v>
      </c>
      <c r="S125">
        <v>6</v>
      </c>
      <c r="T125">
        <v>19</v>
      </c>
      <c r="U125">
        <v>14</v>
      </c>
      <c r="Y125" s="4">
        <f t="shared" si="13"/>
        <v>14</v>
      </c>
    </row>
    <row r="126" spans="1:25" ht="18" x14ac:dyDescent="0.25">
      <c r="A126" t="s">
        <v>464</v>
      </c>
      <c r="B126" t="s">
        <v>410</v>
      </c>
      <c r="C126" s="12" t="str">
        <f t="shared" si="7"/>
        <v>Positive</v>
      </c>
      <c r="D126" s="18">
        <f t="shared" si="8"/>
        <v>1</v>
      </c>
      <c r="E126" s="1">
        <v>40405.416666666664</v>
      </c>
      <c r="F126" s="10">
        <f>INT(E126)</f>
        <v>40405</v>
      </c>
      <c r="G126" s="15">
        <f>MOD(E126,2)</f>
        <v>1.4166666666642413</v>
      </c>
      <c r="H126" s="15" t="str">
        <f t="shared" si="9"/>
        <v>10:00</v>
      </c>
      <c r="I126" t="s">
        <v>465</v>
      </c>
      <c r="J126" t="s">
        <v>16</v>
      </c>
      <c r="K126" t="str">
        <f t="shared" si="10"/>
        <v>Twitter</v>
      </c>
      <c r="L126" t="s">
        <v>466</v>
      </c>
      <c r="M126">
        <v>30</v>
      </c>
      <c r="N126">
        <v>60</v>
      </c>
      <c r="O126">
        <f t="shared" si="11"/>
        <v>90</v>
      </c>
      <c r="P126" t="s">
        <v>38</v>
      </c>
      <c r="Q126" t="str">
        <f t="shared" si="12"/>
        <v>Australia</v>
      </c>
      <c r="R126">
        <v>2010</v>
      </c>
      <c r="S126">
        <v>8</v>
      </c>
      <c r="T126">
        <v>15</v>
      </c>
      <c r="U126">
        <v>10</v>
      </c>
      <c r="Y126" s="4">
        <f t="shared" si="13"/>
        <v>10</v>
      </c>
    </row>
    <row r="127" spans="1:25" ht="18" x14ac:dyDescent="0.25">
      <c r="A127" t="s">
        <v>467</v>
      </c>
      <c r="B127" t="s">
        <v>415</v>
      </c>
      <c r="C127" s="12" t="str">
        <f t="shared" si="7"/>
        <v>Positive</v>
      </c>
      <c r="D127" s="18">
        <f t="shared" si="8"/>
        <v>1</v>
      </c>
      <c r="E127" s="1">
        <v>40808.8125</v>
      </c>
      <c r="F127" s="10">
        <f>INT(E127)</f>
        <v>40808</v>
      </c>
      <c r="G127" s="15">
        <f>MOD(E127,2)</f>
        <v>0.8125</v>
      </c>
      <c r="H127" s="15" t="str">
        <f t="shared" si="9"/>
        <v>19:30</v>
      </c>
      <c r="I127" t="s">
        <v>468</v>
      </c>
      <c r="J127" t="s">
        <v>26</v>
      </c>
      <c r="K127" t="str">
        <f t="shared" si="10"/>
        <v>Instagram</v>
      </c>
      <c r="L127" t="s">
        <v>469</v>
      </c>
      <c r="M127">
        <v>22</v>
      </c>
      <c r="N127">
        <v>45</v>
      </c>
      <c r="O127">
        <f t="shared" si="11"/>
        <v>67</v>
      </c>
      <c r="P127" t="s">
        <v>418</v>
      </c>
      <c r="Q127" t="str">
        <f t="shared" si="12"/>
        <v>UK</v>
      </c>
      <c r="R127">
        <v>2011</v>
      </c>
      <c r="S127">
        <v>9</v>
      </c>
      <c r="T127">
        <v>22</v>
      </c>
      <c r="U127">
        <v>19</v>
      </c>
      <c r="Y127" s="4">
        <f t="shared" si="13"/>
        <v>19</v>
      </c>
    </row>
    <row r="128" spans="1:25" ht="18" x14ac:dyDescent="0.25">
      <c r="A128" t="s">
        <v>470</v>
      </c>
      <c r="B128" t="s">
        <v>420</v>
      </c>
      <c r="C128" s="12" t="str">
        <f t="shared" si="7"/>
        <v>Positive</v>
      </c>
      <c r="D128" s="18">
        <f t="shared" si="8"/>
        <v>1</v>
      </c>
      <c r="E128" s="1">
        <v>40978.354166666664</v>
      </c>
      <c r="F128" s="10">
        <f>INT(E128)</f>
        <v>40978</v>
      </c>
      <c r="G128" s="15">
        <f>MOD(E128,2)</f>
        <v>0.35416666666424135</v>
      </c>
      <c r="H128" s="15" t="str">
        <f t="shared" si="9"/>
        <v>08:30</v>
      </c>
      <c r="I128" t="s">
        <v>471</v>
      </c>
      <c r="J128" t="s">
        <v>31</v>
      </c>
      <c r="K128" t="str">
        <f t="shared" si="10"/>
        <v>Facebook</v>
      </c>
      <c r="L128" t="s">
        <v>472</v>
      </c>
      <c r="M128">
        <v>15</v>
      </c>
      <c r="N128">
        <v>30</v>
      </c>
      <c r="O128">
        <f t="shared" si="11"/>
        <v>45</v>
      </c>
      <c r="P128" t="s">
        <v>113</v>
      </c>
      <c r="Q128" t="str">
        <f t="shared" si="12"/>
        <v>India</v>
      </c>
      <c r="R128">
        <v>2012</v>
      </c>
      <c r="S128">
        <v>3</v>
      </c>
      <c r="T128">
        <v>10</v>
      </c>
      <c r="U128">
        <v>8</v>
      </c>
      <c r="Y128" s="4">
        <f t="shared" si="13"/>
        <v>8</v>
      </c>
    </row>
    <row r="129" spans="1:25" ht="18" x14ac:dyDescent="0.25">
      <c r="A129" t="s">
        <v>473</v>
      </c>
      <c r="B129" t="s">
        <v>424</v>
      </c>
      <c r="C129" s="12" t="str">
        <f t="shared" si="7"/>
        <v>Positive</v>
      </c>
      <c r="D129" s="18">
        <f t="shared" si="8"/>
        <v>1</v>
      </c>
      <c r="E129" s="1">
        <v>41613.666666666664</v>
      </c>
      <c r="F129" s="10">
        <f>INT(E129)</f>
        <v>41613</v>
      </c>
      <c r="G129" s="15">
        <f>MOD(E129,2)</f>
        <v>1.6666666666642413</v>
      </c>
      <c r="H129" s="15" t="str">
        <f t="shared" si="9"/>
        <v>16:00</v>
      </c>
      <c r="I129" t="s">
        <v>474</v>
      </c>
      <c r="J129" t="s">
        <v>16</v>
      </c>
      <c r="K129" t="str">
        <f t="shared" si="10"/>
        <v>Twitter</v>
      </c>
      <c r="L129" t="s">
        <v>475</v>
      </c>
      <c r="M129">
        <v>18</v>
      </c>
      <c r="N129">
        <v>35</v>
      </c>
      <c r="O129">
        <f t="shared" si="11"/>
        <v>53</v>
      </c>
      <c r="P129" t="s">
        <v>78</v>
      </c>
      <c r="Q129" t="str">
        <f t="shared" si="12"/>
        <v>Canada</v>
      </c>
      <c r="R129">
        <v>2013</v>
      </c>
      <c r="S129">
        <v>12</v>
      </c>
      <c r="T129">
        <v>5</v>
      </c>
      <c r="U129">
        <v>16</v>
      </c>
      <c r="Y129" s="4">
        <f t="shared" si="13"/>
        <v>16</v>
      </c>
    </row>
    <row r="130" spans="1:25" ht="18" x14ac:dyDescent="0.25">
      <c r="A130" t="s">
        <v>476</v>
      </c>
      <c r="B130" t="s">
        <v>428</v>
      </c>
      <c r="C130" s="12" t="str">
        <f t="shared" si="7"/>
        <v>Positive</v>
      </c>
      <c r="D130" s="18">
        <f t="shared" si="8"/>
        <v>1</v>
      </c>
      <c r="E130" s="1">
        <v>41840.479166666664</v>
      </c>
      <c r="F130" s="10">
        <f>INT(E130)</f>
        <v>41840</v>
      </c>
      <c r="G130" s="15">
        <f>MOD(E130,2)</f>
        <v>0.47916666666424135</v>
      </c>
      <c r="H130" s="15" t="str">
        <f t="shared" si="9"/>
        <v>11:30</v>
      </c>
      <c r="I130" t="s">
        <v>477</v>
      </c>
      <c r="J130" t="s">
        <v>26</v>
      </c>
      <c r="K130" t="str">
        <f t="shared" si="10"/>
        <v>Instagram</v>
      </c>
      <c r="L130" t="s">
        <v>478</v>
      </c>
      <c r="M130">
        <v>25</v>
      </c>
      <c r="N130">
        <v>50</v>
      </c>
      <c r="O130">
        <f t="shared" si="11"/>
        <v>75</v>
      </c>
      <c r="P130" t="s">
        <v>59</v>
      </c>
      <c r="Q130" t="str">
        <f t="shared" si="12"/>
        <v>USA</v>
      </c>
      <c r="R130">
        <v>2014</v>
      </c>
      <c r="S130">
        <v>7</v>
      </c>
      <c r="T130">
        <v>20</v>
      </c>
      <c r="U130">
        <v>11</v>
      </c>
      <c r="Y130" s="4">
        <f t="shared" si="13"/>
        <v>11</v>
      </c>
    </row>
    <row r="131" spans="1:25" ht="18" x14ac:dyDescent="0.25">
      <c r="A131" t="s">
        <v>479</v>
      </c>
      <c r="B131" t="s">
        <v>432</v>
      </c>
      <c r="C131" s="12" t="str">
        <f t="shared" ref="C131:C194" si="14">IF(OR(ISNUMBER(SEARCH("happ",B131)),ISNUMBER(SEARCH("joy",B131)),ISNUMBER(SEARCH("love",B131)),ISNUMBER(SEARCH("amuse",B131)),ISNUMBER(SEARCH("enjoy",B131)),ISNUMBER(SEARCH("admire",B131)),ISNUMBER(SEARCH("affection",B131)),ISNUMBER(SEARCH("awe",B131)),ISNUMBER(SEARCH("accept",B131)),ISNUMBER(SEARCH("ador",B131)),ISNUMBER(SEARCH("calm",B131)),ISNUMBER(SEARCH("excit",B131)),ISNUMBER(SEARCH("kind",B131)),ISNUMBER(SEARCH("pride",B131)),ISNUMBER(SEARCH("elat",B131)),ISNUMBER(SEARCH("euphor",B131)),ISNUMBER(SEARCH("content",B131)),ISNUMBER(SEARCH("seren",B131)),ISNUMBER(SEARCH("grat",B131)),ISNUMBER(SEARCH("hope",B131)),ISNUMBER(SEARCH("empower",B131)),ISNUMBER(SEARCH("compass",B131)),ISNUMBER(SEARCH("tender",B131)),ISNUMBER(SEARCH("enthus",B131)),ISNUMBER(SEARCH("fulfill",B131)),ISNUMBER(SEARCH("rever",B131)),ISNUMBER(SEARCH("zest",B131)),ISNUMBER(SEARCH("play",B131)),ISNUMBER(SEARCH("inspir",B131)),ISNUMBER(SEARCH("confid",B131)),ISNUMBER(SEARCH("determin",B131)),ISNUMBER(SEARCH("thrill",B131)),ISNUMBER(SEARCH("overjoy",B131)),ISNUMBER(SEARCH("motiv",B131)),ISNUMBER(SEARCH("satisf",B131)),ISNUMBER(SEARCH("bless",B131)),ISNUMBER(SEARCH("appreci",B131)),ISNUMBER(SEARCH("accomplish",B131)),ISNUMBER(SEARCH("wonder",B131)),ISNUMBER(SEARCH("optim",B131)),ISNUMBER(SEARCH("enchant",B131)),ISNUMBER(SEARCH("intrigu",B131)),ISNUMBER(SEARCH("mindful",B131)),ISNUMBER(SEARCH("eleg",B131)),ISNUMBER(SEARCH("whims",B131)),ISNUMBER(SEARCH("harmon",B131)),ISNUMBER(SEARCH("creativ",B131)),ISNUMBER(SEARCH("radian",B131)),ISNUMBER(SEARCH("rejuven",B131)),ISNUMBER(SEARCH("cozy",B131)),ISNUMBER(SEARCH("adventur",B131)),ISNUMBER(SEARCH("melod",B131)),ISNUMBER(SEARCH("festiv",B131)),ISNUMBER(SEARCH("free",B131)),ISNUMBER(SEARCH("dazzl",B131)),ISNUMBER(SEARCH("adrenal",B131)),ISNUMBER(SEARCH("artistic",B131)),ISNUMBER(SEARCH("resil",B131)),ISNUMBER(SEARCH("immers",B131)),ISNUMBER(SEARCH("spark",B131)),ISNUMBER(SEARCH("marvel",B131)),ISNUMBER(SEARCH("friend",B131)),ISNUMBER(SEARCH("success",B131)),ISNUMBER(SEARCH("explor",B131)),ISNUMBER(SEARCH("amaz",B131)),ISNUMBER(SEARCH("romanc",B131)),ISNUMBER(SEARCH("captiv",B131)),ISNUMBER(SEARCH("tranquil",B131)),ISNUMBER(SEARCH("grand",B131)),ISNUMBER(SEARCH("energ",B131)),ISNUMBER(SEARCH("celebr",B131)),ISNUMBER(SEARCH("charm",B131)),ISNUMBER(SEARCH("ecstasy",B131)),ISNUMBER(SEARCH("color",B131)),ISNUMBER(SEARCH("hypnot",B131)),ISNUMBER(SEARCH("connect",B131)),ISNUMBER(SEARCH("icon",B131)),ISNUMBER(SEARCH("engag",B131)),ISNUMBER(SEARCH("triumph",B131)),ISNUMBER(SEARCH("heartwarm",B131)),ISNUMBER(SEARCH("solac",B131)),ISNUMBER(SEARCH("breakthrough",B131)),ISNUMBER(SEARCH("imagin",B131)),ISNUMBER(SEARCH("vibran",B131)),ISNUMBER(SEARCH("mesmer",B131)),ISNUMBER(SEARCH("winter magic",B131)),ISNUMBER(SEARCH("nature",B131)),ISNUMBER(SEARCH("celestial",B131)),ISNUMBER(SEARCH("positive",B131)),ISNUMBER(SEARCH("arous",B131))),"Positive",IF(OR(ISNUMBER(SEARCH("anger",B131)),ISNUMBER(SEARCH("fear",B131)),ISNUMBER(SEARCH("sad",B131)),ISNUMBER(SEARCH("disgust",B131)),ISNUMBER(SEARCH("disappoint",B131)),ISNUMBER(SEARCH("bitter",B131)),ISNUMBER(SEARCH("shame",B131)),ISNUMBER(SEARCH("despair",B131)),ISNUMBER(SEARCH("grief",B131)),ISNUMBER(SEARCH("lonel",B131)),ISNUMBER(SEARCH("jealous",B131)),ISNUMBER(SEARCH("resent",B131)),ISNUMBER(SEARCH("frustrat",B131)),ISNUMBER(SEARCH("bored",B131)),ISNUMBER(SEARCH("anxi",B131)),ISNUMBER(SEARCH("intimid",B131)),ISNUMBER(SEARCH("helpless",B131)),ISNUMBER(SEARCH("envy",B131)),ISNUMBER(SEARCH("regret",B131)),ISNUMBER(SEARCH("melanchol",B131)),ISNUMBER(SEARCH("yearn",B131)),ISNUMBER(SEARCH("apprehens",B131)),ISNUMBER(SEARCH("overwhelm",B131)),ISNUMBER(SEARCH("devastat",B131)),ISNUMBER(SEARCH("dismiss",B131)),ISNUMBER(SEARCH("heartbreak",B131)),ISNUMBER(SEARCH("betray",B131)),ISNUMBER(SEARCH("suffer",B131)),ISNUMBER(SEARCH("isolat",B131)),ISNUMBER(SEARCH("lost",B131)),ISNUMBER(SEARCH("exhaust",B131)),ISNUMBER(SEARCH("sorrow",B131)),ISNUMBER(SEARCH("darkness",B131)),ISNUMBER(SEARCH("desperat",B131)),ISNUMBER(SEARCH("ruins",B131)),ISNUMBER(SEARCH("desolat",B131)),ISNUMBER(SEARCH("heartache",B131)),ISNUMBER(SEARCH("solitude",B131)),ISNUMBER(SEARCH("obstacle",B131)),ISNUMBER(SEARCH("pressure",B131)),ISNUMBER(SEARCH("miscalcul",B131)),ISNUMBER(SEARCH("challenge",B131)),ISNUMBER(SEARCH("embarrass",B131)),ISNUMBER(SEARCH("hate",B131)),ISNUMBER(SEARCH("bad",B131)),ISNUMBER(SEARCH("negative",B131))),"Negative","Neutral"))</f>
        <v>Positive</v>
      </c>
      <c r="D131" s="18">
        <f t="shared" ref="D131:D194" si="15">IF(C131="Positive", 1, IF(C131="Negative", -1, 0))</f>
        <v>1</v>
      </c>
      <c r="E131" s="1">
        <v>42360.597222222219</v>
      </c>
      <c r="F131" s="10">
        <f>INT(E131)</f>
        <v>42360</v>
      </c>
      <c r="G131" s="15">
        <f>MOD(E131,2)</f>
        <v>0.59722222221898846</v>
      </c>
      <c r="H131" s="15" t="str">
        <f t="shared" ref="H131:H194" si="16">TEXT(G131, "hh:mm")</f>
        <v>14:20</v>
      </c>
      <c r="I131" t="s">
        <v>480</v>
      </c>
      <c r="J131" t="s">
        <v>31</v>
      </c>
      <c r="K131" t="str">
        <f t="shared" ref="K131:K194" si="17">TRIM(CLEAN(J131))</f>
        <v>Facebook</v>
      </c>
      <c r="L131" t="s">
        <v>481</v>
      </c>
      <c r="M131">
        <v>18</v>
      </c>
      <c r="N131">
        <v>35</v>
      </c>
      <c r="O131">
        <f t="shared" ref="O131:O194" si="18">M131+N131</f>
        <v>53</v>
      </c>
      <c r="P131" t="s">
        <v>18</v>
      </c>
      <c r="Q131" t="str">
        <f t="shared" ref="Q131:Q194" si="19">TRIM(CLEAN(P131))</f>
        <v>USA</v>
      </c>
      <c r="R131">
        <v>2015</v>
      </c>
      <c r="S131">
        <v>12</v>
      </c>
      <c r="T131">
        <v>22</v>
      </c>
      <c r="U131">
        <v>14</v>
      </c>
      <c r="Y131" s="4">
        <f t="shared" ref="Y131:Y194" si="20">HOUR(H131)</f>
        <v>14</v>
      </c>
    </row>
    <row r="132" spans="1:25" ht="18" x14ac:dyDescent="0.25">
      <c r="A132" t="s">
        <v>482</v>
      </c>
      <c r="B132" t="s">
        <v>436</v>
      </c>
      <c r="C132" s="12" t="str">
        <f t="shared" si="14"/>
        <v>Positive</v>
      </c>
      <c r="D132" s="18">
        <f t="shared" si="15"/>
        <v>1</v>
      </c>
      <c r="E132" s="1">
        <v>42410.822916666664</v>
      </c>
      <c r="F132" s="10">
        <f>INT(E132)</f>
        <v>42410</v>
      </c>
      <c r="G132" s="15">
        <f>MOD(E132,2)</f>
        <v>0.82291666666424135</v>
      </c>
      <c r="H132" s="15" t="str">
        <f t="shared" si="16"/>
        <v>19:45</v>
      </c>
      <c r="I132" t="s">
        <v>483</v>
      </c>
      <c r="J132" t="s">
        <v>16</v>
      </c>
      <c r="K132" t="str">
        <f t="shared" si="17"/>
        <v>Twitter</v>
      </c>
      <c r="L132" t="s">
        <v>484</v>
      </c>
      <c r="M132">
        <v>25</v>
      </c>
      <c r="N132">
        <v>50</v>
      </c>
      <c r="O132">
        <f t="shared" si="18"/>
        <v>75</v>
      </c>
      <c r="P132" t="s">
        <v>33</v>
      </c>
      <c r="Q132" t="str">
        <f t="shared" si="19"/>
        <v>UK</v>
      </c>
      <c r="R132">
        <v>2016</v>
      </c>
      <c r="S132">
        <v>2</v>
      </c>
      <c r="T132">
        <v>10</v>
      </c>
      <c r="U132">
        <v>19</v>
      </c>
      <c r="Y132" s="4">
        <f t="shared" si="20"/>
        <v>19</v>
      </c>
    </row>
    <row r="133" spans="1:25" ht="18" x14ac:dyDescent="0.25">
      <c r="A133" t="s">
        <v>485</v>
      </c>
      <c r="B133" t="s">
        <v>440</v>
      </c>
      <c r="C133" s="12" t="str">
        <f t="shared" si="14"/>
        <v>Positive</v>
      </c>
      <c r="D133" s="18">
        <f t="shared" si="15"/>
        <v>1</v>
      </c>
      <c r="E133" s="1">
        <v>42855.479166666664</v>
      </c>
      <c r="F133" s="10">
        <f>INT(E133)</f>
        <v>42855</v>
      </c>
      <c r="G133" s="15">
        <f>MOD(E133,2)</f>
        <v>1.4791666666642413</v>
      </c>
      <c r="H133" s="15" t="str">
        <f t="shared" si="16"/>
        <v>11:30</v>
      </c>
      <c r="I133" t="s">
        <v>486</v>
      </c>
      <c r="J133" t="s">
        <v>26</v>
      </c>
      <c r="K133" t="str">
        <f t="shared" si="17"/>
        <v>Instagram</v>
      </c>
      <c r="L133" t="s">
        <v>487</v>
      </c>
      <c r="M133">
        <v>20</v>
      </c>
      <c r="N133">
        <v>40</v>
      </c>
      <c r="O133">
        <f t="shared" si="18"/>
        <v>60</v>
      </c>
      <c r="P133" t="s">
        <v>38</v>
      </c>
      <c r="Q133" t="str">
        <f t="shared" si="19"/>
        <v>Australia</v>
      </c>
      <c r="R133">
        <v>2017</v>
      </c>
      <c r="S133">
        <v>4</v>
      </c>
      <c r="T133">
        <v>30</v>
      </c>
      <c r="U133">
        <v>11</v>
      </c>
      <c r="Y133" s="4">
        <f t="shared" si="20"/>
        <v>11</v>
      </c>
    </row>
    <row r="134" spans="1:25" ht="18" x14ac:dyDescent="0.25">
      <c r="A134" t="s">
        <v>488</v>
      </c>
      <c r="B134" t="s">
        <v>444</v>
      </c>
      <c r="C134" s="12" t="str">
        <f t="shared" si="14"/>
        <v>Positive</v>
      </c>
      <c r="D134" s="18">
        <f t="shared" si="15"/>
        <v>1</v>
      </c>
      <c r="E134" s="1">
        <v>43358.666666666664</v>
      </c>
      <c r="F134" s="10">
        <f>INT(E134)</f>
        <v>43358</v>
      </c>
      <c r="G134" s="15">
        <f>MOD(E134,2)</f>
        <v>0.66666666666424135</v>
      </c>
      <c r="H134" s="15" t="str">
        <f t="shared" si="16"/>
        <v>16:00</v>
      </c>
      <c r="I134" t="s">
        <v>489</v>
      </c>
      <c r="J134" t="s">
        <v>31</v>
      </c>
      <c r="K134" t="str">
        <f t="shared" si="17"/>
        <v>Facebook</v>
      </c>
      <c r="L134" t="s">
        <v>490</v>
      </c>
      <c r="M134">
        <v>15</v>
      </c>
      <c r="N134">
        <v>30</v>
      </c>
      <c r="O134">
        <f t="shared" si="18"/>
        <v>45</v>
      </c>
      <c r="P134" t="s">
        <v>78</v>
      </c>
      <c r="Q134" t="str">
        <f t="shared" si="19"/>
        <v>Canada</v>
      </c>
      <c r="R134">
        <v>2018</v>
      </c>
      <c r="S134">
        <v>9</v>
      </c>
      <c r="T134">
        <v>15</v>
      </c>
      <c r="U134">
        <v>16</v>
      </c>
      <c r="Y134" s="4">
        <f t="shared" si="20"/>
        <v>16</v>
      </c>
    </row>
    <row r="135" spans="1:25" ht="18" x14ac:dyDescent="0.25">
      <c r="A135" t="s">
        <v>491</v>
      </c>
      <c r="B135" t="s">
        <v>449</v>
      </c>
      <c r="C135" s="12" t="str">
        <f t="shared" si="14"/>
        <v>Positive</v>
      </c>
      <c r="D135" s="18">
        <f t="shared" si="15"/>
        <v>1</v>
      </c>
      <c r="E135" s="1">
        <v>43644.763888888891</v>
      </c>
      <c r="F135" s="10">
        <f>INT(E135)</f>
        <v>43644</v>
      </c>
      <c r="G135" s="15">
        <f>MOD(E135,2)</f>
        <v>0.76388888889050577</v>
      </c>
      <c r="H135" s="15" t="str">
        <f t="shared" si="16"/>
        <v>18:20</v>
      </c>
      <c r="I135" t="s">
        <v>492</v>
      </c>
      <c r="J135" t="s">
        <v>16</v>
      </c>
      <c r="K135" t="str">
        <f t="shared" si="17"/>
        <v>Twitter</v>
      </c>
      <c r="L135" t="s">
        <v>493</v>
      </c>
      <c r="M135">
        <v>22</v>
      </c>
      <c r="N135">
        <v>45</v>
      </c>
      <c r="O135">
        <f t="shared" si="18"/>
        <v>67</v>
      </c>
      <c r="P135" t="s">
        <v>113</v>
      </c>
      <c r="Q135" t="str">
        <f t="shared" si="19"/>
        <v>India</v>
      </c>
      <c r="R135">
        <v>2019</v>
      </c>
      <c r="S135">
        <v>6</v>
      </c>
      <c r="T135">
        <v>28</v>
      </c>
      <c r="U135">
        <v>18</v>
      </c>
      <c r="Y135" s="4">
        <f t="shared" si="20"/>
        <v>18</v>
      </c>
    </row>
    <row r="136" spans="1:25" ht="18" x14ac:dyDescent="0.25">
      <c r="A136" t="s">
        <v>494</v>
      </c>
      <c r="B136" t="s">
        <v>453</v>
      </c>
      <c r="C136" s="12" t="str">
        <f t="shared" si="14"/>
        <v>Positive</v>
      </c>
      <c r="D136" s="18">
        <f t="shared" si="15"/>
        <v>1</v>
      </c>
      <c r="E136" s="1">
        <v>44146.625</v>
      </c>
      <c r="F136" s="10">
        <f>INT(E136)</f>
        <v>44146</v>
      </c>
      <c r="G136" s="15">
        <f>MOD(E136,2)</f>
        <v>0.625</v>
      </c>
      <c r="H136" s="15" t="str">
        <f t="shared" si="16"/>
        <v>15:00</v>
      </c>
      <c r="I136" t="s">
        <v>495</v>
      </c>
      <c r="J136" t="s">
        <v>26</v>
      </c>
      <c r="K136" t="str">
        <f t="shared" si="17"/>
        <v>Instagram</v>
      </c>
      <c r="L136" t="s">
        <v>496</v>
      </c>
      <c r="M136">
        <v>18</v>
      </c>
      <c r="N136">
        <v>35</v>
      </c>
      <c r="O136">
        <f t="shared" si="18"/>
        <v>53</v>
      </c>
      <c r="P136" t="s">
        <v>127</v>
      </c>
      <c r="Q136" t="str">
        <f t="shared" si="19"/>
        <v>UK</v>
      </c>
      <c r="R136">
        <v>2020</v>
      </c>
      <c r="S136">
        <v>11</v>
      </c>
      <c r="T136">
        <v>11</v>
      </c>
      <c r="U136">
        <v>15</v>
      </c>
      <c r="Y136" s="4">
        <f t="shared" si="20"/>
        <v>15</v>
      </c>
    </row>
    <row r="137" spans="1:25" ht="18" x14ac:dyDescent="0.25">
      <c r="A137" t="s">
        <v>497</v>
      </c>
      <c r="B137" t="s">
        <v>402</v>
      </c>
      <c r="C137" s="12" t="str">
        <f t="shared" si="14"/>
        <v>Positive</v>
      </c>
      <c r="D137" s="18">
        <f t="shared" si="15"/>
        <v>1</v>
      </c>
      <c r="E137" s="1">
        <v>44257.395833333336</v>
      </c>
      <c r="F137" s="10">
        <f>INT(E137)</f>
        <v>44257</v>
      </c>
      <c r="G137" s="15">
        <f>MOD(E137,2)</f>
        <v>1.3958333333357587</v>
      </c>
      <c r="H137" s="15" t="str">
        <f t="shared" si="16"/>
        <v>09:30</v>
      </c>
      <c r="I137" t="s">
        <v>498</v>
      </c>
      <c r="J137" t="s">
        <v>31</v>
      </c>
      <c r="K137" t="str">
        <f t="shared" si="17"/>
        <v>Facebook</v>
      </c>
      <c r="L137" t="s">
        <v>499</v>
      </c>
      <c r="M137">
        <v>25</v>
      </c>
      <c r="N137">
        <v>50</v>
      </c>
      <c r="O137">
        <f t="shared" si="18"/>
        <v>75</v>
      </c>
      <c r="P137" t="s">
        <v>18</v>
      </c>
      <c r="Q137" t="str">
        <f t="shared" si="19"/>
        <v>USA</v>
      </c>
      <c r="R137">
        <v>2021</v>
      </c>
      <c r="S137">
        <v>3</v>
      </c>
      <c r="T137">
        <v>2</v>
      </c>
      <c r="U137">
        <v>9</v>
      </c>
      <c r="Y137" s="4">
        <f t="shared" si="20"/>
        <v>9</v>
      </c>
    </row>
    <row r="138" spans="1:25" ht="18" x14ac:dyDescent="0.25">
      <c r="A138" t="s">
        <v>500</v>
      </c>
      <c r="B138" t="s">
        <v>402</v>
      </c>
      <c r="C138" s="12" t="str">
        <f t="shared" si="14"/>
        <v>Positive</v>
      </c>
      <c r="D138" s="18">
        <f t="shared" si="15"/>
        <v>1</v>
      </c>
      <c r="E138" s="1">
        <v>40957.604166666664</v>
      </c>
      <c r="F138" s="10">
        <f>INT(E138)</f>
        <v>40957</v>
      </c>
      <c r="G138" s="15">
        <f>MOD(E138,2)</f>
        <v>1.6041666666642413</v>
      </c>
      <c r="H138" s="15" t="str">
        <f t="shared" si="16"/>
        <v>14:30</v>
      </c>
      <c r="I138" t="s">
        <v>501</v>
      </c>
      <c r="J138" t="s">
        <v>16</v>
      </c>
      <c r="K138" t="str">
        <f t="shared" si="17"/>
        <v>Twitter</v>
      </c>
      <c r="L138" t="s">
        <v>502</v>
      </c>
      <c r="M138">
        <v>20</v>
      </c>
      <c r="N138">
        <v>40</v>
      </c>
      <c r="O138">
        <f t="shared" si="18"/>
        <v>60</v>
      </c>
      <c r="P138" t="s">
        <v>18</v>
      </c>
      <c r="Q138" t="str">
        <f t="shared" si="19"/>
        <v>USA</v>
      </c>
      <c r="R138">
        <v>2012</v>
      </c>
      <c r="S138">
        <v>2</v>
      </c>
      <c r="T138">
        <v>18</v>
      </c>
      <c r="U138">
        <v>14</v>
      </c>
      <c r="Y138" s="4">
        <f t="shared" si="20"/>
        <v>14</v>
      </c>
    </row>
    <row r="139" spans="1:25" ht="18" x14ac:dyDescent="0.25">
      <c r="A139" t="s">
        <v>503</v>
      </c>
      <c r="B139" t="s">
        <v>406</v>
      </c>
      <c r="C139" s="12" t="str">
        <f t="shared" si="14"/>
        <v>Positive</v>
      </c>
      <c r="D139" s="18">
        <f t="shared" si="15"/>
        <v>1</v>
      </c>
      <c r="E139" s="1">
        <v>43409.90625</v>
      </c>
      <c r="F139" s="10">
        <f>INT(E139)</f>
        <v>43409</v>
      </c>
      <c r="G139" s="15">
        <f>MOD(E139,2)</f>
        <v>1.90625</v>
      </c>
      <c r="H139" s="15" t="str">
        <f t="shared" si="16"/>
        <v>21:45</v>
      </c>
      <c r="I139" t="s">
        <v>504</v>
      </c>
      <c r="J139" t="s">
        <v>26</v>
      </c>
      <c r="K139" t="str">
        <f t="shared" si="17"/>
        <v>Instagram</v>
      </c>
      <c r="L139" t="s">
        <v>505</v>
      </c>
      <c r="M139">
        <v>15</v>
      </c>
      <c r="N139">
        <v>30</v>
      </c>
      <c r="O139">
        <f t="shared" si="18"/>
        <v>45</v>
      </c>
      <c r="P139" t="s">
        <v>174</v>
      </c>
      <c r="Q139" t="str">
        <f t="shared" si="19"/>
        <v>UK</v>
      </c>
      <c r="R139">
        <v>2018</v>
      </c>
      <c r="S139">
        <v>11</v>
      </c>
      <c r="T139">
        <v>5</v>
      </c>
      <c r="U139">
        <v>21</v>
      </c>
      <c r="Y139" s="4">
        <f t="shared" si="20"/>
        <v>21</v>
      </c>
    </row>
    <row r="140" spans="1:25" ht="18" x14ac:dyDescent="0.25">
      <c r="A140" t="s">
        <v>506</v>
      </c>
      <c r="B140" t="s">
        <v>410</v>
      </c>
      <c r="C140" s="12" t="str">
        <f t="shared" si="14"/>
        <v>Positive</v>
      </c>
      <c r="D140" s="18">
        <f t="shared" si="15"/>
        <v>1</v>
      </c>
      <c r="E140" s="1">
        <v>42259.555555555555</v>
      </c>
      <c r="F140" s="10">
        <f>INT(E140)</f>
        <v>42259</v>
      </c>
      <c r="G140" s="15">
        <f>MOD(E140,2)</f>
        <v>1.5555555555547471</v>
      </c>
      <c r="H140" s="15" t="str">
        <f t="shared" si="16"/>
        <v>13:20</v>
      </c>
      <c r="I140" t="s">
        <v>507</v>
      </c>
      <c r="J140" t="s">
        <v>31</v>
      </c>
      <c r="K140" t="str">
        <f t="shared" si="17"/>
        <v>Facebook</v>
      </c>
      <c r="L140" t="s">
        <v>508</v>
      </c>
      <c r="M140">
        <v>25</v>
      </c>
      <c r="N140">
        <v>50</v>
      </c>
      <c r="O140">
        <f t="shared" si="18"/>
        <v>75</v>
      </c>
      <c r="P140" t="s">
        <v>42</v>
      </c>
      <c r="Q140" t="str">
        <f t="shared" si="19"/>
        <v>India</v>
      </c>
      <c r="R140">
        <v>2015</v>
      </c>
      <c r="S140">
        <v>9</v>
      </c>
      <c r="T140">
        <v>12</v>
      </c>
      <c r="U140">
        <v>13</v>
      </c>
      <c r="Y140" s="4">
        <f t="shared" si="20"/>
        <v>13</v>
      </c>
    </row>
    <row r="141" spans="1:25" ht="18" x14ac:dyDescent="0.25">
      <c r="A141" t="s">
        <v>509</v>
      </c>
      <c r="B141" t="s">
        <v>415</v>
      </c>
      <c r="C141" s="12" t="str">
        <f t="shared" si="14"/>
        <v>Positive</v>
      </c>
      <c r="D141" s="18">
        <f t="shared" si="15"/>
        <v>1</v>
      </c>
      <c r="E141" s="1">
        <v>42581.756944444445</v>
      </c>
      <c r="F141" s="10">
        <f>INT(E141)</f>
        <v>42581</v>
      </c>
      <c r="G141" s="15">
        <f>MOD(E141,2)</f>
        <v>1.7569444444452529</v>
      </c>
      <c r="H141" s="15" t="str">
        <f t="shared" si="16"/>
        <v>18:10</v>
      </c>
      <c r="I141" t="s">
        <v>510</v>
      </c>
      <c r="J141" t="s">
        <v>16</v>
      </c>
      <c r="K141" t="str">
        <f t="shared" si="17"/>
        <v>Twitter</v>
      </c>
      <c r="L141" t="s">
        <v>511</v>
      </c>
      <c r="M141">
        <v>18</v>
      </c>
      <c r="N141">
        <v>35</v>
      </c>
      <c r="O141">
        <f t="shared" si="18"/>
        <v>53</v>
      </c>
      <c r="P141" t="s">
        <v>460</v>
      </c>
      <c r="Q141" t="str">
        <f t="shared" si="19"/>
        <v>Canada</v>
      </c>
      <c r="R141">
        <v>2016</v>
      </c>
      <c r="S141">
        <v>7</v>
      </c>
      <c r="T141">
        <v>30</v>
      </c>
      <c r="U141">
        <v>18</v>
      </c>
      <c r="Y141" s="4">
        <f t="shared" si="20"/>
        <v>18</v>
      </c>
    </row>
    <row r="142" spans="1:25" ht="18" x14ac:dyDescent="0.25">
      <c r="A142" t="s">
        <v>512</v>
      </c>
      <c r="B142" t="s">
        <v>420</v>
      </c>
      <c r="C142" s="12" t="str">
        <f t="shared" si="14"/>
        <v>Positive</v>
      </c>
      <c r="D142" s="18">
        <f t="shared" si="15"/>
        <v>1</v>
      </c>
      <c r="E142" s="1">
        <v>41384.4375</v>
      </c>
      <c r="F142" s="10">
        <f>INT(E142)</f>
        <v>41384</v>
      </c>
      <c r="G142" s="15">
        <f>MOD(E142,2)</f>
        <v>0.4375</v>
      </c>
      <c r="H142" s="15" t="str">
        <f t="shared" si="16"/>
        <v>10:30</v>
      </c>
      <c r="I142" t="s">
        <v>513</v>
      </c>
      <c r="J142" t="s">
        <v>26</v>
      </c>
      <c r="K142" t="str">
        <f t="shared" si="17"/>
        <v>Instagram</v>
      </c>
      <c r="L142" t="s">
        <v>514</v>
      </c>
      <c r="M142">
        <v>30</v>
      </c>
      <c r="N142">
        <v>60</v>
      </c>
      <c r="O142">
        <f t="shared" si="18"/>
        <v>90</v>
      </c>
      <c r="P142" t="s">
        <v>98</v>
      </c>
      <c r="Q142" t="str">
        <f t="shared" si="19"/>
        <v>USA</v>
      </c>
      <c r="R142">
        <v>2013</v>
      </c>
      <c r="S142">
        <v>4</v>
      </c>
      <c r="T142">
        <v>20</v>
      </c>
      <c r="U142">
        <v>10</v>
      </c>
      <c r="Y142" s="4">
        <f t="shared" si="20"/>
        <v>10</v>
      </c>
    </row>
    <row r="143" spans="1:25" ht="18" x14ac:dyDescent="0.25">
      <c r="A143" t="s">
        <v>515</v>
      </c>
      <c r="B143" t="s">
        <v>424</v>
      </c>
      <c r="C143" s="12" t="str">
        <f t="shared" si="14"/>
        <v>Positive</v>
      </c>
      <c r="D143" s="18">
        <f t="shared" si="15"/>
        <v>1</v>
      </c>
      <c r="E143" s="1">
        <v>43077.802083333336</v>
      </c>
      <c r="F143" s="10">
        <f>INT(E143)</f>
        <v>43077</v>
      </c>
      <c r="G143" s="15">
        <f>MOD(E143,2)</f>
        <v>1.8020833333357587</v>
      </c>
      <c r="H143" s="15" t="str">
        <f t="shared" si="16"/>
        <v>19:15</v>
      </c>
      <c r="I143" t="s">
        <v>516</v>
      </c>
      <c r="J143" t="s">
        <v>31</v>
      </c>
      <c r="K143" t="str">
        <f t="shared" si="17"/>
        <v>Facebook</v>
      </c>
      <c r="L143" t="s">
        <v>517</v>
      </c>
      <c r="M143">
        <v>22</v>
      </c>
      <c r="N143">
        <v>45</v>
      </c>
      <c r="O143">
        <f t="shared" si="18"/>
        <v>67</v>
      </c>
      <c r="P143" t="s">
        <v>78</v>
      </c>
      <c r="Q143" t="str">
        <f t="shared" si="19"/>
        <v>Canada</v>
      </c>
      <c r="R143">
        <v>2017</v>
      </c>
      <c r="S143">
        <v>12</v>
      </c>
      <c r="T143">
        <v>8</v>
      </c>
      <c r="U143">
        <v>19</v>
      </c>
      <c r="Y143" s="4">
        <f t="shared" si="20"/>
        <v>19</v>
      </c>
    </row>
    <row r="144" spans="1:25" ht="18" x14ac:dyDescent="0.25">
      <c r="A144" t="s">
        <v>518</v>
      </c>
      <c r="B144" t="s">
        <v>428</v>
      </c>
      <c r="C144" s="12" t="str">
        <f t="shared" si="14"/>
        <v>Positive</v>
      </c>
      <c r="D144" s="18">
        <f t="shared" si="15"/>
        <v>1</v>
      </c>
      <c r="E144" s="1">
        <v>41793.347222222219</v>
      </c>
      <c r="F144" s="10">
        <f>INT(E144)</f>
        <v>41793</v>
      </c>
      <c r="G144" s="15">
        <f>MOD(E144,2)</f>
        <v>1.3472222222189885</v>
      </c>
      <c r="H144" s="15" t="str">
        <f t="shared" si="16"/>
        <v>08:20</v>
      </c>
      <c r="I144" t="s">
        <v>519</v>
      </c>
      <c r="J144" t="s">
        <v>16</v>
      </c>
      <c r="K144" t="str">
        <f t="shared" si="17"/>
        <v>Twitter</v>
      </c>
      <c r="L144" t="s">
        <v>520</v>
      </c>
      <c r="M144">
        <v>15</v>
      </c>
      <c r="N144">
        <v>30</v>
      </c>
      <c r="O144">
        <f t="shared" si="18"/>
        <v>45</v>
      </c>
      <c r="P144" t="s">
        <v>33</v>
      </c>
      <c r="Q144" t="str">
        <f t="shared" si="19"/>
        <v>UK</v>
      </c>
      <c r="R144">
        <v>2014</v>
      </c>
      <c r="S144">
        <v>6</v>
      </c>
      <c r="T144">
        <v>3</v>
      </c>
      <c r="U144">
        <v>8</v>
      </c>
      <c r="Y144" s="4">
        <f t="shared" si="20"/>
        <v>8</v>
      </c>
    </row>
    <row r="145" spans="1:25" ht="18" x14ac:dyDescent="0.25">
      <c r="A145" t="s">
        <v>521</v>
      </c>
      <c r="B145" t="s">
        <v>522</v>
      </c>
      <c r="C145" s="12" t="str">
        <f t="shared" si="14"/>
        <v>Positive</v>
      </c>
      <c r="D145" s="18">
        <f t="shared" si="15"/>
        <v>1</v>
      </c>
      <c r="E145" s="1">
        <v>43480.618055555555</v>
      </c>
      <c r="F145" s="10">
        <f>INT(E145)</f>
        <v>43480</v>
      </c>
      <c r="G145" s="15">
        <f>MOD(E145,2)</f>
        <v>0.61805555555474712</v>
      </c>
      <c r="H145" s="15" t="str">
        <f t="shared" si="16"/>
        <v>14:50</v>
      </c>
      <c r="I145" t="s">
        <v>523</v>
      </c>
      <c r="J145" t="s">
        <v>26</v>
      </c>
      <c r="K145" t="str">
        <f t="shared" si="17"/>
        <v>Instagram</v>
      </c>
      <c r="L145" t="s">
        <v>524</v>
      </c>
      <c r="M145">
        <v>18</v>
      </c>
      <c r="N145">
        <v>35</v>
      </c>
      <c r="O145">
        <f t="shared" si="18"/>
        <v>53</v>
      </c>
      <c r="P145" t="s">
        <v>38</v>
      </c>
      <c r="Q145" t="str">
        <f t="shared" si="19"/>
        <v>Australia</v>
      </c>
      <c r="R145">
        <v>2019</v>
      </c>
      <c r="S145">
        <v>1</v>
      </c>
      <c r="T145">
        <v>15</v>
      </c>
      <c r="U145">
        <v>14</v>
      </c>
      <c r="Y145" s="4">
        <f t="shared" si="20"/>
        <v>14</v>
      </c>
    </row>
    <row r="146" spans="1:25" ht="18" x14ac:dyDescent="0.25">
      <c r="A146" t="s">
        <v>525</v>
      </c>
      <c r="B146" t="s">
        <v>436</v>
      </c>
      <c r="C146" s="12" t="str">
        <f t="shared" si="14"/>
        <v>Positive</v>
      </c>
      <c r="D146" s="18">
        <f t="shared" si="15"/>
        <v>1</v>
      </c>
      <c r="E146" s="1">
        <v>42729.8125</v>
      </c>
      <c r="F146" s="10">
        <f>INT(E146)</f>
        <v>42729</v>
      </c>
      <c r="G146" s="15">
        <f>MOD(E146,2)</f>
        <v>1.8125</v>
      </c>
      <c r="H146" s="15" t="str">
        <f t="shared" si="16"/>
        <v>19:30</v>
      </c>
      <c r="I146" t="s">
        <v>526</v>
      </c>
      <c r="J146" t="s">
        <v>31</v>
      </c>
      <c r="K146" t="str">
        <f t="shared" si="17"/>
        <v>Facebook</v>
      </c>
      <c r="L146" t="s">
        <v>527</v>
      </c>
      <c r="M146">
        <v>25</v>
      </c>
      <c r="N146">
        <v>50</v>
      </c>
      <c r="O146">
        <f t="shared" si="18"/>
        <v>75</v>
      </c>
      <c r="P146" t="s">
        <v>418</v>
      </c>
      <c r="Q146" t="str">
        <f t="shared" si="19"/>
        <v>UK</v>
      </c>
      <c r="R146">
        <v>2016</v>
      </c>
      <c r="S146">
        <v>12</v>
      </c>
      <c r="T146">
        <v>25</v>
      </c>
      <c r="U146">
        <v>19</v>
      </c>
      <c r="Y146" s="4">
        <f t="shared" si="20"/>
        <v>19</v>
      </c>
    </row>
    <row r="147" spans="1:25" ht="18" x14ac:dyDescent="0.25">
      <c r="A147" t="s">
        <v>528</v>
      </c>
      <c r="B147" t="s">
        <v>440</v>
      </c>
      <c r="C147" s="12" t="str">
        <f t="shared" si="14"/>
        <v>Positive</v>
      </c>
      <c r="D147" s="18">
        <f t="shared" si="15"/>
        <v>1</v>
      </c>
      <c r="E147" s="1">
        <v>43169.40625</v>
      </c>
      <c r="F147" s="10">
        <f>INT(E147)</f>
        <v>43169</v>
      </c>
      <c r="G147" s="15">
        <f>MOD(E147,2)</f>
        <v>1.40625</v>
      </c>
      <c r="H147" s="15" t="str">
        <f t="shared" si="16"/>
        <v>09:45</v>
      </c>
      <c r="I147" t="s">
        <v>529</v>
      </c>
      <c r="J147" t="s">
        <v>16</v>
      </c>
      <c r="K147" t="str">
        <f t="shared" si="17"/>
        <v>Twitter</v>
      </c>
      <c r="L147" t="s">
        <v>530</v>
      </c>
      <c r="M147">
        <v>20</v>
      </c>
      <c r="N147">
        <v>40</v>
      </c>
      <c r="O147">
        <f t="shared" si="18"/>
        <v>60</v>
      </c>
      <c r="P147" t="s">
        <v>42</v>
      </c>
      <c r="Q147" t="str">
        <f t="shared" si="19"/>
        <v>India</v>
      </c>
      <c r="R147">
        <v>2018</v>
      </c>
      <c r="S147">
        <v>3</v>
      </c>
      <c r="T147">
        <v>10</v>
      </c>
      <c r="U147">
        <v>9</v>
      </c>
      <c r="Y147" s="4">
        <f t="shared" si="20"/>
        <v>9</v>
      </c>
    </row>
    <row r="148" spans="1:25" ht="18" x14ac:dyDescent="0.25">
      <c r="A148" t="s">
        <v>531</v>
      </c>
      <c r="B148" t="s">
        <v>444</v>
      </c>
      <c r="C148" s="12" t="str">
        <f t="shared" si="14"/>
        <v>Positive</v>
      </c>
      <c r="D148" s="18">
        <f t="shared" si="15"/>
        <v>1</v>
      </c>
      <c r="E148" s="1">
        <v>44091.6875</v>
      </c>
      <c r="F148" s="10">
        <f>INT(E148)</f>
        <v>44091</v>
      </c>
      <c r="G148" s="15">
        <f>MOD(E148,2)</f>
        <v>1.6875</v>
      </c>
      <c r="H148" s="15" t="str">
        <f t="shared" si="16"/>
        <v>16:30</v>
      </c>
      <c r="I148" t="s">
        <v>532</v>
      </c>
      <c r="J148" t="s">
        <v>26</v>
      </c>
      <c r="K148" t="str">
        <f t="shared" si="17"/>
        <v>Instagram</v>
      </c>
      <c r="L148" t="s">
        <v>533</v>
      </c>
      <c r="M148">
        <v>15</v>
      </c>
      <c r="N148">
        <v>30</v>
      </c>
      <c r="O148">
        <f t="shared" si="18"/>
        <v>45</v>
      </c>
      <c r="P148" t="s">
        <v>88</v>
      </c>
      <c r="Q148" t="str">
        <f t="shared" si="19"/>
        <v>USA</v>
      </c>
      <c r="R148">
        <v>2020</v>
      </c>
      <c r="S148">
        <v>9</v>
      </c>
      <c r="T148">
        <v>17</v>
      </c>
      <c r="U148">
        <v>16</v>
      </c>
      <c r="Y148" s="4">
        <f t="shared" si="20"/>
        <v>16</v>
      </c>
    </row>
    <row r="149" spans="1:25" ht="18" x14ac:dyDescent="0.25">
      <c r="A149" t="s">
        <v>534</v>
      </c>
      <c r="B149" t="s">
        <v>535</v>
      </c>
      <c r="C149" s="12" t="str">
        <f t="shared" si="14"/>
        <v>Positive</v>
      </c>
      <c r="D149" s="18">
        <f t="shared" si="15"/>
        <v>1</v>
      </c>
      <c r="E149" s="1">
        <v>40783.78125</v>
      </c>
      <c r="F149" s="10">
        <f>INT(E149)</f>
        <v>40783</v>
      </c>
      <c r="G149" s="15">
        <f>MOD(E149,2)</f>
        <v>1.78125</v>
      </c>
      <c r="H149" s="15" t="str">
        <f t="shared" si="16"/>
        <v>18:45</v>
      </c>
      <c r="I149" t="s">
        <v>536</v>
      </c>
      <c r="J149" t="s">
        <v>31</v>
      </c>
      <c r="K149" t="str">
        <f t="shared" si="17"/>
        <v>Facebook</v>
      </c>
      <c r="L149" t="s">
        <v>537</v>
      </c>
      <c r="M149">
        <v>22</v>
      </c>
      <c r="N149">
        <v>45</v>
      </c>
      <c r="O149">
        <f t="shared" si="18"/>
        <v>67</v>
      </c>
      <c r="P149" t="s">
        <v>78</v>
      </c>
      <c r="Q149" t="str">
        <f t="shared" si="19"/>
        <v>Canada</v>
      </c>
      <c r="R149">
        <v>2011</v>
      </c>
      <c r="S149">
        <v>8</v>
      </c>
      <c r="T149">
        <v>28</v>
      </c>
      <c r="U149">
        <v>18</v>
      </c>
      <c r="Y149" s="4">
        <f t="shared" si="20"/>
        <v>18</v>
      </c>
    </row>
    <row r="150" spans="1:25" ht="18" x14ac:dyDescent="0.25">
      <c r="A150" t="s">
        <v>538</v>
      </c>
      <c r="B150" t="s">
        <v>539</v>
      </c>
      <c r="C150" s="12" t="str">
        <f t="shared" si="14"/>
        <v>Positive</v>
      </c>
      <c r="D150" s="18">
        <f t="shared" si="15"/>
        <v>1</v>
      </c>
      <c r="E150" s="1">
        <v>43040.645833333336</v>
      </c>
      <c r="F150" s="10">
        <f>INT(E150)</f>
        <v>43040</v>
      </c>
      <c r="G150" s="15">
        <f>MOD(E150,2)</f>
        <v>0.64583333333575865</v>
      </c>
      <c r="H150" s="15" t="str">
        <f t="shared" si="16"/>
        <v>15:30</v>
      </c>
      <c r="I150" t="s">
        <v>540</v>
      </c>
      <c r="J150" t="s">
        <v>16</v>
      </c>
      <c r="K150" t="str">
        <f t="shared" si="17"/>
        <v>Twitter</v>
      </c>
      <c r="L150" t="s">
        <v>541</v>
      </c>
      <c r="M150">
        <v>18</v>
      </c>
      <c r="N150">
        <v>35</v>
      </c>
      <c r="O150">
        <f t="shared" si="18"/>
        <v>53</v>
      </c>
      <c r="P150" t="s">
        <v>38</v>
      </c>
      <c r="Q150" t="str">
        <f t="shared" si="19"/>
        <v>Australia</v>
      </c>
      <c r="R150">
        <v>2017</v>
      </c>
      <c r="S150">
        <v>11</v>
      </c>
      <c r="T150">
        <v>1</v>
      </c>
      <c r="U150">
        <v>15</v>
      </c>
      <c r="Y150" s="4">
        <f t="shared" si="20"/>
        <v>15</v>
      </c>
    </row>
    <row r="151" spans="1:25" ht="18" x14ac:dyDescent="0.25">
      <c r="A151" t="s">
        <v>542</v>
      </c>
      <c r="B151" t="s">
        <v>402</v>
      </c>
      <c r="C151" s="12" t="str">
        <f t="shared" si="14"/>
        <v>Positive</v>
      </c>
      <c r="D151" s="18">
        <f t="shared" si="15"/>
        <v>1</v>
      </c>
      <c r="E151" s="1">
        <v>43631.416666666664</v>
      </c>
      <c r="F151" s="10">
        <f>INT(E151)</f>
        <v>43631</v>
      </c>
      <c r="G151" s="15">
        <f>MOD(E151,2)</f>
        <v>1.4166666666642413</v>
      </c>
      <c r="H151" s="15" t="str">
        <f t="shared" si="16"/>
        <v>10:00</v>
      </c>
      <c r="I151" t="s">
        <v>543</v>
      </c>
      <c r="J151" t="s">
        <v>26</v>
      </c>
      <c r="K151" t="str">
        <f t="shared" si="17"/>
        <v>Instagram</v>
      </c>
      <c r="L151" t="s">
        <v>544</v>
      </c>
      <c r="M151">
        <v>25</v>
      </c>
      <c r="N151">
        <v>50</v>
      </c>
      <c r="O151">
        <f t="shared" si="18"/>
        <v>75</v>
      </c>
      <c r="P151" t="s">
        <v>231</v>
      </c>
      <c r="Q151" t="str">
        <f t="shared" si="19"/>
        <v>UK</v>
      </c>
      <c r="R151">
        <v>2019</v>
      </c>
      <c r="S151">
        <v>6</v>
      </c>
      <c r="T151">
        <v>15</v>
      </c>
      <c r="U151">
        <v>10</v>
      </c>
      <c r="Y151" s="4">
        <f t="shared" si="20"/>
        <v>10</v>
      </c>
    </row>
    <row r="152" spans="1:25" ht="18" x14ac:dyDescent="0.25">
      <c r="A152" t="s">
        <v>545</v>
      </c>
      <c r="B152" t="s">
        <v>406</v>
      </c>
      <c r="C152" s="12" t="str">
        <f t="shared" si="14"/>
        <v>Positive</v>
      </c>
      <c r="D152" s="18">
        <f t="shared" si="15"/>
        <v>1</v>
      </c>
      <c r="E152" s="1">
        <v>44654.489583333336</v>
      </c>
      <c r="F152" s="10">
        <f>INT(E152)</f>
        <v>44654</v>
      </c>
      <c r="G152" s="15">
        <f>MOD(E152,2)</f>
        <v>0.48958333333575865</v>
      </c>
      <c r="H152" s="15" t="str">
        <f t="shared" si="16"/>
        <v>11:45</v>
      </c>
      <c r="I152" t="s">
        <v>546</v>
      </c>
      <c r="J152" t="s">
        <v>31</v>
      </c>
      <c r="K152" t="str">
        <f t="shared" si="17"/>
        <v>Facebook</v>
      </c>
      <c r="L152" t="s">
        <v>547</v>
      </c>
      <c r="M152">
        <v>15</v>
      </c>
      <c r="N152">
        <v>30</v>
      </c>
      <c r="O152">
        <f t="shared" si="18"/>
        <v>45</v>
      </c>
      <c r="P152" t="s">
        <v>88</v>
      </c>
      <c r="Q152" t="str">
        <f t="shared" si="19"/>
        <v>USA</v>
      </c>
      <c r="R152">
        <v>2022</v>
      </c>
      <c r="S152">
        <v>4</v>
      </c>
      <c r="T152">
        <v>3</v>
      </c>
      <c r="U152">
        <v>11</v>
      </c>
      <c r="Y152" s="4">
        <f t="shared" si="20"/>
        <v>11</v>
      </c>
    </row>
    <row r="153" spans="1:25" ht="18" x14ac:dyDescent="0.25">
      <c r="A153" t="s">
        <v>548</v>
      </c>
      <c r="B153" t="s">
        <v>410</v>
      </c>
      <c r="C153" s="12" t="str">
        <f t="shared" si="14"/>
        <v>Positive</v>
      </c>
      <c r="D153" s="18">
        <f t="shared" si="15"/>
        <v>1</v>
      </c>
      <c r="E153" s="1">
        <v>40494.847222222219</v>
      </c>
      <c r="F153" s="10">
        <f>INT(E153)</f>
        <v>40494</v>
      </c>
      <c r="G153" s="15">
        <f>MOD(E153,2)</f>
        <v>0.84722222221898846</v>
      </c>
      <c r="H153" s="15" t="str">
        <f t="shared" si="16"/>
        <v>20:20</v>
      </c>
      <c r="I153" t="s">
        <v>549</v>
      </c>
      <c r="J153" t="s">
        <v>16</v>
      </c>
      <c r="K153" t="str">
        <f t="shared" si="17"/>
        <v>Twitter</v>
      </c>
      <c r="L153" t="s">
        <v>550</v>
      </c>
      <c r="M153">
        <v>30</v>
      </c>
      <c r="N153">
        <v>60</v>
      </c>
      <c r="O153">
        <f t="shared" si="18"/>
        <v>90</v>
      </c>
      <c r="P153" t="s">
        <v>42</v>
      </c>
      <c r="Q153" t="str">
        <f t="shared" si="19"/>
        <v>India</v>
      </c>
      <c r="R153">
        <v>2010</v>
      </c>
      <c r="S153">
        <v>11</v>
      </c>
      <c r="T153">
        <v>12</v>
      </c>
      <c r="U153">
        <v>20</v>
      </c>
      <c r="Y153" s="4">
        <f t="shared" si="20"/>
        <v>20</v>
      </c>
    </row>
    <row r="154" spans="1:25" ht="18" x14ac:dyDescent="0.25">
      <c r="A154" t="s">
        <v>551</v>
      </c>
      <c r="B154" t="s">
        <v>415</v>
      </c>
      <c r="C154" s="12" t="str">
        <f t="shared" si="14"/>
        <v>Positive</v>
      </c>
      <c r="D154" s="18">
        <f t="shared" si="15"/>
        <v>1</v>
      </c>
      <c r="E154" s="1">
        <v>40746.770833333336</v>
      </c>
      <c r="F154" s="10">
        <f>INT(E154)</f>
        <v>40746</v>
      </c>
      <c r="G154" s="15">
        <f>MOD(E154,2)</f>
        <v>0.77083333333575865</v>
      </c>
      <c r="H154" s="15" t="str">
        <f t="shared" si="16"/>
        <v>18:30</v>
      </c>
      <c r="I154" t="s">
        <v>552</v>
      </c>
      <c r="J154" t="s">
        <v>26</v>
      </c>
      <c r="K154" t="str">
        <f t="shared" si="17"/>
        <v>Instagram</v>
      </c>
      <c r="L154" t="s">
        <v>553</v>
      </c>
      <c r="M154">
        <v>22</v>
      </c>
      <c r="N154">
        <v>45</v>
      </c>
      <c r="O154">
        <f t="shared" si="18"/>
        <v>67</v>
      </c>
      <c r="P154" t="s">
        <v>199</v>
      </c>
      <c r="Q154" t="str">
        <f t="shared" si="19"/>
        <v>Canada</v>
      </c>
      <c r="R154">
        <v>2011</v>
      </c>
      <c r="S154">
        <v>7</v>
      </c>
      <c r="T154">
        <v>22</v>
      </c>
      <c r="U154">
        <v>18</v>
      </c>
      <c r="Y154" s="4">
        <f t="shared" si="20"/>
        <v>18</v>
      </c>
    </row>
    <row r="155" spans="1:25" ht="18" x14ac:dyDescent="0.25">
      <c r="A155" t="s">
        <v>554</v>
      </c>
      <c r="B155" t="s">
        <v>420</v>
      </c>
      <c r="C155" s="12" t="str">
        <f t="shared" si="14"/>
        <v>Positive</v>
      </c>
      <c r="D155" s="18">
        <f t="shared" si="15"/>
        <v>1</v>
      </c>
      <c r="E155" s="1">
        <v>40998.472222222219</v>
      </c>
      <c r="F155" s="10">
        <f>INT(E155)</f>
        <v>40998</v>
      </c>
      <c r="G155" s="15">
        <f>MOD(E155,2)</f>
        <v>0.47222222221898846</v>
      </c>
      <c r="H155" s="15" t="str">
        <f t="shared" si="16"/>
        <v>11:20</v>
      </c>
      <c r="I155" t="s">
        <v>555</v>
      </c>
      <c r="J155" t="s">
        <v>31</v>
      </c>
      <c r="K155" t="str">
        <f t="shared" si="17"/>
        <v>Facebook</v>
      </c>
      <c r="L155" t="s">
        <v>556</v>
      </c>
      <c r="M155">
        <v>15</v>
      </c>
      <c r="N155">
        <v>30</v>
      </c>
      <c r="O155">
        <f t="shared" si="18"/>
        <v>45</v>
      </c>
      <c r="P155" t="s">
        <v>249</v>
      </c>
      <c r="Q155" t="str">
        <f t="shared" si="19"/>
        <v>Australia</v>
      </c>
      <c r="R155">
        <v>2012</v>
      </c>
      <c r="S155">
        <v>3</v>
      </c>
      <c r="T155">
        <v>30</v>
      </c>
      <c r="U155">
        <v>11</v>
      </c>
      <c r="Y155" s="4">
        <f t="shared" si="20"/>
        <v>11</v>
      </c>
    </row>
    <row r="156" spans="1:25" ht="18" x14ac:dyDescent="0.25">
      <c r="A156" t="s">
        <v>557</v>
      </c>
      <c r="B156" t="s">
        <v>424</v>
      </c>
      <c r="C156" s="12" t="str">
        <f t="shared" si="14"/>
        <v>Positive</v>
      </c>
      <c r="D156" s="18">
        <f t="shared" si="15"/>
        <v>1</v>
      </c>
      <c r="E156" s="1">
        <v>41552.694444444445</v>
      </c>
      <c r="F156" s="10">
        <f>INT(E156)</f>
        <v>41552</v>
      </c>
      <c r="G156" s="15">
        <f>MOD(E156,2)</f>
        <v>0.69444444444525288</v>
      </c>
      <c r="H156" s="15" t="str">
        <f t="shared" si="16"/>
        <v>16:40</v>
      </c>
      <c r="I156" t="s">
        <v>558</v>
      </c>
      <c r="J156" t="s">
        <v>16</v>
      </c>
      <c r="K156" t="str">
        <f t="shared" si="17"/>
        <v>Twitter</v>
      </c>
      <c r="L156" t="s">
        <v>559</v>
      </c>
      <c r="M156">
        <v>18</v>
      </c>
      <c r="N156">
        <v>35</v>
      </c>
      <c r="O156">
        <f t="shared" si="18"/>
        <v>53</v>
      </c>
      <c r="P156" t="s">
        <v>33</v>
      </c>
      <c r="Q156" t="str">
        <f t="shared" si="19"/>
        <v>UK</v>
      </c>
      <c r="R156">
        <v>2013</v>
      </c>
      <c r="S156">
        <v>10</v>
      </c>
      <c r="T156">
        <v>5</v>
      </c>
      <c r="U156">
        <v>16</v>
      </c>
      <c r="Y156" s="4">
        <f t="shared" si="20"/>
        <v>16</v>
      </c>
    </row>
    <row r="157" spans="1:25" ht="18" x14ac:dyDescent="0.25">
      <c r="A157" t="s">
        <v>560</v>
      </c>
      <c r="B157" t="s">
        <v>428</v>
      </c>
      <c r="C157" s="12" t="str">
        <f t="shared" si="14"/>
        <v>Positive</v>
      </c>
      <c r="D157" s="18">
        <f t="shared" si="15"/>
        <v>1</v>
      </c>
      <c r="E157" s="1">
        <v>41830.552083333336</v>
      </c>
      <c r="F157" s="10">
        <f>INT(E157)</f>
        <v>41830</v>
      </c>
      <c r="G157" s="15">
        <f>MOD(E157,2)</f>
        <v>0.55208333333575865</v>
      </c>
      <c r="H157" s="15" t="str">
        <f t="shared" si="16"/>
        <v>13:15</v>
      </c>
      <c r="I157" t="s">
        <v>561</v>
      </c>
      <c r="J157" t="s">
        <v>26</v>
      </c>
      <c r="K157" t="str">
        <f t="shared" si="17"/>
        <v>Instagram</v>
      </c>
      <c r="L157" t="s">
        <v>562</v>
      </c>
      <c r="M157">
        <v>25</v>
      </c>
      <c r="N157">
        <v>50</v>
      </c>
      <c r="O157">
        <f t="shared" si="18"/>
        <v>75</v>
      </c>
      <c r="P157" t="s">
        <v>563</v>
      </c>
      <c r="Q157" t="str">
        <f t="shared" si="19"/>
        <v>India</v>
      </c>
      <c r="R157">
        <v>2014</v>
      </c>
      <c r="S157">
        <v>7</v>
      </c>
      <c r="T157">
        <v>10</v>
      </c>
      <c r="U157">
        <v>13</v>
      </c>
      <c r="Y157" s="4">
        <f t="shared" si="20"/>
        <v>13</v>
      </c>
    </row>
    <row r="158" spans="1:25" ht="18" x14ac:dyDescent="0.25">
      <c r="A158" t="s">
        <v>564</v>
      </c>
      <c r="B158" t="s">
        <v>432</v>
      </c>
      <c r="C158" s="12" t="str">
        <f t="shared" si="14"/>
        <v>Positive</v>
      </c>
      <c r="D158" s="18">
        <f t="shared" si="15"/>
        <v>1</v>
      </c>
      <c r="E158" s="1">
        <v>42356.597222222219</v>
      </c>
      <c r="F158" s="10">
        <f>INT(E158)</f>
        <v>42356</v>
      </c>
      <c r="G158" s="15">
        <f>MOD(E158,2)</f>
        <v>0.59722222221898846</v>
      </c>
      <c r="H158" s="15" t="str">
        <f t="shared" si="16"/>
        <v>14:20</v>
      </c>
      <c r="I158" t="s">
        <v>565</v>
      </c>
      <c r="J158" t="s">
        <v>31</v>
      </c>
      <c r="K158" t="str">
        <f t="shared" si="17"/>
        <v>Facebook</v>
      </c>
      <c r="L158" t="s">
        <v>566</v>
      </c>
      <c r="M158">
        <v>18</v>
      </c>
      <c r="N158">
        <v>35</v>
      </c>
      <c r="O158">
        <f t="shared" si="18"/>
        <v>53</v>
      </c>
      <c r="P158" t="s">
        <v>18</v>
      </c>
      <c r="Q158" t="str">
        <f t="shared" si="19"/>
        <v>USA</v>
      </c>
      <c r="R158">
        <v>2015</v>
      </c>
      <c r="S158">
        <v>12</v>
      </c>
      <c r="T158">
        <v>18</v>
      </c>
      <c r="U158">
        <v>14</v>
      </c>
      <c r="Y158" s="4">
        <f t="shared" si="20"/>
        <v>14</v>
      </c>
    </row>
    <row r="159" spans="1:25" ht="18" x14ac:dyDescent="0.25">
      <c r="A159" t="s">
        <v>567</v>
      </c>
      <c r="B159" t="s">
        <v>436</v>
      </c>
      <c r="C159" s="12" t="str">
        <f t="shared" si="14"/>
        <v>Positive</v>
      </c>
      <c r="D159" s="18">
        <f t="shared" si="15"/>
        <v>1</v>
      </c>
      <c r="E159" s="1">
        <v>42410.822916666664</v>
      </c>
      <c r="F159" s="10">
        <f>INT(E159)</f>
        <v>42410</v>
      </c>
      <c r="G159" s="15">
        <f>MOD(E159,2)</f>
        <v>0.82291666666424135</v>
      </c>
      <c r="H159" s="15" t="str">
        <f t="shared" si="16"/>
        <v>19:45</v>
      </c>
      <c r="I159" t="s">
        <v>568</v>
      </c>
      <c r="J159" t="s">
        <v>16</v>
      </c>
      <c r="K159" t="str">
        <f t="shared" si="17"/>
        <v>Twitter</v>
      </c>
      <c r="L159" t="s">
        <v>569</v>
      </c>
      <c r="M159">
        <v>25</v>
      </c>
      <c r="N159">
        <v>50</v>
      </c>
      <c r="O159">
        <f t="shared" si="18"/>
        <v>75</v>
      </c>
      <c r="P159" t="s">
        <v>23</v>
      </c>
      <c r="Q159" t="str">
        <f t="shared" si="19"/>
        <v>Canada</v>
      </c>
      <c r="R159">
        <v>2016</v>
      </c>
      <c r="S159">
        <v>2</v>
      </c>
      <c r="T159">
        <v>10</v>
      </c>
      <c r="U159">
        <v>19</v>
      </c>
      <c r="Y159" s="4">
        <f t="shared" si="20"/>
        <v>19</v>
      </c>
    </row>
    <row r="160" spans="1:25" ht="18" x14ac:dyDescent="0.25">
      <c r="A160" t="s">
        <v>570</v>
      </c>
      <c r="B160" t="s">
        <v>440</v>
      </c>
      <c r="C160" s="12" t="str">
        <f t="shared" si="14"/>
        <v>Positive</v>
      </c>
      <c r="D160" s="18">
        <f t="shared" si="15"/>
        <v>1</v>
      </c>
      <c r="E160" s="1">
        <v>43003.479166666664</v>
      </c>
      <c r="F160" s="10">
        <f>INT(E160)</f>
        <v>43003</v>
      </c>
      <c r="G160" s="15">
        <f>MOD(E160,2)</f>
        <v>1.4791666666642413</v>
      </c>
      <c r="H160" s="15" t="str">
        <f t="shared" si="16"/>
        <v>11:30</v>
      </c>
      <c r="I160" t="s">
        <v>571</v>
      </c>
      <c r="J160" t="s">
        <v>26</v>
      </c>
      <c r="K160" t="str">
        <f t="shared" si="17"/>
        <v>Instagram</v>
      </c>
      <c r="L160" t="s">
        <v>572</v>
      </c>
      <c r="M160">
        <v>20</v>
      </c>
      <c r="N160">
        <v>40</v>
      </c>
      <c r="O160">
        <f t="shared" si="18"/>
        <v>60</v>
      </c>
      <c r="P160" t="s">
        <v>109</v>
      </c>
      <c r="Q160" t="str">
        <f t="shared" si="19"/>
        <v>UK</v>
      </c>
      <c r="R160">
        <v>2017</v>
      </c>
      <c r="S160">
        <v>9</v>
      </c>
      <c r="T160">
        <v>25</v>
      </c>
      <c r="U160">
        <v>11</v>
      </c>
      <c r="Y160" s="4">
        <f t="shared" si="20"/>
        <v>11</v>
      </c>
    </row>
    <row r="161" spans="1:25" ht="18" x14ac:dyDescent="0.25">
      <c r="A161" t="s">
        <v>573</v>
      </c>
      <c r="B161" t="s">
        <v>444</v>
      </c>
      <c r="C161" s="12" t="str">
        <f t="shared" si="14"/>
        <v>Positive</v>
      </c>
      <c r="D161" s="18">
        <f t="shared" si="15"/>
        <v>1</v>
      </c>
      <c r="E161" s="1">
        <v>43205.666666666664</v>
      </c>
      <c r="F161" s="10">
        <f>INT(E161)</f>
        <v>43205</v>
      </c>
      <c r="G161" s="15">
        <f>MOD(E161,2)</f>
        <v>1.6666666666642413</v>
      </c>
      <c r="H161" s="15" t="str">
        <f t="shared" si="16"/>
        <v>16:00</v>
      </c>
      <c r="I161" t="s">
        <v>574</v>
      </c>
      <c r="J161" t="s">
        <v>31</v>
      </c>
      <c r="K161" t="str">
        <f t="shared" si="17"/>
        <v>Facebook</v>
      </c>
      <c r="L161" t="s">
        <v>575</v>
      </c>
      <c r="M161">
        <v>15</v>
      </c>
      <c r="N161">
        <v>30</v>
      </c>
      <c r="O161">
        <f t="shared" si="18"/>
        <v>45</v>
      </c>
      <c r="P161" t="s">
        <v>249</v>
      </c>
      <c r="Q161" t="str">
        <f t="shared" si="19"/>
        <v>Australia</v>
      </c>
      <c r="R161">
        <v>2018</v>
      </c>
      <c r="S161">
        <v>4</v>
      </c>
      <c r="T161">
        <v>15</v>
      </c>
      <c r="U161">
        <v>16</v>
      </c>
      <c r="Y161" s="4">
        <f t="shared" si="20"/>
        <v>16</v>
      </c>
    </row>
    <row r="162" spans="1:25" ht="18" x14ac:dyDescent="0.25">
      <c r="A162" t="s">
        <v>576</v>
      </c>
      <c r="B162" t="s">
        <v>535</v>
      </c>
      <c r="C162" s="12" t="str">
        <f t="shared" si="14"/>
        <v>Positive</v>
      </c>
      <c r="D162" s="18">
        <f t="shared" si="15"/>
        <v>1</v>
      </c>
      <c r="E162" s="1">
        <v>43797.763888888891</v>
      </c>
      <c r="F162" s="10">
        <f>INT(E162)</f>
        <v>43797</v>
      </c>
      <c r="G162" s="15">
        <f>MOD(E162,2)</f>
        <v>1.7638888888905058</v>
      </c>
      <c r="H162" s="15" t="str">
        <f t="shared" si="16"/>
        <v>18:20</v>
      </c>
      <c r="I162" t="s">
        <v>577</v>
      </c>
      <c r="J162" t="s">
        <v>16</v>
      </c>
      <c r="K162" t="str">
        <f t="shared" si="17"/>
        <v>Twitter</v>
      </c>
      <c r="L162" t="s">
        <v>578</v>
      </c>
      <c r="M162">
        <v>22</v>
      </c>
      <c r="N162">
        <v>45</v>
      </c>
      <c r="O162">
        <f t="shared" si="18"/>
        <v>67</v>
      </c>
      <c r="P162" t="s">
        <v>42</v>
      </c>
      <c r="Q162" t="str">
        <f t="shared" si="19"/>
        <v>India</v>
      </c>
      <c r="R162">
        <v>2019</v>
      </c>
      <c r="S162">
        <v>11</v>
      </c>
      <c r="T162">
        <v>28</v>
      </c>
      <c r="U162">
        <v>18</v>
      </c>
      <c r="Y162" s="4">
        <f t="shared" si="20"/>
        <v>18</v>
      </c>
    </row>
    <row r="163" spans="1:25" ht="18" x14ac:dyDescent="0.25">
      <c r="A163" t="s">
        <v>579</v>
      </c>
      <c r="B163" t="s">
        <v>539</v>
      </c>
      <c r="C163" s="12" t="str">
        <f t="shared" si="14"/>
        <v>Positive</v>
      </c>
      <c r="D163" s="18">
        <f t="shared" si="15"/>
        <v>1</v>
      </c>
      <c r="E163" s="1">
        <v>43962.625</v>
      </c>
      <c r="F163" s="10">
        <f>INT(E163)</f>
        <v>43962</v>
      </c>
      <c r="G163" s="15">
        <f>MOD(E163,2)</f>
        <v>0.625</v>
      </c>
      <c r="H163" s="15" t="str">
        <f t="shared" si="16"/>
        <v>15:00</v>
      </c>
      <c r="I163" t="s">
        <v>239</v>
      </c>
      <c r="J163" t="s">
        <v>26</v>
      </c>
      <c r="K163" t="str">
        <f t="shared" si="17"/>
        <v>Instagram</v>
      </c>
      <c r="L163" t="s">
        <v>580</v>
      </c>
      <c r="M163">
        <v>18</v>
      </c>
      <c r="N163">
        <v>35</v>
      </c>
      <c r="O163">
        <f t="shared" si="18"/>
        <v>53</v>
      </c>
      <c r="P163" t="s">
        <v>28</v>
      </c>
      <c r="Q163" t="str">
        <f t="shared" si="19"/>
        <v>USA</v>
      </c>
      <c r="R163">
        <v>2020</v>
      </c>
      <c r="S163">
        <v>5</v>
      </c>
      <c r="T163">
        <v>11</v>
      </c>
      <c r="U163">
        <v>15</v>
      </c>
      <c r="Y163" s="4">
        <f t="shared" si="20"/>
        <v>15</v>
      </c>
    </row>
    <row r="164" spans="1:25" ht="18" x14ac:dyDescent="0.25">
      <c r="A164" t="s">
        <v>581</v>
      </c>
      <c r="B164" t="s">
        <v>582</v>
      </c>
      <c r="C164" s="12" t="str">
        <f t="shared" si="14"/>
        <v>Positive</v>
      </c>
      <c r="D164" s="18">
        <f t="shared" si="15"/>
        <v>1</v>
      </c>
      <c r="E164" s="1">
        <v>44232.395833333336</v>
      </c>
      <c r="F164" s="10">
        <f>INT(E164)</f>
        <v>44232</v>
      </c>
      <c r="G164" s="15">
        <f>MOD(E164,2)</f>
        <v>0.39583333333575865</v>
      </c>
      <c r="H164" s="15" t="str">
        <f t="shared" si="16"/>
        <v>09:30</v>
      </c>
      <c r="I164" t="s">
        <v>583</v>
      </c>
      <c r="J164" t="s">
        <v>31</v>
      </c>
      <c r="K164" t="str">
        <f t="shared" si="17"/>
        <v>Facebook</v>
      </c>
      <c r="L164" t="s">
        <v>584</v>
      </c>
      <c r="M164">
        <v>25</v>
      </c>
      <c r="N164">
        <v>50</v>
      </c>
      <c r="O164">
        <f t="shared" si="18"/>
        <v>75</v>
      </c>
      <c r="P164" t="s">
        <v>460</v>
      </c>
      <c r="Q164" t="str">
        <f t="shared" si="19"/>
        <v>Canada</v>
      </c>
      <c r="R164">
        <v>2021</v>
      </c>
      <c r="S164">
        <v>2</v>
      </c>
      <c r="T164">
        <v>5</v>
      </c>
      <c r="U164">
        <v>9</v>
      </c>
      <c r="Y164" s="4">
        <f t="shared" si="20"/>
        <v>9</v>
      </c>
    </row>
    <row r="165" spans="1:25" ht="18" x14ac:dyDescent="0.25">
      <c r="A165" t="s">
        <v>585</v>
      </c>
      <c r="B165" t="s">
        <v>586</v>
      </c>
      <c r="C165" s="12" t="str">
        <f t="shared" si="14"/>
        <v>Negative</v>
      </c>
      <c r="D165" s="18">
        <f t="shared" si="15"/>
        <v>-1</v>
      </c>
      <c r="E165" s="1">
        <v>44265.354166666664</v>
      </c>
      <c r="F165" s="10">
        <f>INT(E165)</f>
        <v>44265</v>
      </c>
      <c r="G165" s="15">
        <f>MOD(E165,2)</f>
        <v>1.3541666666642413</v>
      </c>
      <c r="H165" s="15" t="str">
        <f t="shared" si="16"/>
        <v>08:30</v>
      </c>
      <c r="I165" t="s">
        <v>587</v>
      </c>
      <c r="J165" t="s">
        <v>16</v>
      </c>
      <c r="K165" t="str">
        <f t="shared" si="17"/>
        <v>Twitter</v>
      </c>
      <c r="L165" t="s">
        <v>588</v>
      </c>
      <c r="M165">
        <v>5</v>
      </c>
      <c r="N165">
        <v>10</v>
      </c>
      <c r="O165">
        <f t="shared" si="18"/>
        <v>15</v>
      </c>
      <c r="P165" t="s">
        <v>204</v>
      </c>
      <c r="Q165" t="str">
        <f t="shared" si="19"/>
        <v>USA</v>
      </c>
      <c r="R165">
        <v>2021</v>
      </c>
      <c r="S165">
        <v>3</v>
      </c>
      <c r="T165">
        <v>10</v>
      </c>
      <c r="U165">
        <v>8</v>
      </c>
      <c r="Y165" s="4">
        <f t="shared" si="20"/>
        <v>8</v>
      </c>
    </row>
    <row r="166" spans="1:25" ht="18" x14ac:dyDescent="0.25">
      <c r="A166" t="s">
        <v>589</v>
      </c>
      <c r="B166" t="s">
        <v>590</v>
      </c>
      <c r="C166" s="12" t="str">
        <f t="shared" si="14"/>
        <v>Negative</v>
      </c>
      <c r="D166" s="18">
        <f t="shared" si="15"/>
        <v>-1</v>
      </c>
      <c r="E166" s="1">
        <v>44747.65625</v>
      </c>
      <c r="F166" s="10">
        <f>INT(E166)</f>
        <v>44747</v>
      </c>
      <c r="G166" s="15">
        <f>MOD(E166,2)</f>
        <v>1.65625</v>
      </c>
      <c r="H166" s="15" t="str">
        <f t="shared" si="16"/>
        <v>15:45</v>
      </c>
      <c r="I166" t="s">
        <v>591</v>
      </c>
      <c r="J166" t="s">
        <v>26</v>
      </c>
      <c r="K166" t="str">
        <f t="shared" si="17"/>
        <v>Instagram</v>
      </c>
      <c r="L166" t="s">
        <v>592</v>
      </c>
      <c r="M166">
        <v>8</v>
      </c>
      <c r="N166">
        <v>15</v>
      </c>
      <c r="O166">
        <f t="shared" si="18"/>
        <v>23</v>
      </c>
      <c r="P166" t="s">
        <v>593</v>
      </c>
      <c r="Q166" t="str">
        <f t="shared" si="19"/>
        <v>Canada</v>
      </c>
      <c r="R166">
        <v>2022</v>
      </c>
      <c r="S166">
        <v>7</v>
      </c>
      <c r="T166">
        <v>5</v>
      </c>
      <c r="U166">
        <v>15</v>
      </c>
      <c r="Y166" s="4">
        <f t="shared" si="20"/>
        <v>15</v>
      </c>
    </row>
    <row r="167" spans="1:25" ht="18" x14ac:dyDescent="0.25">
      <c r="A167" t="s">
        <v>594</v>
      </c>
      <c r="B167" t="s">
        <v>595</v>
      </c>
      <c r="C167" s="12" t="str">
        <f t="shared" si="14"/>
        <v>Negative</v>
      </c>
      <c r="D167" s="18">
        <f t="shared" si="15"/>
        <v>-1</v>
      </c>
      <c r="E167" s="1">
        <v>43787.888888888891</v>
      </c>
      <c r="F167" s="10">
        <f>INT(E167)</f>
        <v>43787</v>
      </c>
      <c r="G167" s="15">
        <f>MOD(E167,2)</f>
        <v>1.8888888888905058</v>
      </c>
      <c r="H167" s="15" t="str">
        <f t="shared" si="16"/>
        <v>21:20</v>
      </c>
      <c r="I167" t="s">
        <v>596</v>
      </c>
      <c r="J167" t="s">
        <v>31</v>
      </c>
      <c r="K167" t="str">
        <f t="shared" si="17"/>
        <v>Facebook</v>
      </c>
      <c r="L167" t="s">
        <v>597</v>
      </c>
      <c r="M167">
        <v>10</v>
      </c>
      <c r="N167">
        <v>20</v>
      </c>
      <c r="O167">
        <f t="shared" si="18"/>
        <v>30</v>
      </c>
      <c r="P167" t="s">
        <v>231</v>
      </c>
      <c r="Q167" t="str">
        <f t="shared" si="19"/>
        <v>UK</v>
      </c>
      <c r="R167">
        <v>2019</v>
      </c>
      <c r="S167">
        <v>11</v>
      </c>
      <c r="T167">
        <v>18</v>
      </c>
      <c r="U167">
        <v>21</v>
      </c>
      <c r="Y167" s="4">
        <f t="shared" si="20"/>
        <v>21</v>
      </c>
    </row>
    <row r="168" spans="1:25" ht="18" x14ac:dyDescent="0.25">
      <c r="A168" t="s">
        <v>598</v>
      </c>
      <c r="B168" t="s">
        <v>599</v>
      </c>
      <c r="C168" s="12" t="str">
        <f t="shared" si="14"/>
        <v>Negative</v>
      </c>
      <c r="D168" s="18">
        <f t="shared" si="15"/>
        <v>-1</v>
      </c>
      <c r="E168" s="1">
        <v>44055.479166666664</v>
      </c>
      <c r="F168" s="10">
        <f>INT(E168)</f>
        <v>44055</v>
      </c>
      <c r="G168" s="15">
        <f>MOD(E168,2)</f>
        <v>1.4791666666642413</v>
      </c>
      <c r="H168" s="15" t="str">
        <f t="shared" si="16"/>
        <v>11:30</v>
      </c>
      <c r="I168" t="s">
        <v>600</v>
      </c>
      <c r="J168" t="s">
        <v>16</v>
      </c>
      <c r="K168" t="str">
        <f t="shared" si="17"/>
        <v>Twitter</v>
      </c>
      <c r="L168" t="s">
        <v>601</v>
      </c>
      <c r="M168">
        <v>12</v>
      </c>
      <c r="N168">
        <v>25</v>
      </c>
      <c r="O168">
        <f t="shared" si="18"/>
        <v>37</v>
      </c>
      <c r="P168" t="s">
        <v>602</v>
      </c>
      <c r="Q168" t="str">
        <f t="shared" si="19"/>
        <v>India</v>
      </c>
      <c r="R168">
        <v>2020</v>
      </c>
      <c r="S168">
        <v>8</v>
      </c>
      <c r="T168">
        <v>12</v>
      </c>
      <c r="U168">
        <v>11</v>
      </c>
      <c r="Y168" s="4">
        <f t="shared" si="20"/>
        <v>11</v>
      </c>
    </row>
    <row r="169" spans="1:25" ht="18" x14ac:dyDescent="0.25">
      <c r="A169" t="s">
        <v>603</v>
      </c>
      <c r="B169" t="s">
        <v>604</v>
      </c>
      <c r="C169" s="12" t="str">
        <f t="shared" si="14"/>
        <v>Negative</v>
      </c>
      <c r="D169" s="18">
        <f t="shared" si="15"/>
        <v>-1</v>
      </c>
      <c r="E169" s="1">
        <v>43242.614583333336</v>
      </c>
      <c r="F169" s="10">
        <f>INT(E169)</f>
        <v>43242</v>
      </c>
      <c r="G169" s="15">
        <f>MOD(E169,2)</f>
        <v>0.61458333333575865</v>
      </c>
      <c r="H169" s="15" t="str">
        <f t="shared" si="16"/>
        <v>14:45</v>
      </c>
      <c r="I169" t="s">
        <v>605</v>
      </c>
      <c r="J169" t="s">
        <v>26</v>
      </c>
      <c r="K169" t="str">
        <f t="shared" si="17"/>
        <v>Instagram</v>
      </c>
      <c r="L169" t="s">
        <v>606</v>
      </c>
      <c r="M169">
        <v>7</v>
      </c>
      <c r="N169">
        <v>15</v>
      </c>
      <c r="O169">
        <f t="shared" si="18"/>
        <v>22</v>
      </c>
      <c r="P169" t="s">
        <v>607</v>
      </c>
      <c r="Q169" t="str">
        <f t="shared" si="19"/>
        <v>Australia</v>
      </c>
      <c r="R169">
        <v>2018</v>
      </c>
      <c r="S169">
        <v>5</v>
      </c>
      <c r="T169">
        <v>22</v>
      </c>
      <c r="U169">
        <v>14</v>
      </c>
      <c r="Y169" s="4">
        <f t="shared" si="20"/>
        <v>14</v>
      </c>
    </row>
    <row r="170" spans="1:25" ht="18" x14ac:dyDescent="0.25">
      <c r="A170" t="s">
        <v>608</v>
      </c>
      <c r="B170" t="s">
        <v>609</v>
      </c>
      <c r="C170" s="12" t="str">
        <f t="shared" si="14"/>
        <v>Negative</v>
      </c>
      <c r="D170" s="18">
        <f t="shared" si="15"/>
        <v>-1</v>
      </c>
      <c r="E170" s="1">
        <v>42765.673611111109</v>
      </c>
      <c r="F170" s="10">
        <f>INT(E170)</f>
        <v>42765</v>
      </c>
      <c r="G170" s="15">
        <f>MOD(E170,2)</f>
        <v>1.6736111111094942</v>
      </c>
      <c r="H170" s="15" t="str">
        <f t="shared" si="16"/>
        <v>16:10</v>
      </c>
      <c r="I170" t="s">
        <v>610</v>
      </c>
      <c r="J170" t="s">
        <v>31</v>
      </c>
      <c r="K170" t="str">
        <f t="shared" si="17"/>
        <v>Facebook</v>
      </c>
      <c r="L170" t="s">
        <v>611</v>
      </c>
      <c r="M170">
        <v>10</v>
      </c>
      <c r="N170">
        <v>20</v>
      </c>
      <c r="O170">
        <f t="shared" si="18"/>
        <v>30</v>
      </c>
      <c r="P170" t="s">
        <v>204</v>
      </c>
      <c r="Q170" t="str">
        <f t="shared" si="19"/>
        <v>USA</v>
      </c>
      <c r="R170">
        <v>2017</v>
      </c>
      <c r="S170">
        <v>1</v>
      </c>
      <c r="T170">
        <v>30</v>
      </c>
      <c r="U170">
        <v>16</v>
      </c>
      <c r="Y170" s="4">
        <f t="shared" si="20"/>
        <v>16</v>
      </c>
    </row>
    <row r="171" spans="1:25" ht="18" x14ac:dyDescent="0.25">
      <c r="A171" t="s">
        <v>612</v>
      </c>
      <c r="B171" t="s">
        <v>613</v>
      </c>
      <c r="C171" s="12" t="str">
        <f t="shared" si="14"/>
        <v>Negative</v>
      </c>
      <c r="D171" s="18">
        <f t="shared" si="15"/>
        <v>-1</v>
      </c>
      <c r="E171" s="1">
        <v>42641.822916666664</v>
      </c>
      <c r="F171" s="10">
        <f>INT(E171)</f>
        <v>42641</v>
      </c>
      <c r="G171" s="15">
        <f>MOD(E171,2)</f>
        <v>1.8229166666642413</v>
      </c>
      <c r="H171" s="15" t="str">
        <f t="shared" si="16"/>
        <v>19:45</v>
      </c>
      <c r="I171" t="s">
        <v>614</v>
      </c>
      <c r="J171" t="s">
        <v>16</v>
      </c>
      <c r="K171" t="str">
        <f t="shared" si="17"/>
        <v>Twitter</v>
      </c>
      <c r="L171" t="s">
        <v>615</v>
      </c>
      <c r="M171">
        <v>8</v>
      </c>
      <c r="N171">
        <v>15</v>
      </c>
      <c r="O171">
        <f t="shared" si="18"/>
        <v>23</v>
      </c>
      <c r="P171" t="s">
        <v>616</v>
      </c>
      <c r="Q171" t="str">
        <f t="shared" si="19"/>
        <v>Canada</v>
      </c>
      <c r="R171">
        <v>2016</v>
      </c>
      <c r="S171">
        <v>9</v>
      </c>
      <c r="T171">
        <v>28</v>
      </c>
      <c r="U171">
        <v>19</v>
      </c>
      <c r="Y171" s="4">
        <f t="shared" si="20"/>
        <v>19</v>
      </c>
    </row>
    <row r="172" spans="1:25" ht="18" x14ac:dyDescent="0.25">
      <c r="A172" t="s">
        <v>617</v>
      </c>
      <c r="B172" t="s">
        <v>618</v>
      </c>
      <c r="C172" s="12" t="str">
        <f t="shared" si="14"/>
        <v>Negative</v>
      </c>
      <c r="D172" s="18">
        <f t="shared" si="15"/>
        <v>-1</v>
      </c>
      <c r="E172" s="1">
        <v>43570.375</v>
      </c>
      <c r="F172" s="10">
        <f>INT(E172)</f>
        <v>43570</v>
      </c>
      <c r="G172" s="15">
        <f>MOD(E172,2)</f>
        <v>0.375</v>
      </c>
      <c r="H172" s="15" t="str">
        <f t="shared" si="16"/>
        <v>09:00</v>
      </c>
      <c r="I172" t="s">
        <v>619</v>
      </c>
      <c r="J172" t="s">
        <v>26</v>
      </c>
      <c r="K172" t="str">
        <f t="shared" si="17"/>
        <v>Instagram</v>
      </c>
      <c r="L172" t="s">
        <v>620</v>
      </c>
      <c r="M172">
        <v>12</v>
      </c>
      <c r="N172">
        <v>25</v>
      </c>
      <c r="O172">
        <f t="shared" si="18"/>
        <v>37</v>
      </c>
      <c r="P172" t="s">
        <v>231</v>
      </c>
      <c r="Q172" t="str">
        <f t="shared" si="19"/>
        <v>UK</v>
      </c>
      <c r="R172">
        <v>2019</v>
      </c>
      <c r="S172">
        <v>4</v>
      </c>
      <c r="T172">
        <v>15</v>
      </c>
      <c r="U172">
        <v>9</v>
      </c>
      <c r="Y172" s="4">
        <f t="shared" si="20"/>
        <v>9</v>
      </c>
    </row>
    <row r="173" spans="1:25" ht="18" x14ac:dyDescent="0.25">
      <c r="A173" t="s">
        <v>621</v>
      </c>
      <c r="B173" t="s">
        <v>622</v>
      </c>
      <c r="C173" s="12" t="str">
        <f t="shared" si="14"/>
        <v>Negative</v>
      </c>
      <c r="D173" s="18">
        <f t="shared" si="15"/>
        <v>-1</v>
      </c>
      <c r="E173" s="1">
        <v>44533.770833333336</v>
      </c>
      <c r="F173" s="10">
        <f>INT(E173)</f>
        <v>44533</v>
      </c>
      <c r="G173" s="15">
        <f>MOD(E173,2)</f>
        <v>1.7708333333357587</v>
      </c>
      <c r="H173" s="15" t="str">
        <f t="shared" si="16"/>
        <v>18:30</v>
      </c>
      <c r="I173" t="s">
        <v>623</v>
      </c>
      <c r="J173" t="s">
        <v>31</v>
      </c>
      <c r="K173" t="str">
        <f t="shared" si="17"/>
        <v>Facebook</v>
      </c>
      <c r="L173" t="s">
        <v>624</v>
      </c>
      <c r="M173">
        <v>15</v>
      </c>
      <c r="N173">
        <v>30</v>
      </c>
      <c r="O173">
        <f t="shared" si="18"/>
        <v>45</v>
      </c>
      <c r="P173" t="s">
        <v>602</v>
      </c>
      <c r="Q173" t="str">
        <f t="shared" si="19"/>
        <v>India</v>
      </c>
      <c r="R173">
        <v>2021</v>
      </c>
      <c r="S173">
        <v>12</v>
      </c>
      <c r="T173">
        <v>3</v>
      </c>
      <c r="U173">
        <v>18</v>
      </c>
      <c r="Y173" s="4">
        <f t="shared" si="20"/>
        <v>18</v>
      </c>
    </row>
    <row r="174" spans="1:25" ht="18" x14ac:dyDescent="0.25">
      <c r="A174" t="s">
        <v>625</v>
      </c>
      <c r="B174" t="s">
        <v>626</v>
      </c>
      <c r="C174" s="12" t="str">
        <f t="shared" si="14"/>
        <v>Negative</v>
      </c>
      <c r="D174" s="18">
        <f t="shared" si="15"/>
        <v>-1</v>
      </c>
      <c r="E174" s="1">
        <v>44002.597222222219</v>
      </c>
      <c r="F174" s="10">
        <f>INT(E174)</f>
        <v>44002</v>
      </c>
      <c r="G174" s="15">
        <f>MOD(E174,2)</f>
        <v>0.59722222221898846</v>
      </c>
      <c r="H174" s="15" t="str">
        <f t="shared" si="16"/>
        <v>14:20</v>
      </c>
      <c r="I174" t="s">
        <v>627</v>
      </c>
      <c r="J174" t="s">
        <v>16</v>
      </c>
      <c r="K174" t="str">
        <f t="shared" si="17"/>
        <v>Twitter</v>
      </c>
      <c r="L174" t="s">
        <v>628</v>
      </c>
      <c r="M174">
        <v>8</v>
      </c>
      <c r="N174">
        <v>15</v>
      </c>
      <c r="O174">
        <f t="shared" si="18"/>
        <v>23</v>
      </c>
      <c r="P174" t="s">
        <v>294</v>
      </c>
      <c r="Q174" t="str">
        <f t="shared" si="19"/>
        <v>Australia</v>
      </c>
      <c r="R174">
        <v>2020</v>
      </c>
      <c r="S174">
        <v>6</v>
      </c>
      <c r="T174">
        <v>20</v>
      </c>
      <c r="U174">
        <v>14</v>
      </c>
      <c r="Y174" s="4">
        <f t="shared" si="20"/>
        <v>14</v>
      </c>
    </row>
    <row r="175" spans="1:25" ht="18" x14ac:dyDescent="0.25">
      <c r="A175" t="s">
        <v>629</v>
      </c>
      <c r="B175" t="s">
        <v>630</v>
      </c>
      <c r="C175" s="12" t="str">
        <f t="shared" si="14"/>
        <v>Negative</v>
      </c>
      <c r="D175" s="18">
        <f t="shared" si="15"/>
        <v>-1</v>
      </c>
      <c r="E175" s="1">
        <v>43411.479166666664</v>
      </c>
      <c r="F175" s="10">
        <f>INT(E175)</f>
        <v>43411</v>
      </c>
      <c r="G175" s="15">
        <f>MOD(E175,2)</f>
        <v>1.4791666666642413</v>
      </c>
      <c r="H175" s="15" t="str">
        <f t="shared" si="16"/>
        <v>11:30</v>
      </c>
      <c r="I175" t="s">
        <v>631</v>
      </c>
      <c r="J175" t="s">
        <v>26</v>
      </c>
      <c r="K175" t="str">
        <f t="shared" si="17"/>
        <v>Instagram</v>
      </c>
      <c r="L175" t="s">
        <v>632</v>
      </c>
      <c r="M175">
        <v>10</v>
      </c>
      <c r="N175">
        <v>20</v>
      </c>
      <c r="O175">
        <f t="shared" si="18"/>
        <v>30</v>
      </c>
      <c r="P175" t="s">
        <v>616</v>
      </c>
      <c r="Q175" t="str">
        <f t="shared" si="19"/>
        <v>Canada</v>
      </c>
      <c r="R175">
        <v>2018</v>
      </c>
      <c r="S175">
        <v>11</v>
      </c>
      <c r="T175">
        <v>7</v>
      </c>
      <c r="U175">
        <v>11</v>
      </c>
      <c r="Y175" s="4">
        <f t="shared" si="20"/>
        <v>11</v>
      </c>
    </row>
    <row r="176" spans="1:25" ht="18" x14ac:dyDescent="0.25">
      <c r="A176" t="s">
        <v>633</v>
      </c>
      <c r="B176" t="s">
        <v>634</v>
      </c>
      <c r="C176" s="12" t="str">
        <f t="shared" si="14"/>
        <v>Negative</v>
      </c>
      <c r="D176" s="18">
        <f t="shared" si="15"/>
        <v>-1</v>
      </c>
      <c r="E176" s="1">
        <v>42972.666666666664</v>
      </c>
      <c r="F176" s="10">
        <f>INT(E176)</f>
        <v>42972</v>
      </c>
      <c r="G176" s="15">
        <f>MOD(E176,2)</f>
        <v>0.66666666666424135</v>
      </c>
      <c r="H176" s="15" t="str">
        <f t="shared" si="16"/>
        <v>16:00</v>
      </c>
      <c r="I176" t="s">
        <v>635</v>
      </c>
      <c r="J176" t="s">
        <v>31</v>
      </c>
      <c r="K176" t="str">
        <f t="shared" si="17"/>
        <v>Facebook</v>
      </c>
      <c r="L176" t="s">
        <v>636</v>
      </c>
      <c r="M176">
        <v>12</v>
      </c>
      <c r="N176">
        <v>25</v>
      </c>
      <c r="O176">
        <f t="shared" si="18"/>
        <v>37</v>
      </c>
      <c r="P176" t="s">
        <v>231</v>
      </c>
      <c r="Q176" t="str">
        <f t="shared" si="19"/>
        <v>UK</v>
      </c>
      <c r="R176">
        <v>2017</v>
      </c>
      <c r="S176">
        <v>8</v>
      </c>
      <c r="T176">
        <v>25</v>
      </c>
      <c r="U176">
        <v>16</v>
      </c>
      <c r="Y176" s="4">
        <f t="shared" si="20"/>
        <v>16</v>
      </c>
    </row>
    <row r="177" spans="1:25" ht="18" x14ac:dyDescent="0.25">
      <c r="A177" t="s">
        <v>637</v>
      </c>
      <c r="B177" t="s">
        <v>638</v>
      </c>
      <c r="C177" s="12" t="str">
        <f t="shared" si="14"/>
        <v>Negative</v>
      </c>
      <c r="D177" s="18">
        <f t="shared" si="15"/>
        <v>-1</v>
      </c>
      <c r="E177" s="1">
        <v>43507.40625</v>
      </c>
      <c r="F177" s="10">
        <f>INT(E177)</f>
        <v>43507</v>
      </c>
      <c r="G177" s="15">
        <f>MOD(E177,2)</f>
        <v>1.40625</v>
      </c>
      <c r="H177" s="15" t="str">
        <f t="shared" si="16"/>
        <v>09:45</v>
      </c>
      <c r="I177" t="s">
        <v>639</v>
      </c>
      <c r="J177" t="s">
        <v>16</v>
      </c>
      <c r="K177" t="str">
        <f t="shared" si="17"/>
        <v>Twitter</v>
      </c>
      <c r="L177" t="s">
        <v>640</v>
      </c>
      <c r="M177">
        <v>7</v>
      </c>
      <c r="N177">
        <v>15</v>
      </c>
      <c r="O177">
        <f t="shared" si="18"/>
        <v>22</v>
      </c>
      <c r="P177" t="s">
        <v>602</v>
      </c>
      <c r="Q177" t="str">
        <f t="shared" si="19"/>
        <v>India</v>
      </c>
      <c r="R177">
        <v>2019</v>
      </c>
      <c r="S177">
        <v>2</v>
      </c>
      <c r="T177">
        <v>11</v>
      </c>
      <c r="U177">
        <v>9</v>
      </c>
      <c r="Y177" s="4">
        <f t="shared" si="20"/>
        <v>9</v>
      </c>
    </row>
    <row r="178" spans="1:25" ht="18" x14ac:dyDescent="0.25">
      <c r="A178" t="s">
        <v>641</v>
      </c>
      <c r="B178" t="s">
        <v>642</v>
      </c>
      <c r="C178" s="12" t="str">
        <f t="shared" si="14"/>
        <v>Negative</v>
      </c>
      <c r="D178" s="18">
        <f t="shared" si="15"/>
        <v>-1</v>
      </c>
      <c r="E178" s="1">
        <v>42462.847222222219</v>
      </c>
      <c r="F178" s="10">
        <f>INT(E178)</f>
        <v>42462</v>
      </c>
      <c r="G178" s="15">
        <f>MOD(E178,2)</f>
        <v>0.84722222221898846</v>
      </c>
      <c r="H178" s="15" t="str">
        <f t="shared" si="16"/>
        <v>20:20</v>
      </c>
      <c r="I178" t="s">
        <v>643</v>
      </c>
      <c r="J178" t="s">
        <v>26</v>
      </c>
      <c r="K178" t="str">
        <f t="shared" si="17"/>
        <v>Instagram</v>
      </c>
      <c r="L178" t="s">
        <v>644</v>
      </c>
      <c r="M178">
        <v>10</v>
      </c>
      <c r="N178">
        <v>20</v>
      </c>
      <c r="O178">
        <f t="shared" si="18"/>
        <v>30</v>
      </c>
      <c r="P178" t="s">
        <v>204</v>
      </c>
      <c r="Q178" t="str">
        <f t="shared" si="19"/>
        <v>USA</v>
      </c>
      <c r="R178">
        <v>2016</v>
      </c>
      <c r="S178">
        <v>4</v>
      </c>
      <c r="T178">
        <v>2</v>
      </c>
      <c r="U178">
        <v>20</v>
      </c>
      <c r="Y178" s="4">
        <f t="shared" si="20"/>
        <v>20</v>
      </c>
    </row>
    <row r="179" spans="1:25" ht="18" x14ac:dyDescent="0.25">
      <c r="A179" t="s">
        <v>645</v>
      </c>
      <c r="B179" t="s">
        <v>590</v>
      </c>
      <c r="C179" s="12" t="str">
        <f t="shared" si="14"/>
        <v>Negative</v>
      </c>
      <c r="D179" s="18">
        <f t="shared" si="15"/>
        <v>-1</v>
      </c>
      <c r="E179" s="1">
        <v>42295.645833333336</v>
      </c>
      <c r="F179" s="10">
        <f>INT(E179)</f>
        <v>42295</v>
      </c>
      <c r="G179" s="15">
        <f>MOD(E179,2)</f>
        <v>1.6458333333357587</v>
      </c>
      <c r="H179" s="15" t="str">
        <f t="shared" si="16"/>
        <v>15:30</v>
      </c>
      <c r="I179" t="s">
        <v>646</v>
      </c>
      <c r="J179" t="s">
        <v>31</v>
      </c>
      <c r="K179" t="str">
        <f t="shared" si="17"/>
        <v>Facebook</v>
      </c>
      <c r="L179" t="s">
        <v>647</v>
      </c>
      <c r="M179">
        <v>12</v>
      </c>
      <c r="N179">
        <v>25</v>
      </c>
      <c r="O179">
        <f t="shared" si="18"/>
        <v>37</v>
      </c>
      <c r="P179" t="s">
        <v>616</v>
      </c>
      <c r="Q179" t="str">
        <f t="shared" si="19"/>
        <v>Canada</v>
      </c>
      <c r="R179">
        <v>2015</v>
      </c>
      <c r="S179">
        <v>10</v>
      </c>
      <c r="T179">
        <v>18</v>
      </c>
      <c r="U179">
        <v>15</v>
      </c>
      <c r="Y179" s="4">
        <f t="shared" si="20"/>
        <v>15</v>
      </c>
    </row>
    <row r="180" spans="1:25" ht="18" x14ac:dyDescent="0.25">
      <c r="A180" t="s">
        <v>648</v>
      </c>
      <c r="B180" t="s">
        <v>649</v>
      </c>
      <c r="C180" s="12" t="str">
        <f t="shared" si="14"/>
        <v>Negative</v>
      </c>
      <c r="D180" s="18">
        <f t="shared" si="15"/>
        <v>-1</v>
      </c>
      <c r="E180" s="1">
        <v>43658.756944444445</v>
      </c>
      <c r="F180" s="10">
        <f>INT(E180)</f>
        <v>43658</v>
      </c>
      <c r="G180" s="15">
        <f>MOD(E180,2)</f>
        <v>0.75694444444525288</v>
      </c>
      <c r="H180" s="15" t="str">
        <f t="shared" si="16"/>
        <v>18:10</v>
      </c>
      <c r="I180" t="s">
        <v>650</v>
      </c>
      <c r="J180" t="s">
        <v>16</v>
      </c>
      <c r="K180" t="str">
        <f t="shared" si="17"/>
        <v>Twitter</v>
      </c>
      <c r="L180" t="s">
        <v>651</v>
      </c>
      <c r="M180">
        <v>15</v>
      </c>
      <c r="N180">
        <v>30</v>
      </c>
      <c r="O180">
        <f t="shared" si="18"/>
        <v>45</v>
      </c>
      <c r="P180" t="s">
        <v>367</v>
      </c>
      <c r="Q180" t="str">
        <f t="shared" si="19"/>
        <v>UK</v>
      </c>
      <c r="R180">
        <v>2019</v>
      </c>
      <c r="S180">
        <v>7</v>
      </c>
      <c r="T180">
        <v>12</v>
      </c>
      <c r="U180">
        <v>18</v>
      </c>
      <c r="Y180" s="4">
        <f t="shared" si="20"/>
        <v>18</v>
      </c>
    </row>
    <row r="181" spans="1:25" ht="18" x14ac:dyDescent="0.25">
      <c r="A181" t="s">
        <v>652</v>
      </c>
      <c r="B181" t="s">
        <v>599</v>
      </c>
      <c r="C181" s="12" t="str">
        <f t="shared" si="14"/>
        <v>Negative</v>
      </c>
      <c r="D181" s="18">
        <f t="shared" si="15"/>
        <v>-1</v>
      </c>
      <c r="E181" s="1">
        <v>43254.6875</v>
      </c>
      <c r="F181" s="10">
        <f>INT(E181)</f>
        <v>43254</v>
      </c>
      <c r="G181" s="15">
        <f>MOD(E181,2)</f>
        <v>0.6875</v>
      </c>
      <c r="H181" s="15" t="str">
        <f t="shared" si="16"/>
        <v>16:30</v>
      </c>
      <c r="I181" t="s">
        <v>653</v>
      </c>
      <c r="J181" t="s">
        <v>26</v>
      </c>
      <c r="K181" t="str">
        <f t="shared" si="17"/>
        <v>Instagram</v>
      </c>
      <c r="L181" t="s">
        <v>654</v>
      </c>
      <c r="M181">
        <v>8</v>
      </c>
      <c r="N181">
        <v>15</v>
      </c>
      <c r="O181">
        <f t="shared" si="18"/>
        <v>23</v>
      </c>
      <c r="P181" t="s">
        <v>655</v>
      </c>
      <c r="Q181" t="str">
        <f t="shared" si="19"/>
        <v>India</v>
      </c>
      <c r="R181">
        <v>2018</v>
      </c>
      <c r="S181">
        <v>6</v>
      </c>
      <c r="T181">
        <v>3</v>
      </c>
      <c r="U181">
        <v>16</v>
      </c>
      <c r="Y181" s="4">
        <f t="shared" si="20"/>
        <v>16</v>
      </c>
    </row>
    <row r="182" spans="1:25" ht="18" x14ac:dyDescent="0.25">
      <c r="A182" t="s">
        <v>656</v>
      </c>
      <c r="B182" t="s">
        <v>604</v>
      </c>
      <c r="C182" s="12" t="str">
        <f t="shared" si="14"/>
        <v>Negative</v>
      </c>
      <c r="D182" s="18">
        <f t="shared" si="15"/>
        <v>-1</v>
      </c>
      <c r="E182" s="1">
        <v>44576.5</v>
      </c>
      <c r="F182" s="10">
        <f>INT(E182)</f>
        <v>44576</v>
      </c>
      <c r="G182" s="15">
        <f>MOD(E182,2)</f>
        <v>0.5</v>
      </c>
      <c r="H182" s="15" t="str">
        <f t="shared" si="16"/>
        <v>12:00</v>
      </c>
      <c r="I182" t="s">
        <v>657</v>
      </c>
      <c r="J182" t="s">
        <v>31</v>
      </c>
      <c r="K182" t="str">
        <f t="shared" si="17"/>
        <v>Facebook</v>
      </c>
      <c r="L182" t="s">
        <v>658</v>
      </c>
      <c r="M182">
        <v>10</v>
      </c>
      <c r="N182">
        <v>20</v>
      </c>
      <c r="O182">
        <f t="shared" si="18"/>
        <v>30</v>
      </c>
      <c r="P182" t="s">
        <v>294</v>
      </c>
      <c r="Q182" t="str">
        <f t="shared" si="19"/>
        <v>Australia</v>
      </c>
      <c r="R182">
        <v>2022</v>
      </c>
      <c r="S182">
        <v>1</v>
      </c>
      <c r="T182">
        <v>15</v>
      </c>
      <c r="U182">
        <v>12</v>
      </c>
      <c r="Y182" s="4">
        <f t="shared" si="20"/>
        <v>12</v>
      </c>
    </row>
    <row r="183" spans="1:25" ht="18" x14ac:dyDescent="0.25">
      <c r="A183" t="s">
        <v>659</v>
      </c>
      <c r="B183" t="s">
        <v>660</v>
      </c>
      <c r="C183" s="12" t="str">
        <f t="shared" si="14"/>
        <v>Negative</v>
      </c>
      <c r="D183" s="18">
        <f t="shared" si="15"/>
        <v>-1</v>
      </c>
      <c r="E183" s="1">
        <v>42835.614583333336</v>
      </c>
      <c r="F183" s="10">
        <f>INT(E183)</f>
        <v>42835</v>
      </c>
      <c r="G183" s="15">
        <f>MOD(E183,2)</f>
        <v>1.6145833333357587</v>
      </c>
      <c r="H183" s="15" t="str">
        <f t="shared" si="16"/>
        <v>14:45</v>
      </c>
      <c r="I183" t="s">
        <v>661</v>
      </c>
      <c r="J183" t="s">
        <v>16</v>
      </c>
      <c r="K183" t="str">
        <f t="shared" si="17"/>
        <v>Twitter</v>
      </c>
      <c r="L183" t="s">
        <v>662</v>
      </c>
      <c r="M183">
        <v>12</v>
      </c>
      <c r="N183">
        <v>25</v>
      </c>
      <c r="O183">
        <f t="shared" si="18"/>
        <v>37</v>
      </c>
      <c r="P183" t="s">
        <v>204</v>
      </c>
      <c r="Q183" t="str">
        <f t="shared" si="19"/>
        <v>USA</v>
      </c>
      <c r="R183">
        <v>2017</v>
      </c>
      <c r="S183">
        <v>4</v>
      </c>
      <c r="T183">
        <v>10</v>
      </c>
      <c r="U183">
        <v>14</v>
      </c>
      <c r="Y183" s="4">
        <f t="shared" si="20"/>
        <v>14</v>
      </c>
    </row>
    <row r="184" spans="1:25" ht="18" x14ac:dyDescent="0.25">
      <c r="A184" t="s">
        <v>663</v>
      </c>
      <c r="B184" t="s">
        <v>613</v>
      </c>
      <c r="C184" s="12" t="str">
        <f t="shared" si="14"/>
        <v>Negative</v>
      </c>
      <c r="D184" s="18">
        <f t="shared" si="15"/>
        <v>-1</v>
      </c>
      <c r="E184" s="1">
        <v>42702.791666666664</v>
      </c>
      <c r="F184" s="10">
        <f>INT(E184)</f>
        <v>42702</v>
      </c>
      <c r="G184" s="15">
        <f>MOD(E184,2)</f>
        <v>0.79166666666424135</v>
      </c>
      <c r="H184" s="15" t="str">
        <f t="shared" si="16"/>
        <v>19:00</v>
      </c>
      <c r="I184" t="s">
        <v>664</v>
      </c>
      <c r="J184" t="s">
        <v>26</v>
      </c>
      <c r="K184" t="str">
        <f t="shared" si="17"/>
        <v>Instagram</v>
      </c>
      <c r="L184" t="s">
        <v>665</v>
      </c>
      <c r="M184">
        <v>7</v>
      </c>
      <c r="N184">
        <v>15</v>
      </c>
      <c r="O184">
        <f t="shared" si="18"/>
        <v>22</v>
      </c>
      <c r="P184" t="s">
        <v>616</v>
      </c>
      <c r="Q184" t="str">
        <f t="shared" si="19"/>
        <v>Canada</v>
      </c>
      <c r="R184">
        <v>2016</v>
      </c>
      <c r="S184">
        <v>11</v>
      </c>
      <c r="T184">
        <v>28</v>
      </c>
      <c r="U184">
        <v>19</v>
      </c>
      <c r="Y184" s="4">
        <f t="shared" si="20"/>
        <v>19</v>
      </c>
    </row>
    <row r="185" spans="1:25" ht="18" x14ac:dyDescent="0.25">
      <c r="A185" t="s">
        <v>666</v>
      </c>
      <c r="B185" t="s">
        <v>667</v>
      </c>
      <c r="C185" s="12" t="str">
        <f t="shared" si="14"/>
        <v>Negative</v>
      </c>
      <c r="D185" s="18">
        <f t="shared" si="15"/>
        <v>-1</v>
      </c>
      <c r="E185" s="1">
        <v>43348.395833333336</v>
      </c>
      <c r="F185" s="10">
        <f>INT(E185)</f>
        <v>43348</v>
      </c>
      <c r="G185" s="15">
        <f>MOD(E185,2)</f>
        <v>0.39583333333575865</v>
      </c>
      <c r="H185" s="15" t="str">
        <f t="shared" si="16"/>
        <v>09:30</v>
      </c>
      <c r="I185" t="s">
        <v>668</v>
      </c>
      <c r="J185" t="s">
        <v>31</v>
      </c>
      <c r="K185" t="str">
        <f t="shared" si="17"/>
        <v>Facebook</v>
      </c>
      <c r="L185" t="s">
        <v>669</v>
      </c>
      <c r="M185">
        <v>10</v>
      </c>
      <c r="N185">
        <v>20</v>
      </c>
      <c r="O185">
        <f t="shared" si="18"/>
        <v>30</v>
      </c>
      <c r="P185" t="s">
        <v>367</v>
      </c>
      <c r="Q185" t="str">
        <f t="shared" si="19"/>
        <v>UK</v>
      </c>
      <c r="R185">
        <v>2018</v>
      </c>
      <c r="S185">
        <v>9</v>
      </c>
      <c r="T185">
        <v>5</v>
      </c>
      <c r="U185">
        <v>9</v>
      </c>
      <c r="Y185" s="4">
        <f t="shared" si="20"/>
        <v>9</v>
      </c>
    </row>
    <row r="186" spans="1:25" ht="18" x14ac:dyDescent="0.25">
      <c r="A186" t="s">
        <v>670</v>
      </c>
      <c r="B186" t="s">
        <v>671</v>
      </c>
      <c r="C186" s="12" t="str">
        <f t="shared" si="14"/>
        <v>Negative</v>
      </c>
      <c r="D186" s="18">
        <f t="shared" si="15"/>
        <v>-1</v>
      </c>
      <c r="E186" s="1">
        <v>44491.770833333336</v>
      </c>
      <c r="F186" s="10">
        <f>INT(E186)</f>
        <v>44491</v>
      </c>
      <c r="G186" s="15">
        <f>MOD(E186,2)</f>
        <v>1.7708333333357587</v>
      </c>
      <c r="H186" s="15" t="str">
        <f t="shared" si="16"/>
        <v>18:30</v>
      </c>
      <c r="I186" t="s">
        <v>672</v>
      </c>
      <c r="J186" t="s">
        <v>16</v>
      </c>
      <c r="K186" t="str">
        <f t="shared" si="17"/>
        <v>Twitter</v>
      </c>
      <c r="L186" t="s">
        <v>673</v>
      </c>
      <c r="M186">
        <v>15</v>
      </c>
      <c r="N186">
        <v>30</v>
      </c>
      <c r="O186">
        <f t="shared" si="18"/>
        <v>45</v>
      </c>
      <c r="P186" t="s">
        <v>655</v>
      </c>
      <c r="Q186" t="str">
        <f t="shared" si="19"/>
        <v>India</v>
      </c>
      <c r="R186">
        <v>2021</v>
      </c>
      <c r="S186">
        <v>10</v>
      </c>
      <c r="T186">
        <v>22</v>
      </c>
      <c r="U186">
        <v>18</v>
      </c>
      <c r="Y186" s="4">
        <f t="shared" si="20"/>
        <v>18</v>
      </c>
    </row>
    <row r="187" spans="1:25" ht="18" x14ac:dyDescent="0.25">
      <c r="A187" t="s">
        <v>674</v>
      </c>
      <c r="B187" t="s">
        <v>675</v>
      </c>
      <c r="C187" s="12" t="str">
        <f t="shared" si="14"/>
        <v>Negative</v>
      </c>
      <c r="D187" s="18">
        <f t="shared" si="15"/>
        <v>-1</v>
      </c>
      <c r="E187" s="1">
        <v>43593.597222222219</v>
      </c>
      <c r="F187" s="10">
        <f>INT(E187)</f>
        <v>43593</v>
      </c>
      <c r="G187" s="15">
        <f>MOD(E187,2)</f>
        <v>1.5972222222189885</v>
      </c>
      <c r="H187" s="15" t="str">
        <f t="shared" si="16"/>
        <v>14:20</v>
      </c>
      <c r="I187" t="s">
        <v>676</v>
      </c>
      <c r="J187" t="s">
        <v>26</v>
      </c>
      <c r="K187" t="str">
        <f t="shared" si="17"/>
        <v>Instagram</v>
      </c>
      <c r="L187" t="s">
        <v>677</v>
      </c>
      <c r="M187">
        <v>8</v>
      </c>
      <c r="N187">
        <v>15</v>
      </c>
      <c r="O187">
        <f t="shared" si="18"/>
        <v>23</v>
      </c>
      <c r="P187" t="s">
        <v>294</v>
      </c>
      <c r="Q187" t="str">
        <f t="shared" si="19"/>
        <v>Australia</v>
      </c>
      <c r="R187">
        <v>2019</v>
      </c>
      <c r="S187">
        <v>5</v>
      </c>
      <c r="T187">
        <v>8</v>
      </c>
      <c r="U187">
        <v>14</v>
      </c>
      <c r="Y187" s="4">
        <f t="shared" si="20"/>
        <v>14</v>
      </c>
    </row>
    <row r="188" spans="1:25" ht="18" x14ac:dyDescent="0.25">
      <c r="A188" t="s">
        <v>678</v>
      </c>
      <c r="B188" t="s">
        <v>630</v>
      </c>
      <c r="C188" s="12" t="str">
        <f t="shared" si="14"/>
        <v>Negative</v>
      </c>
      <c r="D188" s="18">
        <f t="shared" si="15"/>
        <v>-1</v>
      </c>
      <c r="E188" s="1">
        <v>42814.479166666664</v>
      </c>
      <c r="F188" s="10">
        <f>INT(E188)</f>
        <v>42814</v>
      </c>
      <c r="G188" s="15">
        <f>MOD(E188,2)</f>
        <v>0.47916666666424135</v>
      </c>
      <c r="H188" s="15" t="str">
        <f t="shared" si="16"/>
        <v>11:30</v>
      </c>
      <c r="I188" t="s">
        <v>679</v>
      </c>
      <c r="J188" t="s">
        <v>31</v>
      </c>
      <c r="K188" t="str">
        <f t="shared" si="17"/>
        <v>Facebook</v>
      </c>
      <c r="L188" t="s">
        <v>680</v>
      </c>
      <c r="M188">
        <v>10</v>
      </c>
      <c r="N188">
        <v>20</v>
      </c>
      <c r="O188">
        <f t="shared" si="18"/>
        <v>30</v>
      </c>
      <c r="P188" t="s">
        <v>616</v>
      </c>
      <c r="Q188" t="str">
        <f t="shared" si="19"/>
        <v>Canada</v>
      </c>
      <c r="R188">
        <v>2017</v>
      </c>
      <c r="S188">
        <v>3</v>
      </c>
      <c r="T188">
        <v>20</v>
      </c>
      <c r="U188">
        <v>11</v>
      </c>
      <c r="Y188" s="4">
        <f t="shared" si="20"/>
        <v>11</v>
      </c>
    </row>
    <row r="189" spans="1:25" ht="18" x14ac:dyDescent="0.25">
      <c r="A189" t="s">
        <v>681</v>
      </c>
      <c r="B189" t="s">
        <v>634</v>
      </c>
      <c r="C189" s="12" t="str">
        <f t="shared" si="14"/>
        <v>Negative</v>
      </c>
      <c r="D189" s="18">
        <f t="shared" si="15"/>
        <v>-1</v>
      </c>
      <c r="E189" s="1">
        <v>43449.666666666664</v>
      </c>
      <c r="F189" s="10">
        <f>INT(E189)</f>
        <v>43449</v>
      </c>
      <c r="G189" s="15">
        <f>MOD(E189,2)</f>
        <v>1.6666666666642413</v>
      </c>
      <c r="H189" s="15" t="str">
        <f t="shared" si="16"/>
        <v>16:00</v>
      </c>
      <c r="I189" t="s">
        <v>682</v>
      </c>
      <c r="J189" t="s">
        <v>16</v>
      </c>
      <c r="K189" t="str">
        <f t="shared" si="17"/>
        <v>Twitter</v>
      </c>
      <c r="L189" t="s">
        <v>683</v>
      </c>
      <c r="M189">
        <v>12</v>
      </c>
      <c r="N189">
        <v>25</v>
      </c>
      <c r="O189">
        <f t="shared" si="18"/>
        <v>37</v>
      </c>
      <c r="P189" t="s">
        <v>204</v>
      </c>
      <c r="Q189" t="str">
        <f t="shared" si="19"/>
        <v>USA</v>
      </c>
      <c r="R189">
        <v>2018</v>
      </c>
      <c r="S189">
        <v>12</v>
      </c>
      <c r="T189">
        <v>15</v>
      </c>
      <c r="U189">
        <v>16</v>
      </c>
      <c r="Y189" s="4">
        <f t="shared" si="20"/>
        <v>16</v>
      </c>
    </row>
    <row r="190" spans="1:25" ht="18" x14ac:dyDescent="0.25">
      <c r="A190" t="s">
        <v>684</v>
      </c>
      <c r="B190" t="s">
        <v>638</v>
      </c>
      <c r="C190" s="12" t="str">
        <f t="shared" si="14"/>
        <v>Negative</v>
      </c>
      <c r="D190" s="18">
        <f t="shared" si="15"/>
        <v>-1</v>
      </c>
      <c r="E190" s="1">
        <v>42552.40625</v>
      </c>
      <c r="F190" s="10">
        <f>INT(E190)</f>
        <v>42552</v>
      </c>
      <c r="G190" s="15">
        <f>MOD(E190,2)</f>
        <v>0.40625</v>
      </c>
      <c r="H190" s="15" t="str">
        <f t="shared" si="16"/>
        <v>09:45</v>
      </c>
      <c r="I190" t="s">
        <v>685</v>
      </c>
      <c r="J190" t="s">
        <v>26</v>
      </c>
      <c r="K190" t="str">
        <f t="shared" si="17"/>
        <v>Instagram</v>
      </c>
      <c r="L190" t="s">
        <v>686</v>
      </c>
      <c r="M190">
        <v>7</v>
      </c>
      <c r="N190">
        <v>15</v>
      </c>
      <c r="O190">
        <f t="shared" si="18"/>
        <v>22</v>
      </c>
      <c r="P190" t="s">
        <v>367</v>
      </c>
      <c r="Q190" t="str">
        <f t="shared" si="19"/>
        <v>UK</v>
      </c>
      <c r="R190">
        <v>2016</v>
      </c>
      <c r="S190">
        <v>7</v>
      </c>
      <c r="T190">
        <v>1</v>
      </c>
      <c r="U190">
        <v>9</v>
      </c>
      <c r="Y190" s="4">
        <f t="shared" si="20"/>
        <v>9</v>
      </c>
    </row>
    <row r="191" spans="1:25" ht="18" x14ac:dyDescent="0.25">
      <c r="A191" t="s">
        <v>687</v>
      </c>
      <c r="B191" t="s">
        <v>586</v>
      </c>
      <c r="C191" s="12" t="str">
        <f t="shared" si="14"/>
        <v>Negative</v>
      </c>
      <c r="D191" s="18">
        <f t="shared" si="15"/>
        <v>-1</v>
      </c>
      <c r="E191" s="1">
        <v>44063.847222222219</v>
      </c>
      <c r="F191" s="10">
        <f>INT(E191)</f>
        <v>44063</v>
      </c>
      <c r="G191" s="15">
        <f>MOD(E191,2)</f>
        <v>1.8472222222189885</v>
      </c>
      <c r="H191" s="15" t="str">
        <f t="shared" si="16"/>
        <v>20:20</v>
      </c>
      <c r="I191" t="s">
        <v>688</v>
      </c>
      <c r="J191" t="s">
        <v>31</v>
      </c>
      <c r="K191" t="str">
        <f t="shared" si="17"/>
        <v>Facebook</v>
      </c>
      <c r="L191" t="s">
        <v>689</v>
      </c>
      <c r="M191">
        <v>10</v>
      </c>
      <c r="N191">
        <v>20</v>
      </c>
      <c r="O191">
        <f t="shared" si="18"/>
        <v>30</v>
      </c>
      <c r="P191" t="s">
        <v>655</v>
      </c>
      <c r="Q191" t="str">
        <f t="shared" si="19"/>
        <v>India</v>
      </c>
      <c r="R191">
        <v>2020</v>
      </c>
      <c r="S191">
        <v>8</v>
      </c>
      <c r="T191">
        <v>20</v>
      </c>
      <c r="U191">
        <v>20</v>
      </c>
      <c r="Y191" s="4">
        <f t="shared" si="20"/>
        <v>20</v>
      </c>
    </row>
    <row r="192" spans="1:25" ht="18" x14ac:dyDescent="0.25">
      <c r="A192" t="s">
        <v>690</v>
      </c>
      <c r="B192" t="s">
        <v>590</v>
      </c>
      <c r="C192" s="12" t="str">
        <f t="shared" si="14"/>
        <v>Negative</v>
      </c>
      <c r="D192" s="18">
        <f t="shared" si="15"/>
        <v>-1</v>
      </c>
      <c r="E192" s="1">
        <v>44252.645833333336</v>
      </c>
      <c r="F192" s="10">
        <f>INT(E192)</f>
        <v>44252</v>
      </c>
      <c r="G192" s="15">
        <f>MOD(E192,2)</f>
        <v>0.64583333333575865</v>
      </c>
      <c r="H192" s="15" t="str">
        <f t="shared" si="16"/>
        <v>15:30</v>
      </c>
      <c r="I192" t="s">
        <v>691</v>
      </c>
      <c r="J192" t="s">
        <v>16</v>
      </c>
      <c r="K192" t="str">
        <f t="shared" si="17"/>
        <v>Twitter</v>
      </c>
      <c r="L192" t="s">
        <v>692</v>
      </c>
      <c r="M192">
        <v>12</v>
      </c>
      <c r="N192">
        <v>25</v>
      </c>
      <c r="O192">
        <f t="shared" si="18"/>
        <v>37</v>
      </c>
      <c r="P192" t="s">
        <v>616</v>
      </c>
      <c r="Q192" t="str">
        <f t="shared" si="19"/>
        <v>Canada</v>
      </c>
      <c r="R192">
        <v>2021</v>
      </c>
      <c r="S192">
        <v>2</v>
      </c>
      <c r="T192">
        <v>25</v>
      </c>
      <c r="U192">
        <v>15</v>
      </c>
      <c r="Y192" s="4">
        <f t="shared" si="20"/>
        <v>15</v>
      </c>
    </row>
    <row r="193" spans="1:25" ht="18" x14ac:dyDescent="0.25">
      <c r="A193" t="s">
        <v>693</v>
      </c>
      <c r="B193" t="s">
        <v>649</v>
      </c>
      <c r="C193" s="12" t="str">
        <f t="shared" si="14"/>
        <v>Negative</v>
      </c>
      <c r="D193" s="18">
        <f t="shared" si="15"/>
        <v>-1</v>
      </c>
      <c r="E193" s="1">
        <v>43720.756944444445</v>
      </c>
      <c r="F193" s="10">
        <f>INT(E193)</f>
        <v>43720</v>
      </c>
      <c r="G193" s="15">
        <f>MOD(E193,2)</f>
        <v>0.75694444444525288</v>
      </c>
      <c r="H193" s="15" t="str">
        <f t="shared" si="16"/>
        <v>18:10</v>
      </c>
      <c r="I193" t="s">
        <v>694</v>
      </c>
      <c r="J193" t="s">
        <v>26</v>
      </c>
      <c r="K193" t="str">
        <f t="shared" si="17"/>
        <v>Instagram</v>
      </c>
      <c r="L193" t="s">
        <v>695</v>
      </c>
      <c r="M193">
        <v>15</v>
      </c>
      <c r="N193">
        <v>30</v>
      </c>
      <c r="O193">
        <f t="shared" si="18"/>
        <v>45</v>
      </c>
      <c r="P193" t="s">
        <v>607</v>
      </c>
      <c r="Q193" t="str">
        <f t="shared" si="19"/>
        <v>Australia</v>
      </c>
      <c r="R193">
        <v>2019</v>
      </c>
      <c r="S193">
        <v>9</v>
      </c>
      <c r="T193">
        <v>12</v>
      </c>
      <c r="U193">
        <v>18</v>
      </c>
      <c r="Y193" s="4">
        <f t="shared" si="20"/>
        <v>18</v>
      </c>
    </row>
    <row r="194" spans="1:25" ht="18" x14ac:dyDescent="0.25">
      <c r="A194" t="s">
        <v>696</v>
      </c>
      <c r="B194" t="s">
        <v>697</v>
      </c>
      <c r="C194" s="12" t="str">
        <f t="shared" si="14"/>
        <v>Negative</v>
      </c>
      <c r="D194" s="18">
        <f t="shared" si="15"/>
        <v>-1</v>
      </c>
      <c r="E194" s="1">
        <v>43317.6875</v>
      </c>
      <c r="F194" s="10">
        <f>INT(E194)</f>
        <v>43317</v>
      </c>
      <c r="G194" s="15">
        <f>MOD(E194,2)</f>
        <v>1.6875</v>
      </c>
      <c r="H194" s="15" t="str">
        <f t="shared" si="16"/>
        <v>16:30</v>
      </c>
      <c r="I194" t="s">
        <v>698</v>
      </c>
      <c r="J194" t="s">
        <v>31</v>
      </c>
      <c r="K194" t="str">
        <f t="shared" si="17"/>
        <v>Facebook</v>
      </c>
      <c r="L194" t="s">
        <v>699</v>
      </c>
      <c r="M194">
        <v>8</v>
      </c>
      <c r="N194">
        <v>15</v>
      </c>
      <c r="O194">
        <f t="shared" si="18"/>
        <v>23</v>
      </c>
      <c r="P194" t="s">
        <v>700</v>
      </c>
      <c r="Q194" t="str">
        <f t="shared" si="19"/>
        <v>USA</v>
      </c>
      <c r="R194">
        <v>2018</v>
      </c>
      <c r="S194">
        <v>8</v>
      </c>
      <c r="T194">
        <v>5</v>
      </c>
      <c r="U194">
        <v>16</v>
      </c>
      <c r="Y194" s="4">
        <f t="shared" si="20"/>
        <v>16</v>
      </c>
    </row>
    <row r="195" spans="1:25" ht="18" x14ac:dyDescent="0.25">
      <c r="A195" t="s">
        <v>701</v>
      </c>
      <c r="B195" t="s">
        <v>604</v>
      </c>
      <c r="C195" s="12" t="str">
        <f t="shared" ref="C195:C258" si="21">IF(OR(ISNUMBER(SEARCH("happ",B195)),ISNUMBER(SEARCH("joy",B195)),ISNUMBER(SEARCH("love",B195)),ISNUMBER(SEARCH("amuse",B195)),ISNUMBER(SEARCH("enjoy",B195)),ISNUMBER(SEARCH("admire",B195)),ISNUMBER(SEARCH("affection",B195)),ISNUMBER(SEARCH("awe",B195)),ISNUMBER(SEARCH("accept",B195)),ISNUMBER(SEARCH("ador",B195)),ISNUMBER(SEARCH("calm",B195)),ISNUMBER(SEARCH("excit",B195)),ISNUMBER(SEARCH("kind",B195)),ISNUMBER(SEARCH("pride",B195)),ISNUMBER(SEARCH("elat",B195)),ISNUMBER(SEARCH("euphor",B195)),ISNUMBER(SEARCH("content",B195)),ISNUMBER(SEARCH("seren",B195)),ISNUMBER(SEARCH("grat",B195)),ISNUMBER(SEARCH("hope",B195)),ISNUMBER(SEARCH("empower",B195)),ISNUMBER(SEARCH("compass",B195)),ISNUMBER(SEARCH("tender",B195)),ISNUMBER(SEARCH("enthus",B195)),ISNUMBER(SEARCH("fulfill",B195)),ISNUMBER(SEARCH("rever",B195)),ISNUMBER(SEARCH("zest",B195)),ISNUMBER(SEARCH("play",B195)),ISNUMBER(SEARCH("inspir",B195)),ISNUMBER(SEARCH("confid",B195)),ISNUMBER(SEARCH("determin",B195)),ISNUMBER(SEARCH("thrill",B195)),ISNUMBER(SEARCH("overjoy",B195)),ISNUMBER(SEARCH("motiv",B195)),ISNUMBER(SEARCH("satisf",B195)),ISNUMBER(SEARCH("bless",B195)),ISNUMBER(SEARCH("appreci",B195)),ISNUMBER(SEARCH("accomplish",B195)),ISNUMBER(SEARCH("wonder",B195)),ISNUMBER(SEARCH("optim",B195)),ISNUMBER(SEARCH("enchant",B195)),ISNUMBER(SEARCH("intrigu",B195)),ISNUMBER(SEARCH("mindful",B195)),ISNUMBER(SEARCH("eleg",B195)),ISNUMBER(SEARCH("whims",B195)),ISNUMBER(SEARCH("harmon",B195)),ISNUMBER(SEARCH("creativ",B195)),ISNUMBER(SEARCH("radian",B195)),ISNUMBER(SEARCH("rejuven",B195)),ISNUMBER(SEARCH("cozy",B195)),ISNUMBER(SEARCH("adventur",B195)),ISNUMBER(SEARCH("melod",B195)),ISNUMBER(SEARCH("festiv",B195)),ISNUMBER(SEARCH("free",B195)),ISNUMBER(SEARCH("dazzl",B195)),ISNUMBER(SEARCH("adrenal",B195)),ISNUMBER(SEARCH("artistic",B195)),ISNUMBER(SEARCH("resil",B195)),ISNUMBER(SEARCH("immers",B195)),ISNUMBER(SEARCH("spark",B195)),ISNUMBER(SEARCH("marvel",B195)),ISNUMBER(SEARCH("friend",B195)),ISNUMBER(SEARCH("success",B195)),ISNUMBER(SEARCH("explor",B195)),ISNUMBER(SEARCH("amaz",B195)),ISNUMBER(SEARCH("romanc",B195)),ISNUMBER(SEARCH("captiv",B195)),ISNUMBER(SEARCH("tranquil",B195)),ISNUMBER(SEARCH("grand",B195)),ISNUMBER(SEARCH("energ",B195)),ISNUMBER(SEARCH("celebr",B195)),ISNUMBER(SEARCH("charm",B195)),ISNUMBER(SEARCH("ecstasy",B195)),ISNUMBER(SEARCH("color",B195)),ISNUMBER(SEARCH("hypnot",B195)),ISNUMBER(SEARCH("connect",B195)),ISNUMBER(SEARCH("icon",B195)),ISNUMBER(SEARCH("engag",B195)),ISNUMBER(SEARCH("triumph",B195)),ISNUMBER(SEARCH("heartwarm",B195)),ISNUMBER(SEARCH("solac",B195)),ISNUMBER(SEARCH("breakthrough",B195)),ISNUMBER(SEARCH("imagin",B195)),ISNUMBER(SEARCH("vibran",B195)),ISNUMBER(SEARCH("mesmer",B195)),ISNUMBER(SEARCH("winter magic",B195)),ISNUMBER(SEARCH("nature",B195)),ISNUMBER(SEARCH("celestial",B195)),ISNUMBER(SEARCH("positive",B195)),ISNUMBER(SEARCH("arous",B195))),"Positive",IF(OR(ISNUMBER(SEARCH("anger",B195)),ISNUMBER(SEARCH("fear",B195)),ISNUMBER(SEARCH("sad",B195)),ISNUMBER(SEARCH("disgust",B195)),ISNUMBER(SEARCH("disappoint",B195)),ISNUMBER(SEARCH("bitter",B195)),ISNUMBER(SEARCH("shame",B195)),ISNUMBER(SEARCH("despair",B195)),ISNUMBER(SEARCH("grief",B195)),ISNUMBER(SEARCH("lonel",B195)),ISNUMBER(SEARCH("jealous",B195)),ISNUMBER(SEARCH("resent",B195)),ISNUMBER(SEARCH("frustrat",B195)),ISNUMBER(SEARCH("bored",B195)),ISNUMBER(SEARCH("anxi",B195)),ISNUMBER(SEARCH("intimid",B195)),ISNUMBER(SEARCH("helpless",B195)),ISNUMBER(SEARCH("envy",B195)),ISNUMBER(SEARCH("regret",B195)),ISNUMBER(SEARCH("melanchol",B195)),ISNUMBER(SEARCH("yearn",B195)),ISNUMBER(SEARCH("apprehens",B195)),ISNUMBER(SEARCH("overwhelm",B195)),ISNUMBER(SEARCH("devastat",B195)),ISNUMBER(SEARCH("dismiss",B195)),ISNUMBER(SEARCH("heartbreak",B195)),ISNUMBER(SEARCH("betray",B195)),ISNUMBER(SEARCH("suffer",B195)),ISNUMBER(SEARCH("isolat",B195)),ISNUMBER(SEARCH("lost",B195)),ISNUMBER(SEARCH("exhaust",B195)),ISNUMBER(SEARCH("sorrow",B195)),ISNUMBER(SEARCH("darkness",B195)),ISNUMBER(SEARCH("desperat",B195)),ISNUMBER(SEARCH("ruins",B195)),ISNUMBER(SEARCH("desolat",B195)),ISNUMBER(SEARCH("heartache",B195)),ISNUMBER(SEARCH("solitude",B195)),ISNUMBER(SEARCH("obstacle",B195)),ISNUMBER(SEARCH("pressure",B195)),ISNUMBER(SEARCH("miscalcul",B195)),ISNUMBER(SEARCH("challenge",B195)),ISNUMBER(SEARCH("embarrass",B195)),ISNUMBER(SEARCH("hate",B195)),ISNUMBER(SEARCH("bad",B195)),ISNUMBER(SEARCH("negative",B195))),"Negative","Neutral"))</f>
        <v>Negative</v>
      </c>
      <c r="D195" s="18">
        <f t="shared" ref="D195:D258" si="22">IF(C195="Positive", 1, IF(C195="Negative", -1, 0))</f>
        <v>-1</v>
      </c>
      <c r="E195" s="1">
        <v>42747.5</v>
      </c>
      <c r="F195" s="10">
        <f>INT(E195)</f>
        <v>42747</v>
      </c>
      <c r="G195" s="15">
        <f>MOD(E195,2)</f>
        <v>1.5</v>
      </c>
      <c r="H195" s="15" t="str">
        <f t="shared" ref="H195:H258" si="23">TEXT(G195, "hh:mm")</f>
        <v>12:00</v>
      </c>
      <c r="I195" t="s">
        <v>702</v>
      </c>
      <c r="J195" t="s">
        <v>16</v>
      </c>
      <c r="K195" t="str">
        <f t="shared" ref="K195:K258" si="24">TRIM(CLEAN(J195))</f>
        <v>Twitter</v>
      </c>
      <c r="L195" t="s">
        <v>703</v>
      </c>
      <c r="M195">
        <v>10</v>
      </c>
      <c r="N195">
        <v>20</v>
      </c>
      <c r="O195">
        <f t="shared" ref="O195:O258" si="25">M195+N195</f>
        <v>30</v>
      </c>
      <c r="P195" t="s">
        <v>655</v>
      </c>
      <c r="Q195" t="str">
        <f t="shared" ref="Q195:Q258" si="26">TRIM(CLEAN(P195))</f>
        <v>India</v>
      </c>
      <c r="R195">
        <v>2017</v>
      </c>
      <c r="S195">
        <v>1</v>
      </c>
      <c r="T195">
        <v>12</v>
      </c>
      <c r="U195">
        <v>12</v>
      </c>
      <c r="Y195" s="4">
        <f t="shared" ref="Y195:Y258" si="27">HOUR(H195)</f>
        <v>12</v>
      </c>
    </row>
    <row r="196" spans="1:25" ht="18" x14ac:dyDescent="0.25">
      <c r="A196" t="s">
        <v>704</v>
      </c>
      <c r="B196" t="s">
        <v>609</v>
      </c>
      <c r="C196" s="12" t="str">
        <f t="shared" si="21"/>
        <v>Negative</v>
      </c>
      <c r="D196" s="18">
        <f t="shared" si="22"/>
        <v>-1</v>
      </c>
      <c r="E196" s="1">
        <v>44656.614583333336</v>
      </c>
      <c r="F196" s="10">
        <f>INT(E196)</f>
        <v>44656</v>
      </c>
      <c r="G196" s="15">
        <f>MOD(E196,2)</f>
        <v>0.61458333333575865</v>
      </c>
      <c r="H196" s="15" t="str">
        <f t="shared" si="23"/>
        <v>14:45</v>
      </c>
      <c r="I196" t="s">
        <v>705</v>
      </c>
      <c r="J196" t="s">
        <v>26</v>
      </c>
      <c r="K196" t="str">
        <f t="shared" si="24"/>
        <v>Instagram</v>
      </c>
      <c r="L196" t="s">
        <v>706</v>
      </c>
      <c r="M196">
        <v>12</v>
      </c>
      <c r="N196">
        <v>25</v>
      </c>
      <c r="O196">
        <f t="shared" si="25"/>
        <v>37</v>
      </c>
      <c r="P196" t="s">
        <v>367</v>
      </c>
      <c r="Q196" t="str">
        <f t="shared" si="26"/>
        <v>UK</v>
      </c>
      <c r="R196">
        <v>2022</v>
      </c>
      <c r="S196">
        <v>4</v>
      </c>
      <c r="T196">
        <v>5</v>
      </c>
      <c r="U196">
        <v>14</v>
      </c>
      <c r="Y196" s="4">
        <f t="shared" si="27"/>
        <v>14</v>
      </c>
    </row>
    <row r="197" spans="1:25" ht="18" x14ac:dyDescent="0.25">
      <c r="A197" t="s">
        <v>707</v>
      </c>
      <c r="B197" t="s">
        <v>613</v>
      </c>
      <c r="C197" s="12" t="str">
        <f t="shared" si="21"/>
        <v>Negative</v>
      </c>
      <c r="D197" s="18">
        <f t="shared" si="22"/>
        <v>-1</v>
      </c>
      <c r="E197" s="1">
        <v>44471.791666666664</v>
      </c>
      <c r="F197" s="10">
        <f>INT(E197)</f>
        <v>44471</v>
      </c>
      <c r="G197" s="15">
        <f>MOD(E197,2)</f>
        <v>1.7916666666642413</v>
      </c>
      <c r="H197" s="15" t="str">
        <f t="shared" si="23"/>
        <v>19:00</v>
      </c>
      <c r="I197" t="s">
        <v>708</v>
      </c>
      <c r="J197" t="s">
        <v>31</v>
      </c>
      <c r="K197" t="str">
        <f t="shared" si="24"/>
        <v>Facebook</v>
      </c>
      <c r="L197" t="s">
        <v>709</v>
      </c>
      <c r="M197">
        <v>7</v>
      </c>
      <c r="N197">
        <v>15</v>
      </c>
      <c r="O197">
        <f t="shared" si="25"/>
        <v>22</v>
      </c>
      <c r="P197" t="s">
        <v>616</v>
      </c>
      <c r="Q197" t="str">
        <f t="shared" si="26"/>
        <v>Canada</v>
      </c>
      <c r="R197">
        <v>2021</v>
      </c>
      <c r="S197">
        <v>10</v>
      </c>
      <c r="T197">
        <v>2</v>
      </c>
      <c r="U197">
        <v>19</v>
      </c>
      <c r="Y197" s="4">
        <f t="shared" si="27"/>
        <v>19</v>
      </c>
    </row>
    <row r="198" spans="1:25" ht="18" x14ac:dyDescent="0.25">
      <c r="A198" t="s">
        <v>710</v>
      </c>
      <c r="B198" t="s">
        <v>711</v>
      </c>
      <c r="C198" s="12" t="str">
        <f t="shared" si="21"/>
        <v>Neutral</v>
      </c>
      <c r="D198" s="18">
        <f t="shared" si="22"/>
        <v>0</v>
      </c>
      <c r="E198" s="1">
        <v>45031.427083333336</v>
      </c>
      <c r="F198" s="10">
        <f>INT(E198)</f>
        <v>45031</v>
      </c>
      <c r="G198" s="15">
        <f>MOD(E198,2)</f>
        <v>1.4270833333357587</v>
      </c>
      <c r="H198" s="15" t="str">
        <f t="shared" si="23"/>
        <v>10:15</v>
      </c>
      <c r="I198" t="s">
        <v>712</v>
      </c>
      <c r="J198" t="s">
        <v>16</v>
      </c>
      <c r="K198" t="str">
        <f t="shared" si="24"/>
        <v>Twitter</v>
      </c>
      <c r="L198" t="s">
        <v>713</v>
      </c>
      <c r="M198">
        <v>15</v>
      </c>
      <c r="N198">
        <v>30</v>
      </c>
      <c r="O198">
        <f t="shared" si="25"/>
        <v>45</v>
      </c>
      <c r="P198" t="s">
        <v>204</v>
      </c>
      <c r="Q198" t="str">
        <f t="shared" si="26"/>
        <v>USA</v>
      </c>
      <c r="R198">
        <v>2023</v>
      </c>
      <c r="S198">
        <v>4</v>
      </c>
      <c r="T198">
        <v>15</v>
      </c>
      <c r="U198">
        <v>10</v>
      </c>
      <c r="Y198" s="4">
        <f t="shared" si="27"/>
        <v>10</v>
      </c>
    </row>
    <row r="199" spans="1:25" ht="18" x14ac:dyDescent="0.25">
      <c r="A199" t="s">
        <v>714</v>
      </c>
      <c r="B199" t="s">
        <v>715</v>
      </c>
      <c r="C199" s="12" t="str">
        <f t="shared" si="21"/>
        <v>Neutral</v>
      </c>
      <c r="D199" s="18">
        <f t="shared" si="22"/>
        <v>0</v>
      </c>
      <c r="E199" s="1">
        <v>44893.729166666664</v>
      </c>
      <c r="F199" s="10">
        <f>INT(E199)</f>
        <v>44893</v>
      </c>
      <c r="G199" s="15">
        <f>MOD(E199,2)</f>
        <v>1.7291666666642413</v>
      </c>
      <c r="H199" s="15" t="str">
        <f t="shared" si="23"/>
        <v>17:30</v>
      </c>
      <c r="I199" t="s">
        <v>716</v>
      </c>
      <c r="J199" t="s">
        <v>26</v>
      </c>
      <c r="K199" t="str">
        <f t="shared" si="24"/>
        <v>Instagram</v>
      </c>
      <c r="L199" t="s">
        <v>717</v>
      </c>
      <c r="M199">
        <v>7</v>
      </c>
      <c r="N199">
        <v>15</v>
      </c>
      <c r="O199">
        <f t="shared" si="25"/>
        <v>22</v>
      </c>
      <c r="P199" t="s">
        <v>593</v>
      </c>
      <c r="Q199" t="str">
        <f t="shared" si="26"/>
        <v>Canada</v>
      </c>
      <c r="R199">
        <v>2022</v>
      </c>
      <c r="S199">
        <v>11</v>
      </c>
      <c r="T199">
        <v>28</v>
      </c>
      <c r="U199">
        <v>17</v>
      </c>
      <c r="Y199" s="4">
        <f t="shared" si="27"/>
        <v>17</v>
      </c>
    </row>
    <row r="200" spans="1:25" ht="18" x14ac:dyDescent="0.25">
      <c r="A200" t="s">
        <v>718</v>
      </c>
      <c r="B200" t="s">
        <v>719</v>
      </c>
      <c r="C200" s="12" t="str">
        <f t="shared" si="21"/>
        <v>Neutral</v>
      </c>
      <c r="D200" s="18">
        <f t="shared" si="22"/>
        <v>0</v>
      </c>
      <c r="E200" s="1">
        <v>43923.40625</v>
      </c>
      <c r="F200" s="10">
        <f>INT(E200)</f>
        <v>43923</v>
      </c>
      <c r="G200" s="15">
        <f>MOD(E200,2)</f>
        <v>1.40625</v>
      </c>
      <c r="H200" s="15" t="str">
        <f t="shared" si="23"/>
        <v>09:45</v>
      </c>
      <c r="I200" t="s">
        <v>720</v>
      </c>
      <c r="J200" t="s">
        <v>31</v>
      </c>
      <c r="K200" t="str">
        <f t="shared" si="24"/>
        <v>Facebook</v>
      </c>
      <c r="L200" t="s">
        <v>721</v>
      </c>
      <c r="M200">
        <v>10</v>
      </c>
      <c r="N200">
        <v>20</v>
      </c>
      <c r="O200">
        <f t="shared" si="25"/>
        <v>30</v>
      </c>
      <c r="P200" t="s">
        <v>231</v>
      </c>
      <c r="Q200" t="str">
        <f t="shared" si="26"/>
        <v>UK</v>
      </c>
      <c r="R200">
        <v>2020</v>
      </c>
      <c r="S200">
        <v>4</v>
      </c>
      <c r="T200">
        <v>2</v>
      </c>
      <c r="U200">
        <v>9</v>
      </c>
      <c r="Y200" s="4">
        <f t="shared" si="27"/>
        <v>9</v>
      </c>
    </row>
    <row r="201" spans="1:25" ht="18" x14ac:dyDescent="0.25">
      <c r="A201" t="s">
        <v>722</v>
      </c>
      <c r="B201" t="s">
        <v>723</v>
      </c>
      <c r="C201" s="12" t="str">
        <f t="shared" si="21"/>
        <v>Neutral</v>
      </c>
      <c r="D201" s="18">
        <f t="shared" si="22"/>
        <v>0</v>
      </c>
      <c r="E201" s="1">
        <v>44418.583333333336</v>
      </c>
      <c r="F201" s="10">
        <f>INT(E201)</f>
        <v>44418</v>
      </c>
      <c r="G201" s="15">
        <f>MOD(E201,2)</f>
        <v>0.58333333333575865</v>
      </c>
      <c r="H201" s="15" t="str">
        <f t="shared" si="23"/>
        <v>14:00</v>
      </c>
      <c r="I201" t="s">
        <v>724</v>
      </c>
      <c r="J201" t="s">
        <v>16</v>
      </c>
      <c r="K201" t="str">
        <f t="shared" si="24"/>
        <v>Twitter</v>
      </c>
      <c r="L201" t="s">
        <v>725</v>
      </c>
      <c r="M201">
        <v>8</v>
      </c>
      <c r="N201">
        <v>15</v>
      </c>
      <c r="O201">
        <f t="shared" si="25"/>
        <v>23</v>
      </c>
      <c r="P201" t="s">
        <v>602</v>
      </c>
      <c r="Q201" t="str">
        <f t="shared" si="26"/>
        <v>India</v>
      </c>
      <c r="R201">
        <v>2021</v>
      </c>
      <c r="S201">
        <v>8</v>
      </c>
      <c r="T201">
        <v>10</v>
      </c>
      <c r="U201">
        <v>14</v>
      </c>
      <c r="Y201" s="4">
        <f t="shared" si="27"/>
        <v>14</v>
      </c>
    </row>
    <row r="202" spans="1:25" ht="18" x14ac:dyDescent="0.25">
      <c r="A202" t="s">
        <v>726</v>
      </c>
      <c r="B202" t="s">
        <v>727</v>
      </c>
      <c r="C202" s="12" t="str">
        <f t="shared" si="21"/>
        <v>Negative</v>
      </c>
      <c r="D202" s="18">
        <f t="shared" si="22"/>
        <v>-1</v>
      </c>
      <c r="E202" s="1">
        <v>43634.864583333336</v>
      </c>
      <c r="F202" s="10">
        <f>INT(E202)</f>
        <v>43634</v>
      </c>
      <c r="G202" s="15">
        <f>MOD(E202,2)</f>
        <v>0.86458333333575865</v>
      </c>
      <c r="H202" s="15" t="str">
        <f t="shared" si="23"/>
        <v>20:45</v>
      </c>
      <c r="I202" t="s">
        <v>728</v>
      </c>
      <c r="J202" t="s">
        <v>26</v>
      </c>
      <c r="K202" t="str">
        <f t="shared" si="24"/>
        <v>Instagram</v>
      </c>
      <c r="L202" t="s">
        <v>729</v>
      </c>
      <c r="M202">
        <v>12</v>
      </c>
      <c r="N202">
        <v>25</v>
      </c>
      <c r="O202">
        <f t="shared" si="25"/>
        <v>37</v>
      </c>
      <c r="P202" t="s">
        <v>607</v>
      </c>
      <c r="Q202" t="str">
        <f t="shared" si="26"/>
        <v>Australia</v>
      </c>
      <c r="R202">
        <v>2019</v>
      </c>
      <c r="S202">
        <v>6</v>
      </c>
      <c r="T202">
        <v>18</v>
      </c>
      <c r="U202">
        <v>20</v>
      </c>
      <c r="Y202" s="4">
        <f t="shared" si="27"/>
        <v>20</v>
      </c>
    </row>
    <row r="203" spans="1:25" ht="18" x14ac:dyDescent="0.25">
      <c r="A203" t="s">
        <v>730</v>
      </c>
      <c r="B203" t="s">
        <v>731</v>
      </c>
      <c r="C203" s="12" t="str">
        <f t="shared" si="21"/>
        <v>Neutral</v>
      </c>
      <c r="D203" s="18">
        <f t="shared" si="22"/>
        <v>0</v>
      </c>
      <c r="E203" s="1">
        <v>43136.635416666664</v>
      </c>
      <c r="F203" s="10">
        <f>INT(E203)</f>
        <v>43136</v>
      </c>
      <c r="G203" s="15">
        <f>MOD(E203,2)</f>
        <v>0.63541666666424135</v>
      </c>
      <c r="H203" s="15" t="str">
        <f t="shared" si="23"/>
        <v>15:15</v>
      </c>
      <c r="I203" t="s">
        <v>732</v>
      </c>
      <c r="J203" t="s">
        <v>31</v>
      </c>
      <c r="K203" t="str">
        <f t="shared" si="24"/>
        <v>Facebook</v>
      </c>
      <c r="L203" t="s">
        <v>733</v>
      </c>
      <c r="M203">
        <v>10</v>
      </c>
      <c r="N203">
        <v>20</v>
      </c>
      <c r="O203">
        <f t="shared" si="25"/>
        <v>30</v>
      </c>
      <c r="P203" t="s">
        <v>204</v>
      </c>
      <c r="Q203" t="str">
        <f t="shared" si="26"/>
        <v>USA</v>
      </c>
      <c r="R203">
        <v>2018</v>
      </c>
      <c r="S203">
        <v>2</v>
      </c>
      <c r="T203">
        <v>5</v>
      </c>
      <c r="U203">
        <v>15</v>
      </c>
      <c r="Y203" s="4">
        <f t="shared" si="27"/>
        <v>15</v>
      </c>
    </row>
    <row r="204" spans="1:25" ht="18" x14ac:dyDescent="0.25">
      <c r="A204" t="s">
        <v>734</v>
      </c>
      <c r="B204" t="s">
        <v>735</v>
      </c>
      <c r="C204" s="12" t="str">
        <f t="shared" si="21"/>
        <v>Neutral</v>
      </c>
      <c r="D204" s="18">
        <f t="shared" si="22"/>
        <v>0</v>
      </c>
      <c r="E204" s="1">
        <v>44711.479166666664</v>
      </c>
      <c r="F204" s="10">
        <f>INT(E204)</f>
        <v>44711</v>
      </c>
      <c r="G204" s="15">
        <f>MOD(E204,2)</f>
        <v>1.4791666666642413</v>
      </c>
      <c r="H204" s="15" t="str">
        <f t="shared" si="23"/>
        <v>11:30</v>
      </c>
      <c r="I204" t="s">
        <v>736</v>
      </c>
      <c r="J204" t="s">
        <v>16</v>
      </c>
      <c r="K204" t="str">
        <f t="shared" si="24"/>
        <v>Twitter</v>
      </c>
      <c r="L204" t="s">
        <v>737</v>
      </c>
      <c r="M204">
        <v>12</v>
      </c>
      <c r="N204">
        <v>25</v>
      </c>
      <c r="O204">
        <f t="shared" si="25"/>
        <v>37</v>
      </c>
      <c r="P204" t="s">
        <v>616</v>
      </c>
      <c r="Q204" t="str">
        <f t="shared" si="26"/>
        <v>Canada</v>
      </c>
      <c r="R204">
        <v>2022</v>
      </c>
      <c r="S204">
        <v>5</v>
      </c>
      <c r="T204">
        <v>30</v>
      </c>
      <c r="U204">
        <v>11</v>
      </c>
      <c r="Y204" s="4">
        <f t="shared" si="27"/>
        <v>11</v>
      </c>
    </row>
    <row r="205" spans="1:25" ht="18" x14ac:dyDescent="0.25">
      <c r="A205" t="s">
        <v>738</v>
      </c>
      <c r="B205" t="s">
        <v>739</v>
      </c>
      <c r="C205" s="12" t="str">
        <f t="shared" si="21"/>
        <v>Positive</v>
      </c>
      <c r="D205" s="18">
        <f t="shared" si="22"/>
        <v>1</v>
      </c>
      <c r="E205" s="1">
        <v>44936.680555555555</v>
      </c>
      <c r="F205" s="10">
        <f>INT(E205)</f>
        <v>44936</v>
      </c>
      <c r="G205" s="15">
        <f>MOD(E205,2)</f>
        <v>0.68055555555474712</v>
      </c>
      <c r="H205" s="15" t="str">
        <f t="shared" si="23"/>
        <v>16:20</v>
      </c>
      <c r="I205" t="s">
        <v>740</v>
      </c>
      <c r="J205" t="s">
        <v>26</v>
      </c>
      <c r="K205" t="str">
        <f t="shared" si="24"/>
        <v>Instagram</v>
      </c>
      <c r="L205" t="s">
        <v>342</v>
      </c>
      <c r="M205">
        <v>15</v>
      </c>
      <c r="N205">
        <v>30</v>
      </c>
      <c r="O205">
        <f t="shared" si="25"/>
        <v>45</v>
      </c>
      <c r="P205" t="s">
        <v>231</v>
      </c>
      <c r="Q205" t="str">
        <f t="shared" si="26"/>
        <v>UK</v>
      </c>
      <c r="R205">
        <v>2023</v>
      </c>
      <c r="S205">
        <v>1</v>
      </c>
      <c r="T205">
        <v>10</v>
      </c>
      <c r="U205">
        <v>16</v>
      </c>
      <c r="Y205" s="4">
        <f t="shared" si="27"/>
        <v>16</v>
      </c>
    </row>
    <row r="206" spans="1:25" ht="18" x14ac:dyDescent="0.25">
      <c r="A206" t="s">
        <v>741</v>
      </c>
      <c r="B206" t="s">
        <v>742</v>
      </c>
      <c r="C206" s="12" t="str">
        <f t="shared" si="21"/>
        <v>Positive</v>
      </c>
      <c r="D206" s="18">
        <f t="shared" si="22"/>
        <v>1</v>
      </c>
      <c r="E206" s="1">
        <v>44092.572916666664</v>
      </c>
      <c r="F206" s="10">
        <f>INT(E206)</f>
        <v>44092</v>
      </c>
      <c r="G206" s="15">
        <f>MOD(E206,2)</f>
        <v>0.57291666666424135</v>
      </c>
      <c r="H206" s="15" t="str">
        <f t="shared" si="23"/>
        <v>13:45</v>
      </c>
      <c r="I206" t="s">
        <v>743</v>
      </c>
      <c r="J206" t="s">
        <v>31</v>
      </c>
      <c r="K206" t="str">
        <f t="shared" si="24"/>
        <v>Facebook</v>
      </c>
      <c r="L206" t="s">
        <v>744</v>
      </c>
      <c r="M206">
        <v>10</v>
      </c>
      <c r="N206">
        <v>20</v>
      </c>
      <c r="O206">
        <f t="shared" si="25"/>
        <v>30</v>
      </c>
      <c r="P206" t="s">
        <v>602</v>
      </c>
      <c r="Q206" t="str">
        <f t="shared" si="26"/>
        <v>India</v>
      </c>
      <c r="R206">
        <v>2020</v>
      </c>
      <c r="S206">
        <v>9</v>
      </c>
      <c r="T206">
        <v>18</v>
      </c>
      <c r="U206">
        <v>13</v>
      </c>
      <c r="Y206" s="4">
        <f t="shared" si="27"/>
        <v>13</v>
      </c>
    </row>
    <row r="207" spans="1:25" ht="18" x14ac:dyDescent="0.25">
      <c r="A207" t="s">
        <v>745</v>
      </c>
      <c r="B207" t="s">
        <v>746</v>
      </c>
      <c r="C207" s="12" t="str">
        <f t="shared" si="21"/>
        <v>Positive</v>
      </c>
      <c r="D207" s="18">
        <f t="shared" si="22"/>
        <v>1</v>
      </c>
      <c r="E207" s="1">
        <v>44380.791666666664</v>
      </c>
      <c r="F207" s="10">
        <f>INT(E207)</f>
        <v>44380</v>
      </c>
      <c r="G207" s="15">
        <f>MOD(E207,2)</f>
        <v>0.79166666666424135</v>
      </c>
      <c r="H207" s="15" t="str">
        <f t="shared" si="23"/>
        <v>19:00</v>
      </c>
      <c r="I207" t="s">
        <v>747</v>
      </c>
      <c r="J207" t="s">
        <v>16</v>
      </c>
      <c r="K207" t="str">
        <f t="shared" si="24"/>
        <v>Twitter</v>
      </c>
      <c r="L207" t="s">
        <v>748</v>
      </c>
      <c r="M207">
        <v>12</v>
      </c>
      <c r="N207">
        <v>25</v>
      </c>
      <c r="O207">
        <f t="shared" si="25"/>
        <v>37</v>
      </c>
      <c r="P207" t="s">
        <v>294</v>
      </c>
      <c r="Q207" t="str">
        <f t="shared" si="26"/>
        <v>Australia</v>
      </c>
      <c r="R207">
        <v>2021</v>
      </c>
      <c r="S207">
        <v>7</v>
      </c>
      <c r="T207">
        <v>3</v>
      </c>
      <c r="U207">
        <v>19</v>
      </c>
      <c r="Y207" s="4">
        <f t="shared" si="27"/>
        <v>19</v>
      </c>
    </row>
    <row r="208" spans="1:25" ht="18" x14ac:dyDescent="0.25">
      <c r="A208" t="s">
        <v>749</v>
      </c>
      <c r="B208" t="s">
        <v>711</v>
      </c>
      <c r="C208" s="12" t="str">
        <f t="shared" si="21"/>
        <v>Neutral</v>
      </c>
      <c r="D208" s="18">
        <f t="shared" si="22"/>
        <v>0</v>
      </c>
      <c r="E208" s="1">
        <v>44842.34375</v>
      </c>
      <c r="F208" s="10">
        <f>INT(E208)</f>
        <v>44842</v>
      </c>
      <c r="G208" s="15">
        <f>MOD(E208,2)</f>
        <v>0.34375</v>
      </c>
      <c r="H208" s="15" t="str">
        <f t="shared" si="23"/>
        <v>08:15</v>
      </c>
      <c r="I208" t="s">
        <v>750</v>
      </c>
      <c r="J208" t="s">
        <v>26</v>
      </c>
      <c r="K208" t="str">
        <f t="shared" si="24"/>
        <v>Instagram</v>
      </c>
      <c r="L208" t="s">
        <v>751</v>
      </c>
      <c r="M208">
        <v>20</v>
      </c>
      <c r="N208">
        <v>40</v>
      </c>
      <c r="O208">
        <f t="shared" si="25"/>
        <v>60</v>
      </c>
      <c r="P208" t="s">
        <v>204</v>
      </c>
      <c r="Q208" t="str">
        <f t="shared" si="26"/>
        <v>USA</v>
      </c>
      <c r="R208">
        <v>2022</v>
      </c>
      <c r="S208">
        <v>10</v>
      </c>
      <c r="T208">
        <v>8</v>
      </c>
      <c r="U208">
        <v>8</v>
      </c>
      <c r="Y208" s="4">
        <f t="shared" si="27"/>
        <v>8</v>
      </c>
    </row>
    <row r="209" spans="1:25" ht="18" x14ac:dyDescent="0.25">
      <c r="A209" t="s">
        <v>752</v>
      </c>
      <c r="B209" t="s">
        <v>715</v>
      </c>
      <c r="C209" s="12" t="str">
        <f t="shared" si="21"/>
        <v>Neutral</v>
      </c>
      <c r="D209" s="18">
        <f t="shared" si="22"/>
        <v>0</v>
      </c>
      <c r="E209" s="1">
        <v>45007.6875</v>
      </c>
      <c r="F209" s="10">
        <f>INT(E209)</f>
        <v>45007</v>
      </c>
      <c r="G209" s="15">
        <f>MOD(E209,2)</f>
        <v>1.6875</v>
      </c>
      <c r="H209" s="15" t="str">
        <f t="shared" si="23"/>
        <v>16:30</v>
      </c>
      <c r="I209" t="s">
        <v>753</v>
      </c>
      <c r="J209" t="s">
        <v>31</v>
      </c>
      <c r="K209" t="str">
        <f t="shared" si="24"/>
        <v>Facebook</v>
      </c>
      <c r="L209" t="s">
        <v>754</v>
      </c>
      <c r="M209">
        <v>10</v>
      </c>
      <c r="N209">
        <v>20</v>
      </c>
      <c r="O209">
        <f t="shared" si="25"/>
        <v>30</v>
      </c>
      <c r="P209" t="s">
        <v>616</v>
      </c>
      <c r="Q209" t="str">
        <f t="shared" si="26"/>
        <v>Canada</v>
      </c>
      <c r="R209">
        <v>2023</v>
      </c>
      <c r="S209">
        <v>3</v>
      </c>
      <c r="T209">
        <v>22</v>
      </c>
      <c r="U209">
        <v>16</v>
      </c>
      <c r="Y209" s="4">
        <f t="shared" si="27"/>
        <v>16</v>
      </c>
    </row>
    <row r="210" spans="1:25" ht="18" x14ac:dyDescent="0.25">
      <c r="A210" t="s">
        <v>755</v>
      </c>
      <c r="B210" t="s">
        <v>719</v>
      </c>
      <c r="C210" s="12" t="str">
        <f t="shared" si="21"/>
        <v>Neutral</v>
      </c>
      <c r="D210" s="18">
        <f t="shared" si="22"/>
        <v>0</v>
      </c>
      <c r="E210" s="1">
        <v>44331.489583333336</v>
      </c>
      <c r="F210" s="10">
        <f>INT(E210)</f>
        <v>44331</v>
      </c>
      <c r="G210" s="15">
        <f>MOD(E210,2)</f>
        <v>1.4895833333357587</v>
      </c>
      <c r="H210" s="15" t="str">
        <f t="shared" si="23"/>
        <v>11:45</v>
      </c>
      <c r="I210" t="s">
        <v>756</v>
      </c>
      <c r="J210" t="s">
        <v>16</v>
      </c>
      <c r="K210" t="str">
        <f t="shared" si="24"/>
        <v>Twitter</v>
      </c>
      <c r="L210" t="s">
        <v>757</v>
      </c>
      <c r="M210">
        <v>15</v>
      </c>
      <c r="N210">
        <v>30</v>
      </c>
      <c r="O210">
        <f t="shared" si="25"/>
        <v>45</v>
      </c>
      <c r="P210" t="s">
        <v>367</v>
      </c>
      <c r="Q210" t="str">
        <f t="shared" si="26"/>
        <v>UK</v>
      </c>
      <c r="R210">
        <v>2021</v>
      </c>
      <c r="S210">
        <v>5</v>
      </c>
      <c r="T210">
        <v>15</v>
      </c>
      <c r="U210">
        <v>11</v>
      </c>
      <c r="Y210" s="4">
        <f t="shared" si="27"/>
        <v>11</v>
      </c>
    </row>
    <row r="211" spans="1:25" ht="18" x14ac:dyDescent="0.25">
      <c r="A211" t="s">
        <v>758</v>
      </c>
      <c r="B211" t="s">
        <v>723</v>
      </c>
      <c r="C211" s="12" t="str">
        <f t="shared" si="21"/>
        <v>Neutral</v>
      </c>
      <c r="D211" s="18">
        <f t="shared" si="22"/>
        <v>0</v>
      </c>
      <c r="E211" s="1">
        <v>43827.604166666664</v>
      </c>
      <c r="F211" s="10">
        <f>INT(E211)</f>
        <v>43827</v>
      </c>
      <c r="G211" s="15">
        <f>MOD(E211,2)</f>
        <v>1.6041666666642413</v>
      </c>
      <c r="H211" s="15" t="str">
        <f t="shared" si="23"/>
        <v>14:30</v>
      </c>
      <c r="I211" t="s">
        <v>759</v>
      </c>
      <c r="J211" t="s">
        <v>26</v>
      </c>
      <c r="K211" t="str">
        <f t="shared" si="24"/>
        <v>Instagram</v>
      </c>
      <c r="L211" t="s">
        <v>760</v>
      </c>
      <c r="M211">
        <v>8</v>
      </c>
      <c r="N211">
        <v>15</v>
      </c>
      <c r="O211">
        <f t="shared" si="25"/>
        <v>23</v>
      </c>
      <c r="P211" t="s">
        <v>607</v>
      </c>
      <c r="Q211" t="str">
        <f t="shared" si="26"/>
        <v>Australia</v>
      </c>
      <c r="R211">
        <v>2019</v>
      </c>
      <c r="S211">
        <v>12</v>
      </c>
      <c r="T211">
        <v>28</v>
      </c>
      <c r="U211">
        <v>14</v>
      </c>
      <c r="Y211" s="4">
        <f t="shared" si="27"/>
        <v>14</v>
      </c>
    </row>
    <row r="212" spans="1:25" ht="18" x14ac:dyDescent="0.25">
      <c r="A212" t="s">
        <v>761</v>
      </c>
      <c r="B212" t="s">
        <v>727</v>
      </c>
      <c r="C212" s="12" t="str">
        <f t="shared" si="21"/>
        <v>Negative</v>
      </c>
      <c r="D212" s="18">
        <f t="shared" si="22"/>
        <v>-1</v>
      </c>
      <c r="E212" s="1">
        <v>43891.791666666664</v>
      </c>
      <c r="F212" s="10">
        <f>INT(E212)</f>
        <v>43891</v>
      </c>
      <c r="G212" s="15">
        <f>MOD(E212,2)</f>
        <v>1.7916666666642413</v>
      </c>
      <c r="H212" s="15" t="str">
        <f t="shared" si="23"/>
        <v>19:00</v>
      </c>
      <c r="I212" t="s">
        <v>762</v>
      </c>
      <c r="J212" t="s">
        <v>31</v>
      </c>
      <c r="K212" t="str">
        <f t="shared" si="24"/>
        <v>Facebook</v>
      </c>
      <c r="L212" t="s">
        <v>763</v>
      </c>
      <c r="M212">
        <v>12</v>
      </c>
      <c r="N212">
        <v>25</v>
      </c>
      <c r="O212">
        <f t="shared" si="25"/>
        <v>37</v>
      </c>
      <c r="P212" t="s">
        <v>655</v>
      </c>
      <c r="Q212" t="str">
        <f t="shared" si="26"/>
        <v>India</v>
      </c>
      <c r="R212">
        <v>2020</v>
      </c>
      <c r="S212">
        <v>3</v>
      </c>
      <c r="T212">
        <v>1</v>
      </c>
      <c r="U212">
        <v>19</v>
      </c>
      <c r="Y212" s="4">
        <f t="shared" si="27"/>
        <v>19</v>
      </c>
    </row>
    <row r="213" spans="1:25" ht="18" x14ac:dyDescent="0.25">
      <c r="A213" t="s">
        <v>764</v>
      </c>
      <c r="B213" t="s">
        <v>731</v>
      </c>
      <c r="C213" s="12" t="str">
        <f t="shared" si="21"/>
        <v>Neutral</v>
      </c>
      <c r="D213" s="18">
        <f t="shared" si="22"/>
        <v>0</v>
      </c>
      <c r="E213" s="1">
        <v>43291.65625</v>
      </c>
      <c r="F213" s="10">
        <f>INT(E213)</f>
        <v>43291</v>
      </c>
      <c r="G213" s="15">
        <f>MOD(E213,2)</f>
        <v>1.65625</v>
      </c>
      <c r="H213" s="15" t="str">
        <f t="shared" si="23"/>
        <v>15:45</v>
      </c>
      <c r="I213" t="s">
        <v>765</v>
      </c>
      <c r="J213" t="s">
        <v>16</v>
      </c>
      <c r="K213" t="str">
        <f t="shared" si="24"/>
        <v>Twitter</v>
      </c>
      <c r="L213" t="s">
        <v>766</v>
      </c>
      <c r="M213">
        <v>10</v>
      </c>
      <c r="N213">
        <v>20</v>
      </c>
      <c r="O213">
        <f t="shared" si="25"/>
        <v>30</v>
      </c>
      <c r="P213" t="s">
        <v>616</v>
      </c>
      <c r="Q213" t="str">
        <f t="shared" si="26"/>
        <v>Canada</v>
      </c>
      <c r="R213">
        <v>2018</v>
      </c>
      <c r="S213">
        <v>7</v>
      </c>
      <c r="T213">
        <v>10</v>
      </c>
      <c r="U213">
        <v>15</v>
      </c>
      <c r="Y213" s="4">
        <f t="shared" si="27"/>
        <v>15</v>
      </c>
    </row>
    <row r="214" spans="1:25" ht="18" x14ac:dyDescent="0.25">
      <c r="A214" t="s">
        <v>767</v>
      </c>
      <c r="B214" t="s">
        <v>735</v>
      </c>
      <c r="C214" s="12" t="str">
        <f t="shared" si="21"/>
        <v>Neutral</v>
      </c>
      <c r="D214" s="18">
        <f t="shared" si="22"/>
        <v>0</v>
      </c>
      <c r="E214" s="1">
        <v>44566.4375</v>
      </c>
      <c r="F214" s="10">
        <f>INT(E214)</f>
        <v>44566</v>
      </c>
      <c r="G214" s="15">
        <f>MOD(E214,2)</f>
        <v>0.4375</v>
      </c>
      <c r="H214" s="15" t="str">
        <f t="shared" si="23"/>
        <v>10:30</v>
      </c>
      <c r="I214" t="s">
        <v>768</v>
      </c>
      <c r="J214" t="s">
        <v>26</v>
      </c>
      <c r="K214" t="str">
        <f t="shared" si="24"/>
        <v>Instagram</v>
      </c>
      <c r="L214" t="s">
        <v>769</v>
      </c>
      <c r="M214">
        <v>12</v>
      </c>
      <c r="N214">
        <v>25</v>
      </c>
      <c r="O214">
        <f t="shared" si="25"/>
        <v>37</v>
      </c>
      <c r="P214" t="s">
        <v>367</v>
      </c>
      <c r="Q214" t="str">
        <f t="shared" si="26"/>
        <v>UK</v>
      </c>
      <c r="R214">
        <v>2022</v>
      </c>
      <c r="S214">
        <v>1</v>
      </c>
      <c r="T214">
        <v>5</v>
      </c>
      <c r="U214">
        <v>10</v>
      </c>
      <c r="Y214" s="4">
        <f t="shared" si="27"/>
        <v>10</v>
      </c>
    </row>
    <row r="215" spans="1:25" ht="18" x14ac:dyDescent="0.25">
      <c r="A215" t="s">
        <v>770</v>
      </c>
      <c r="B215" t="s">
        <v>739</v>
      </c>
      <c r="C215" s="12" t="str">
        <f t="shared" si="21"/>
        <v>Positive</v>
      </c>
      <c r="D215" s="18">
        <f t="shared" si="22"/>
        <v>1</v>
      </c>
      <c r="E215" s="1">
        <v>44428.680555555555</v>
      </c>
      <c r="F215" s="10">
        <f>INT(E215)</f>
        <v>44428</v>
      </c>
      <c r="G215" s="15">
        <f>MOD(E215,2)</f>
        <v>0.68055555555474712</v>
      </c>
      <c r="H215" s="15" t="str">
        <f t="shared" si="23"/>
        <v>16:20</v>
      </c>
      <c r="I215" t="s">
        <v>771</v>
      </c>
      <c r="J215" t="s">
        <v>31</v>
      </c>
      <c r="K215" t="str">
        <f t="shared" si="24"/>
        <v>Facebook</v>
      </c>
      <c r="L215" t="s">
        <v>772</v>
      </c>
      <c r="M215">
        <v>15</v>
      </c>
      <c r="N215">
        <v>30</v>
      </c>
      <c r="O215">
        <f t="shared" si="25"/>
        <v>45</v>
      </c>
      <c r="P215" t="s">
        <v>294</v>
      </c>
      <c r="Q215" t="str">
        <f t="shared" si="26"/>
        <v>Australia</v>
      </c>
      <c r="R215">
        <v>2021</v>
      </c>
      <c r="S215">
        <v>8</v>
      </c>
      <c r="T215">
        <v>20</v>
      </c>
      <c r="U215">
        <v>16</v>
      </c>
      <c r="Y215" s="4">
        <f t="shared" si="27"/>
        <v>16</v>
      </c>
    </row>
    <row r="216" spans="1:25" ht="18" x14ac:dyDescent="0.25">
      <c r="A216" t="s">
        <v>773</v>
      </c>
      <c r="B216" t="s">
        <v>742</v>
      </c>
      <c r="C216" s="12" t="str">
        <f t="shared" si="21"/>
        <v>Positive</v>
      </c>
      <c r="D216" s="18">
        <f t="shared" si="22"/>
        <v>1</v>
      </c>
      <c r="E216" s="1">
        <v>43772.572916666664</v>
      </c>
      <c r="F216" s="10">
        <f>INT(E216)</f>
        <v>43772</v>
      </c>
      <c r="G216" s="15">
        <f>MOD(E216,2)</f>
        <v>0.57291666666424135</v>
      </c>
      <c r="H216" s="15" t="str">
        <f t="shared" si="23"/>
        <v>13:45</v>
      </c>
      <c r="I216" t="s">
        <v>774</v>
      </c>
      <c r="J216" t="s">
        <v>16</v>
      </c>
      <c r="K216" t="str">
        <f t="shared" si="24"/>
        <v>Twitter</v>
      </c>
      <c r="L216" t="s">
        <v>775</v>
      </c>
      <c r="M216">
        <v>18</v>
      </c>
      <c r="N216">
        <v>35</v>
      </c>
      <c r="O216">
        <f t="shared" si="25"/>
        <v>53</v>
      </c>
      <c r="P216" t="s">
        <v>204</v>
      </c>
      <c r="Q216" t="str">
        <f t="shared" si="26"/>
        <v>USA</v>
      </c>
      <c r="R216">
        <v>2019</v>
      </c>
      <c r="S216">
        <v>11</v>
      </c>
      <c r="T216">
        <v>3</v>
      </c>
      <c r="U216">
        <v>13</v>
      </c>
      <c r="Y216" s="4">
        <f t="shared" si="27"/>
        <v>13</v>
      </c>
    </row>
    <row r="217" spans="1:25" ht="18" x14ac:dyDescent="0.25">
      <c r="A217" t="s">
        <v>776</v>
      </c>
      <c r="B217" t="s">
        <v>746</v>
      </c>
      <c r="C217" s="12" t="str">
        <f t="shared" si="21"/>
        <v>Positive</v>
      </c>
      <c r="D217" s="18">
        <f t="shared" si="22"/>
        <v>1</v>
      </c>
      <c r="E217" s="1">
        <v>43933.8125</v>
      </c>
      <c r="F217" s="10">
        <f>INT(E217)</f>
        <v>43933</v>
      </c>
      <c r="G217" s="15">
        <f>MOD(E217,2)</f>
        <v>1.8125</v>
      </c>
      <c r="H217" s="15" t="str">
        <f t="shared" si="23"/>
        <v>19:30</v>
      </c>
      <c r="I217" t="s">
        <v>777</v>
      </c>
      <c r="J217" t="s">
        <v>26</v>
      </c>
      <c r="K217" t="str">
        <f t="shared" si="24"/>
        <v>Instagram</v>
      </c>
      <c r="L217" t="s">
        <v>778</v>
      </c>
      <c r="M217">
        <v>25</v>
      </c>
      <c r="N217">
        <v>50</v>
      </c>
      <c r="O217">
        <f t="shared" si="25"/>
        <v>75</v>
      </c>
      <c r="P217" t="s">
        <v>616</v>
      </c>
      <c r="Q217" t="str">
        <f t="shared" si="26"/>
        <v>Canada</v>
      </c>
      <c r="R217">
        <v>2020</v>
      </c>
      <c r="S217">
        <v>4</v>
      </c>
      <c r="T217">
        <v>12</v>
      </c>
      <c r="U217">
        <v>19</v>
      </c>
      <c r="Y217" s="4">
        <f t="shared" si="27"/>
        <v>19</v>
      </c>
    </row>
    <row r="218" spans="1:25" ht="18" x14ac:dyDescent="0.25">
      <c r="A218" t="s">
        <v>779</v>
      </c>
      <c r="B218" t="s">
        <v>711</v>
      </c>
      <c r="C218" s="12" t="str">
        <f t="shared" si="21"/>
        <v>Neutral</v>
      </c>
      <c r="D218" s="18">
        <f t="shared" si="22"/>
        <v>0</v>
      </c>
      <c r="E218" s="1">
        <v>44666.364583333336</v>
      </c>
      <c r="F218" s="10">
        <f>INT(E218)</f>
        <v>44666</v>
      </c>
      <c r="G218" s="15">
        <f>MOD(E218,2)</f>
        <v>0.36458333333575865</v>
      </c>
      <c r="H218" s="15" t="str">
        <f t="shared" si="23"/>
        <v>08:45</v>
      </c>
      <c r="I218" t="s">
        <v>780</v>
      </c>
      <c r="J218" t="s">
        <v>31</v>
      </c>
      <c r="K218" t="str">
        <f t="shared" si="24"/>
        <v>Facebook</v>
      </c>
      <c r="L218" t="s">
        <v>781</v>
      </c>
      <c r="M218">
        <v>22</v>
      </c>
      <c r="N218">
        <v>45</v>
      </c>
      <c r="O218">
        <f t="shared" si="25"/>
        <v>67</v>
      </c>
      <c r="P218" t="s">
        <v>655</v>
      </c>
      <c r="Q218" t="str">
        <f t="shared" si="26"/>
        <v>India</v>
      </c>
      <c r="R218">
        <v>2022</v>
      </c>
      <c r="S218">
        <v>4</v>
      </c>
      <c r="T218">
        <v>15</v>
      </c>
      <c r="U218">
        <v>8</v>
      </c>
      <c r="Y218" s="4">
        <f t="shared" si="27"/>
        <v>8</v>
      </c>
    </row>
    <row r="219" spans="1:25" ht="18" x14ac:dyDescent="0.25">
      <c r="A219" t="s">
        <v>782</v>
      </c>
      <c r="B219" t="s">
        <v>715</v>
      </c>
      <c r="C219" s="12" t="str">
        <f t="shared" si="21"/>
        <v>Neutral</v>
      </c>
      <c r="D219" s="18">
        <f t="shared" si="22"/>
        <v>0</v>
      </c>
      <c r="E219" s="1">
        <v>44967.708333333336</v>
      </c>
      <c r="F219" s="10">
        <f>INT(E219)</f>
        <v>44967</v>
      </c>
      <c r="G219" s="15">
        <f>MOD(E219,2)</f>
        <v>1.7083333333357587</v>
      </c>
      <c r="H219" s="15" t="str">
        <f t="shared" si="23"/>
        <v>17:00</v>
      </c>
      <c r="I219" t="s">
        <v>783</v>
      </c>
      <c r="J219" t="s">
        <v>16</v>
      </c>
      <c r="K219" t="str">
        <f t="shared" si="24"/>
        <v>Twitter</v>
      </c>
      <c r="L219" t="s">
        <v>784</v>
      </c>
      <c r="M219">
        <v>9</v>
      </c>
      <c r="N219">
        <v>18</v>
      </c>
      <c r="O219">
        <f t="shared" si="25"/>
        <v>27</v>
      </c>
      <c r="P219" t="s">
        <v>367</v>
      </c>
      <c r="Q219" t="str">
        <f t="shared" si="26"/>
        <v>UK</v>
      </c>
      <c r="R219">
        <v>2023</v>
      </c>
      <c r="S219">
        <v>2</v>
      </c>
      <c r="T219">
        <v>10</v>
      </c>
      <c r="U219">
        <v>17</v>
      </c>
      <c r="Y219" s="4">
        <f t="shared" si="27"/>
        <v>17</v>
      </c>
    </row>
    <row r="220" spans="1:25" ht="18" x14ac:dyDescent="0.25">
      <c r="A220" t="s">
        <v>785</v>
      </c>
      <c r="B220" t="s">
        <v>719</v>
      </c>
      <c r="C220" s="12" t="str">
        <f t="shared" si="21"/>
        <v>Neutral</v>
      </c>
      <c r="D220" s="18">
        <f t="shared" si="22"/>
        <v>0</v>
      </c>
      <c r="E220" s="1">
        <v>44048.510416666664</v>
      </c>
      <c r="F220" s="10">
        <f>INT(E220)</f>
        <v>44048</v>
      </c>
      <c r="G220" s="15">
        <f>MOD(E220,2)</f>
        <v>0.51041666666424135</v>
      </c>
      <c r="H220" s="15" t="str">
        <f t="shared" si="23"/>
        <v>12:15</v>
      </c>
      <c r="I220" t="s">
        <v>786</v>
      </c>
      <c r="J220" t="s">
        <v>26</v>
      </c>
      <c r="K220" t="str">
        <f t="shared" si="24"/>
        <v>Instagram</v>
      </c>
      <c r="L220" t="s">
        <v>787</v>
      </c>
      <c r="M220">
        <v>14</v>
      </c>
      <c r="N220">
        <v>28</v>
      </c>
      <c r="O220">
        <f t="shared" si="25"/>
        <v>42</v>
      </c>
      <c r="P220" t="s">
        <v>294</v>
      </c>
      <c r="Q220" t="str">
        <f t="shared" si="26"/>
        <v>Australia</v>
      </c>
      <c r="R220">
        <v>2020</v>
      </c>
      <c r="S220">
        <v>8</v>
      </c>
      <c r="T220">
        <v>5</v>
      </c>
      <c r="U220">
        <v>12</v>
      </c>
      <c r="Y220" s="4">
        <f t="shared" si="27"/>
        <v>12</v>
      </c>
    </row>
    <row r="221" spans="1:25" ht="18" x14ac:dyDescent="0.25">
      <c r="A221" t="s">
        <v>788</v>
      </c>
      <c r="B221" t="s">
        <v>723</v>
      </c>
      <c r="C221" s="12" t="str">
        <f t="shared" si="21"/>
        <v>Neutral</v>
      </c>
      <c r="D221" s="18">
        <f t="shared" si="22"/>
        <v>0</v>
      </c>
      <c r="E221" s="1">
        <v>44531.645833333336</v>
      </c>
      <c r="F221" s="10">
        <f>INT(E221)</f>
        <v>44531</v>
      </c>
      <c r="G221" s="15">
        <f>MOD(E221,2)</f>
        <v>1.6458333333357587</v>
      </c>
      <c r="H221" s="15" t="str">
        <f t="shared" si="23"/>
        <v>15:30</v>
      </c>
      <c r="I221" t="s">
        <v>789</v>
      </c>
      <c r="J221" t="s">
        <v>31</v>
      </c>
      <c r="K221" t="str">
        <f t="shared" si="24"/>
        <v>Facebook</v>
      </c>
      <c r="L221" t="s">
        <v>790</v>
      </c>
      <c r="M221">
        <v>10</v>
      </c>
      <c r="N221">
        <v>20</v>
      </c>
      <c r="O221">
        <f t="shared" si="25"/>
        <v>30</v>
      </c>
      <c r="P221" t="s">
        <v>204</v>
      </c>
      <c r="Q221" t="str">
        <f t="shared" si="26"/>
        <v>USA</v>
      </c>
      <c r="R221">
        <v>2021</v>
      </c>
      <c r="S221">
        <v>12</v>
      </c>
      <c r="T221">
        <v>1</v>
      </c>
      <c r="U221">
        <v>15</v>
      </c>
      <c r="Y221" s="4">
        <f t="shared" si="27"/>
        <v>15</v>
      </c>
    </row>
    <row r="222" spans="1:25" ht="18" x14ac:dyDescent="0.25">
      <c r="A222" t="s">
        <v>791</v>
      </c>
      <c r="B222" t="s">
        <v>727</v>
      </c>
      <c r="C222" s="12" t="str">
        <f t="shared" si="21"/>
        <v>Negative</v>
      </c>
      <c r="D222" s="18">
        <f t="shared" si="22"/>
        <v>-1</v>
      </c>
      <c r="E222" s="1">
        <v>43549.875</v>
      </c>
      <c r="F222" s="10">
        <f>INT(E222)</f>
        <v>43549</v>
      </c>
      <c r="G222" s="15">
        <f>MOD(E222,2)</f>
        <v>1.875</v>
      </c>
      <c r="H222" s="15" t="str">
        <f t="shared" si="23"/>
        <v>21:00</v>
      </c>
      <c r="I222" t="s">
        <v>792</v>
      </c>
      <c r="J222" t="s">
        <v>16</v>
      </c>
      <c r="K222" t="str">
        <f t="shared" si="24"/>
        <v>Twitter</v>
      </c>
      <c r="L222" t="s">
        <v>793</v>
      </c>
      <c r="M222">
        <v>13</v>
      </c>
      <c r="N222">
        <v>26</v>
      </c>
      <c r="O222">
        <f t="shared" si="25"/>
        <v>39</v>
      </c>
      <c r="P222" t="s">
        <v>616</v>
      </c>
      <c r="Q222" t="str">
        <f t="shared" si="26"/>
        <v>Canada</v>
      </c>
      <c r="R222">
        <v>2019</v>
      </c>
      <c r="S222">
        <v>3</v>
      </c>
      <c r="T222">
        <v>25</v>
      </c>
      <c r="U222">
        <v>21</v>
      </c>
      <c r="Y222" s="4">
        <f t="shared" si="27"/>
        <v>21</v>
      </c>
    </row>
    <row r="223" spans="1:25" ht="18" x14ac:dyDescent="0.25">
      <c r="A223" t="s">
        <v>794</v>
      </c>
      <c r="B223" t="s">
        <v>731</v>
      </c>
      <c r="C223" s="12" t="str">
        <f t="shared" si="21"/>
        <v>Neutral</v>
      </c>
      <c r="D223" s="18">
        <f t="shared" si="22"/>
        <v>0</v>
      </c>
      <c r="E223" s="1">
        <v>42904.614583333336</v>
      </c>
      <c r="F223" s="10">
        <f>INT(E223)</f>
        <v>42904</v>
      </c>
      <c r="G223" s="15">
        <f>MOD(E223,2)</f>
        <v>0.61458333333575865</v>
      </c>
      <c r="H223" s="15" t="str">
        <f t="shared" si="23"/>
        <v>14:45</v>
      </c>
      <c r="I223" t="s">
        <v>795</v>
      </c>
      <c r="J223" t="s">
        <v>26</v>
      </c>
      <c r="K223" t="str">
        <f t="shared" si="24"/>
        <v>Instagram</v>
      </c>
      <c r="L223" t="s">
        <v>796</v>
      </c>
      <c r="M223">
        <v>12</v>
      </c>
      <c r="N223">
        <v>25</v>
      </c>
      <c r="O223">
        <f t="shared" si="25"/>
        <v>37</v>
      </c>
      <c r="P223" t="s">
        <v>655</v>
      </c>
      <c r="Q223" t="str">
        <f t="shared" si="26"/>
        <v>India</v>
      </c>
      <c r="R223">
        <v>2017</v>
      </c>
      <c r="S223">
        <v>6</v>
      </c>
      <c r="T223">
        <v>18</v>
      </c>
      <c r="U223">
        <v>14</v>
      </c>
      <c r="Y223" s="4">
        <f t="shared" si="27"/>
        <v>14</v>
      </c>
    </row>
    <row r="224" spans="1:25" ht="18" x14ac:dyDescent="0.25">
      <c r="A224" t="s">
        <v>797</v>
      </c>
      <c r="B224" t="s">
        <v>735</v>
      </c>
      <c r="C224" s="12" t="str">
        <f t="shared" si="21"/>
        <v>Neutral</v>
      </c>
      <c r="D224" s="18">
        <f t="shared" si="22"/>
        <v>0</v>
      </c>
      <c r="E224" s="1">
        <v>44750.479166666664</v>
      </c>
      <c r="F224" s="10">
        <f>INT(E224)</f>
        <v>44750</v>
      </c>
      <c r="G224" s="15">
        <f>MOD(E224,2)</f>
        <v>0.47916666666424135</v>
      </c>
      <c r="H224" s="15" t="str">
        <f t="shared" si="23"/>
        <v>11:30</v>
      </c>
      <c r="I224" t="s">
        <v>798</v>
      </c>
      <c r="J224" t="s">
        <v>31</v>
      </c>
      <c r="K224" t="str">
        <f t="shared" si="24"/>
        <v>Facebook</v>
      </c>
      <c r="L224" t="s">
        <v>799</v>
      </c>
      <c r="M224">
        <v>15</v>
      </c>
      <c r="N224">
        <v>30</v>
      </c>
      <c r="O224">
        <f t="shared" si="25"/>
        <v>45</v>
      </c>
      <c r="P224" t="s">
        <v>294</v>
      </c>
      <c r="Q224" t="str">
        <f t="shared" si="26"/>
        <v>Australia</v>
      </c>
      <c r="R224">
        <v>2022</v>
      </c>
      <c r="S224">
        <v>7</v>
      </c>
      <c r="T224">
        <v>8</v>
      </c>
      <c r="U224">
        <v>11</v>
      </c>
      <c r="Y224" s="4">
        <f t="shared" si="27"/>
        <v>11</v>
      </c>
    </row>
    <row r="225" spans="1:25" ht="18" x14ac:dyDescent="0.25">
      <c r="A225" t="s">
        <v>800</v>
      </c>
      <c r="B225" t="s">
        <v>739</v>
      </c>
      <c r="C225" s="12" t="str">
        <f t="shared" si="21"/>
        <v>Positive</v>
      </c>
      <c r="D225" s="18">
        <f t="shared" si="22"/>
        <v>1</v>
      </c>
      <c r="E225" s="1">
        <v>45061.680555555555</v>
      </c>
      <c r="F225" s="10">
        <f>INT(E225)</f>
        <v>45061</v>
      </c>
      <c r="G225" s="15">
        <f>MOD(E225,2)</f>
        <v>1.6805555555547471</v>
      </c>
      <c r="H225" s="15" t="str">
        <f t="shared" si="23"/>
        <v>16:20</v>
      </c>
      <c r="I225" t="s">
        <v>801</v>
      </c>
      <c r="J225" t="s">
        <v>16</v>
      </c>
      <c r="K225" t="str">
        <f t="shared" si="24"/>
        <v>Twitter</v>
      </c>
      <c r="L225" t="s">
        <v>802</v>
      </c>
      <c r="M225">
        <v>18</v>
      </c>
      <c r="N225">
        <v>36</v>
      </c>
      <c r="O225">
        <f t="shared" si="25"/>
        <v>54</v>
      </c>
      <c r="P225" t="s">
        <v>616</v>
      </c>
      <c r="Q225" t="str">
        <f t="shared" si="26"/>
        <v>Canada</v>
      </c>
      <c r="R225">
        <v>2023</v>
      </c>
      <c r="S225">
        <v>5</v>
      </c>
      <c r="T225">
        <v>15</v>
      </c>
      <c r="U225">
        <v>16</v>
      </c>
      <c r="Y225" s="4">
        <f t="shared" si="27"/>
        <v>16</v>
      </c>
    </row>
    <row r="226" spans="1:25" ht="18" x14ac:dyDescent="0.25">
      <c r="A226" t="s">
        <v>803</v>
      </c>
      <c r="B226" t="s">
        <v>742</v>
      </c>
      <c r="C226" s="12" t="str">
        <f t="shared" si="21"/>
        <v>Positive</v>
      </c>
      <c r="D226" s="18">
        <f t="shared" si="22"/>
        <v>1</v>
      </c>
      <c r="E226" s="1">
        <v>44449.614583333336</v>
      </c>
      <c r="F226" s="10">
        <f>INT(E226)</f>
        <v>44449</v>
      </c>
      <c r="G226" s="15">
        <f>MOD(E226,2)</f>
        <v>1.6145833333357587</v>
      </c>
      <c r="H226" s="15" t="str">
        <f t="shared" si="23"/>
        <v>14:45</v>
      </c>
      <c r="I226" t="s">
        <v>804</v>
      </c>
      <c r="J226" t="s">
        <v>26</v>
      </c>
      <c r="K226" t="str">
        <f t="shared" si="24"/>
        <v>Instagram</v>
      </c>
      <c r="L226" t="s">
        <v>805</v>
      </c>
      <c r="M226">
        <v>20</v>
      </c>
      <c r="N226">
        <v>40</v>
      </c>
      <c r="O226">
        <f t="shared" si="25"/>
        <v>60</v>
      </c>
      <c r="P226" t="s">
        <v>367</v>
      </c>
      <c r="Q226" t="str">
        <f t="shared" si="26"/>
        <v>UK</v>
      </c>
      <c r="R226">
        <v>2021</v>
      </c>
      <c r="S226">
        <v>9</v>
      </c>
      <c r="T226">
        <v>10</v>
      </c>
      <c r="U226">
        <v>14</v>
      </c>
      <c r="Y226" s="4">
        <f t="shared" si="27"/>
        <v>14</v>
      </c>
    </row>
    <row r="227" spans="1:25" ht="18" x14ac:dyDescent="0.25">
      <c r="A227" t="s">
        <v>806</v>
      </c>
      <c r="B227" t="s">
        <v>746</v>
      </c>
      <c r="C227" s="12" t="str">
        <f t="shared" si="21"/>
        <v>Positive</v>
      </c>
      <c r="D227" s="18">
        <f t="shared" si="22"/>
        <v>1</v>
      </c>
      <c r="E227" s="1">
        <v>43889.770833333336</v>
      </c>
      <c r="F227" s="10">
        <f>INT(E227)</f>
        <v>43889</v>
      </c>
      <c r="G227" s="15">
        <f>MOD(E227,2)</f>
        <v>1.7708333333357587</v>
      </c>
      <c r="H227" s="15" t="str">
        <f t="shared" si="23"/>
        <v>18:30</v>
      </c>
      <c r="I227" t="s">
        <v>807</v>
      </c>
      <c r="J227" t="s">
        <v>31</v>
      </c>
      <c r="K227" t="str">
        <f t="shared" si="24"/>
        <v>Facebook</v>
      </c>
      <c r="L227" t="s">
        <v>808</v>
      </c>
      <c r="M227">
        <v>25</v>
      </c>
      <c r="N227">
        <v>50</v>
      </c>
      <c r="O227">
        <f t="shared" si="25"/>
        <v>75</v>
      </c>
      <c r="P227" t="s">
        <v>204</v>
      </c>
      <c r="Q227" t="str">
        <f t="shared" si="26"/>
        <v>USA</v>
      </c>
      <c r="R227">
        <v>2020</v>
      </c>
      <c r="S227">
        <v>2</v>
      </c>
      <c r="T227">
        <v>28</v>
      </c>
      <c r="U227">
        <v>18</v>
      </c>
      <c r="Y227" s="4">
        <f t="shared" si="27"/>
        <v>18</v>
      </c>
    </row>
    <row r="228" spans="1:25" ht="18" x14ac:dyDescent="0.25">
      <c r="A228" t="s">
        <v>809</v>
      </c>
      <c r="B228" t="s">
        <v>715</v>
      </c>
      <c r="C228" s="12" t="str">
        <f t="shared" si="21"/>
        <v>Neutral</v>
      </c>
      <c r="D228" s="18">
        <f t="shared" si="22"/>
        <v>0</v>
      </c>
      <c r="E228" s="1">
        <v>44995.6875</v>
      </c>
      <c r="F228" s="10">
        <f>INT(E228)</f>
        <v>44995</v>
      </c>
      <c r="G228" s="15">
        <f>MOD(E228,2)</f>
        <v>1.6875</v>
      </c>
      <c r="H228" s="15" t="str">
        <f t="shared" si="23"/>
        <v>16:30</v>
      </c>
      <c r="I228" t="s">
        <v>810</v>
      </c>
      <c r="J228" t="s">
        <v>26</v>
      </c>
      <c r="K228" t="str">
        <f t="shared" si="24"/>
        <v>Instagram</v>
      </c>
      <c r="L228" t="s">
        <v>811</v>
      </c>
      <c r="M228">
        <v>9</v>
      </c>
      <c r="N228">
        <v>18</v>
      </c>
      <c r="O228">
        <f t="shared" si="25"/>
        <v>27</v>
      </c>
      <c r="P228" t="s">
        <v>655</v>
      </c>
      <c r="Q228" t="str">
        <f t="shared" si="26"/>
        <v>India</v>
      </c>
      <c r="R228">
        <v>2023</v>
      </c>
      <c r="S228">
        <v>3</v>
      </c>
      <c r="T228">
        <v>10</v>
      </c>
      <c r="U228">
        <v>16</v>
      </c>
      <c r="Y228" s="4">
        <f t="shared" si="27"/>
        <v>16</v>
      </c>
    </row>
    <row r="229" spans="1:25" ht="18" x14ac:dyDescent="0.25">
      <c r="A229" t="s">
        <v>812</v>
      </c>
      <c r="B229" t="s">
        <v>719</v>
      </c>
      <c r="C229" s="12" t="str">
        <f t="shared" si="21"/>
        <v>Neutral</v>
      </c>
      <c r="D229" s="18">
        <f t="shared" si="22"/>
        <v>0</v>
      </c>
      <c r="E229" s="1">
        <v>44318.489583333336</v>
      </c>
      <c r="F229" s="10">
        <f>INT(E229)</f>
        <v>44318</v>
      </c>
      <c r="G229" s="15">
        <f>MOD(E229,2)</f>
        <v>0.48958333333575865</v>
      </c>
      <c r="H229" s="15" t="str">
        <f t="shared" si="23"/>
        <v>11:45</v>
      </c>
      <c r="I229" t="s">
        <v>813</v>
      </c>
      <c r="J229" t="s">
        <v>31</v>
      </c>
      <c r="K229" t="str">
        <f t="shared" si="24"/>
        <v>Facebook</v>
      </c>
      <c r="L229" t="s">
        <v>757</v>
      </c>
      <c r="M229">
        <v>14</v>
      </c>
      <c r="N229">
        <v>28</v>
      </c>
      <c r="O229">
        <f t="shared" si="25"/>
        <v>42</v>
      </c>
      <c r="P229" t="s">
        <v>294</v>
      </c>
      <c r="Q229" t="str">
        <f t="shared" si="26"/>
        <v>Australia</v>
      </c>
      <c r="R229">
        <v>2021</v>
      </c>
      <c r="S229">
        <v>5</v>
      </c>
      <c r="T229">
        <v>2</v>
      </c>
      <c r="U229">
        <v>11</v>
      </c>
      <c r="Y229" s="4">
        <f t="shared" si="27"/>
        <v>11</v>
      </c>
    </row>
    <row r="230" spans="1:25" ht="18" x14ac:dyDescent="0.25">
      <c r="A230" t="s">
        <v>814</v>
      </c>
      <c r="B230" t="s">
        <v>723</v>
      </c>
      <c r="C230" s="12" t="str">
        <f t="shared" si="21"/>
        <v>Neutral</v>
      </c>
      <c r="D230" s="18">
        <f t="shared" si="22"/>
        <v>0</v>
      </c>
      <c r="E230" s="1">
        <v>43756.604166666664</v>
      </c>
      <c r="F230" s="10">
        <f>INT(E230)</f>
        <v>43756</v>
      </c>
      <c r="G230" s="15">
        <f>MOD(E230,2)</f>
        <v>0.60416666666424135</v>
      </c>
      <c r="H230" s="15" t="str">
        <f t="shared" si="23"/>
        <v>14:30</v>
      </c>
      <c r="I230" t="s">
        <v>815</v>
      </c>
      <c r="J230" t="s">
        <v>16</v>
      </c>
      <c r="K230" t="str">
        <f t="shared" si="24"/>
        <v>Twitter</v>
      </c>
      <c r="L230" t="s">
        <v>816</v>
      </c>
      <c r="M230">
        <v>11</v>
      </c>
      <c r="N230">
        <v>22</v>
      </c>
      <c r="O230">
        <f t="shared" si="25"/>
        <v>33</v>
      </c>
      <c r="P230" t="s">
        <v>367</v>
      </c>
      <c r="Q230" t="str">
        <f t="shared" si="26"/>
        <v>UK</v>
      </c>
      <c r="R230">
        <v>2019</v>
      </c>
      <c r="S230">
        <v>10</v>
      </c>
      <c r="T230">
        <v>18</v>
      </c>
      <c r="U230">
        <v>14</v>
      </c>
      <c r="Y230" s="4">
        <f t="shared" si="27"/>
        <v>14</v>
      </c>
    </row>
    <row r="231" spans="1:25" ht="18" x14ac:dyDescent="0.25">
      <c r="A231" t="s">
        <v>817</v>
      </c>
      <c r="B231" t="s">
        <v>727</v>
      </c>
      <c r="C231" s="12" t="str">
        <f t="shared" si="21"/>
        <v>Negative</v>
      </c>
      <c r="D231" s="18">
        <f t="shared" si="22"/>
        <v>-1</v>
      </c>
      <c r="E231" s="1">
        <v>43835.833333333336</v>
      </c>
      <c r="F231" s="10">
        <f>INT(E231)</f>
        <v>43835</v>
      </c>
      <c r="G231" s="15">
        <f>MOD(E231,2)</f>
        <v>1.8333333333357587</v>
      </c>
      <c r="H231" s="15" t="str">
        <f t="shared" si="23"/>
        <v>20:00</v>
      </c>
      <c r="I231" t="s">
        <v>818</v>
      </c>
      <c r="J231" t="s">
        <v>26</v>
      </c>
      <c r="K231" t="str">
        <f t="shared" si="24"/>
        <v>Instagram</v>
      </c>
      <c r="L231" t="s">
        <v>819</v>
      </c>
      <c r="M231">
        <v>13</v>
      </c>
      <c r="N231">
        <v>26</v>
      </c>
      <c r="O231">
        <f t="shared" si="25"/>
        <v>39</v>
      </c>
      <c r="P231" t="s">
        <v>204</v>
      </c>
      <c r="Q231" t="str">
        <f t="shared" si="26"/>
        <v>USA</v>
      </c>
      <c r="R231">
        <v>2020</v>
      </c>
      <c r="S231">
        <v>1</v>
      </c>
      <c r="T231">
        <v>5</v>
      </c>
      <c r="U231">
        <v>20</v>
      </c>
      <c r="Y231" s="4">
        <f t="shared" si="27"/>
        <v>20</v>
      </c>
    </row>
    <row r="232" spans="1:25" ht="18" x14ac:dyDescent="0.25">
      <c r="A232" t="s">
        <v>820</v>
      </c>
      <c r="B232" t="s">
        <v>731</v>
      </c>
      <c r="C232" s="12" t="str">
        <f t="shared" si="21"/>
        <v>Neutral</v>
      </c>
      <c r="D232" s="18">
        <f t="shared" si="22"/>
        <v>0</v>
      </c>
      <c r="E232" s="1">
        <v>43322.65625</v>
      </c>
      <c r="F232" s="10">
        <f>INT(E232)</f>
        <v>43322</v>
      </c>
      <c r="G232" s="15">
        <f>MOD(E232,2)</f>
        <v>0.65625</v>
      </c>
      <c r="H232" s="15" t="str">
        <f t="shared" si="23"/>
        <v>15:45</v>
      </c>
      <c r="I232" t="s">
        <v>821</v>
      </c>
      <c r="J232" t="s">
        <v>31</v>
      </c>
      <c r="K232" t="str">
        <f t="shared" si="24"/>
        <v>Facebook</v>
      </c>
      <c r="L232" t="s">
        <v>822</v>
      </c>
      <c r="M232">
        <v>12</v>
      </c>
      <c r="N232">
        <v>25</v>
      </c>
      <c r="O232">
        <f t="shared" si="25"/>
        <v>37</v>
      </c>
      <c r="P232" t="s">
        <v>616</v>
      </c>
      <c r="Q232" t="str">
        <f t="shared" si="26"/>
        <v>Canada</v>
      </c>
      <c r="R232">
        <v>2018</v>
      </c>
      <c r="S232">
        <v>8</v>
      </c>
      <c r="T232">
        <v>10</v>
      </c>
      <c r="U232">
        <v>15</v>
      </c>
      <c r="Y232" s="4">
        <f t="shared" si="27"/>
        <v>15</v>
      </c>
    </row>
    <row r="233" spans="1:25" ht="18" x14ac:dyDescent="0.25">
      <c r="A233" t="s">
        <v>823</v>
      </c>
      <c r="B233" t="s">
        <v>735</v>
      </c>
      <c r="C233" s="12" t="str">
        <f t="shared" si="21"/>
        <v>Neutral</v>
      </c>
      <c r="D233" s="18">
        <f t="shared" si="22"/>
        <v>0</v>
      </c>
      <c r="E233" s="1">
        <v>44576.4375</v>
      </c>
      <c r="F233" s="10">
        <f>INT(E233)</f>
        <v>44576</v>
      </c>
      <c r="G233" s="15">
        <f>MOD(E233,2)</f>
        <v>0.4375</v>
      </c>
      <c r="H233" s="15" t="str">
        <f t="shared" si="23"/>
        <v>10:30</v>
      </c>
      <c r="I233" t="s">
        <v>824</v>
      </c>
      <c r="J233" t="s">
        <v>16</v>
      </c>
      <c r="K233" t="str">
        <f t="shared" si="24"/>
        <v>Twitter</v>
      </c>
      <c r="L233" t="s">
        <v>825</v>
      </c>
      <c r="M233">
        <v>15</v>
      </c>
      <c r="N233">
        <v>30</v>
      </c>
      <c r="O233">
        <f t="shared" si="25"/>
        <v>45</v>
      </c>
      <c r="P233" t="s">
        <v>655</v>
      </c>
      <c r="Q233" t="str">
        <f t="shared" si="26"/>
        <v>India</v>
      </c>
      <c r="R233">
        <v>2022</v>
      </c>
      <c r="S233">
        <v>1</v>
      </c>
      <c r="T233">
        <v>15</v>
      </c>
      <c r="U233">
        <v>10</v>
      </c>
      <c r="Y233" s="4">
        <f t="shared" si="27"/>
        <v>10</v>
      </c>
    </row>
    <row r="234" spans="1:25" ht="18" x14ac:dyDescent="0.25">
      <c r="A234" t="s">
        <v>826</v>
      </c>
      <c r="B234" t="s">
        <v>739</v>
      </c>
      <c r="C234" s="12" t="str">
        <f t="shared" si="21"/>
        <v>Positive</v>
      </c>
      <c r="D234" s="18">
        <f t="shared" si="22"/>
        <v>1</v>
      </c>
      <c r="E234" s="1">
        <v>44397.680555555555</v>
      </c>
      <c r="F234" s="10">
        <f>INT(E234)</f>
        <v>44397</v>
      </c>
      <c r="G234" s="15">
        <f>MOD(E234,2)</f>
        <v>1.6805555555547471</v>
      </c>
      <c r="H234" s="15" t="str">
        <f t="shared" si="23"/>
        <v>16:20</v>
      </c>
      <c r="I234" t="s">
        <v>827</v>
      </c>
      <c r="J234" t="s">
        <v>26</v>
      </c>
      <c r="K234" t="str">
        <f t="shared" si="24"/>
        <v>Instagram</v>
      </c>
      <c r="L234" t="s">
        <v>828</v>
      </c>
      <c r="M234">
        <v>18</v>
      </c>
      <c r="N234">
        <v>36</v>
      </c>
      <c r="O234">
        <f t="shared" si="25"/>
        <v>54</v>
      </c>
      <c r="P234" t="s">
        <v>607</v>
      </c>
      <c r="Q234" t="str">
        <f t="shared" si="26"/>
        <v>Australia</v>
      </c>
      <c r="R234">
        <v>2021</v>
      </c>
      <c r="S234">
        <v>7</v>
      </c>
      <c r="T234">
        <v>20</v>
      </c>
      <c r="U234">
        <v>16</v>
      </c>
      <c r="Y234" s="4">
        <f t="shared" si="27"/>
        <v>16</v>
      </c>
    </row>
    <row r="235" spans="1:25" ht="18" x14ac:dyDescent="0.25">
      <c r="A235" t="s">
        <v>829</v>
      </c>
      <c r="B235" t="s">
        <v>742</v>
      </c>
      <c r="C235" s="12" t="str">
        <f t="shared" si="21"/>
        <v>Positive</v>
      </c>
      <c r="D235" s="18">
        <f t="shared" si="22"/>
        <v>1</v>
      </c>
      <c r="E235" s="1">
        <v>43802.572916666664</v>
      </c>
      <c r="F235" s="10">
        <f>INT(E235)</f>
        <v>43802</v>
      </c>
      <c r="G235" s="15">
        <f>MOD(E235,2)</f>
        <v>0.57291666666424135</v>
      </c>
      <c r="H235" s="15" t="str">
        <f t="shared" si="23"/>
        <v>13:45</v>
      </c>
      <c r="I235" t="s">
        <v>830</v>
      </c>
      <c r="J235" t="s">
        <v>31</v>
      </c>
      <c r="K235" t="str">
        <f t="shared" si="24"/>
        <v>Facebook</v>
      </c>
      <c r="L235" t="s">
        <v>831</v>
      </c>
      <c r="M235">
        <v>20</v>
      </c>
      <c r="N235">
        <v>40</v>
      </c>
      <c r="O235">
        <f t="shared" si="25"/>
        <v>60</v>
      </c>
      <c r="P235" t="s">
        <v>204</v>
      </c>
      <c r="Q235" t="str">
        <f t="shared" si="26"/>
        <v>USA</v>
      </c>
      <c r="R235">
        <v>2019</v>
      </c>
      <c r="S235">
        <v>12</v>
      </c>
      <c r="T235">
        <v>3</v>
      </c>
      <c r="U235">
        <v>13</v>
      </c>
      <c r="Y235" s="4">
        <f t="shared" si="27"/>
        <v>13</v>
      </c>
    </row>
    <row r="236" spans="1:25" ht="18" x14ac:dyDescent="0.25">
      <c r="A236" t="s">
        <v>832</v>
      </c>
      <c r="B236" t="s">
        <v>746</v>
      </c>
      <c r="C236" s="12" t="str">
        <f t="shared" si="21"/>
        <v>Positive</v>
      </c>
      <c r="D236" s="18">
        <f t="shared" si="22"/>
        <v>1</v>
      </c>
      <c r="E236" s="1">
        <v>43933.8125</v>
      </c>
      <c r="F236" s="10">
        <f>INT(E236)</f>
        <v>43933</v>
      </c>
      <c r="G236" s="15">
        <f>MOD(E236,2)</f>
        <v>1.8125</v>
      </c>
      <c r="H236" s="15" t="str">
        <f t="shared" si="23"/>
        <v>19:30</v>
      </c>
      <c r="I236" t="s">
        <v>833</v>
      </c>
      <c r="J236" t="s">
        <v>16</v>
      </c>
      <c r="K236" t="str">
        <f t="shared" si="24"/>
        <v>Twitter</v>
      </c>
      <c r="L236" t="s">
        <v>834</v>
      </c>
      <c r="M236">
        <v>25</v>
      </c>
      <c r="N236">
        <v>50</v>
      </c>
      <c r="O236">
        <f t="shared" si="25"/>
        <v>75</v>
      </c>
      <c r="P236" t="s">
        <v>616</v>
      </c>
      <c r="Q236" t="str">
        <f t="shared" si="26"/>
        <v>Canada</v>
      </c>
      <c r="R236">
        <v>2020</v>
      </c>
      <c r="S236">
        <v>4</v>
      </c>
      <c r="T236">
        <v>12</v>
      </c>
      <c r="U236">
        <v>19</v>
      </c>
      <c r="Y236" s="4">
        <f t="shared" si="27"/>
        <v>19</v>
      </c>
    </row>
    <row r="237" spans="1:25" ht="18" x14ac:dyDescent="0.25">
      <c r="A237" t="s">
        <v>835</v>
      </c>
      <c r="B237" t="s">
        <v>711</v>
      </c>
      <c r="C237" s="12" t="str">
        <f t="shared" si="21"/>
        <v>Neutral</v>
      </c>
      <c r="D237" s="18">
        <f t="shared" si="22"/>
        <v>0</v>
      </c>
      <c r="E237" s="1">
        <v>44689.364583333336</v>
      </c>
      <c r="F237" s="10">
        <f>INT(E237)</f>
        <v>44689</v>
      </c>
      <c r="G237" s="15">
        <f>MOD(E237,2)</f>
        <v>1.3645833333357587</v>
      </c>
      <c r="H237" s="15" t="str">
        <f t="shared" si="23"/>
        <v>08:45</v>
      </c>
      <c r="I237" t="s">
        <v>836</v>
      </c>
      <c r="J237" t="s">
        <v>26</v>
      </c>
      <c r="K237" t="str">
        <f t="shared" si="24"/>
        <v>Instagram</v>
      </c>
      <c r="L237" t="s">
        <v>837</v>
      </c>
      <c r="M237">
        <v>22</v>
      </c>
      <c r="N237">
        <v>45</v>
      </c>
      <c r="O237">
        <f t="shared" si="25"/>
        <v>67</v>
      </c>
      <c r="P237" t="s">
        <v>367</v>
      </c>
      <c r="Q237" t="str">
        <f t="shared" si="26"/>
        <v>UK</v>
      </c>
      <c r="R237">
        <v>2022</v>
      </c>
      <c r="S237">
        <v>5</v>
      </c>
      <c r="T237">
        <v>8</v>
      </c>
      <c r="U237">
        <v>8</v>
      </c>
      <c r="Y237" s="4">
        <f t="shared" si="27"/>
        <v>8</v>
      </c>
    </row>
    <row r="238" spans="1:25" ht="18" x14ac:dyDescent="0.25">
      <c r="A238" t="s">
        <v>838</v>
      </c>
      <c r="B238" t="s">
        <v>715</v>
      </c>
      <c r="C238" s="12" t="str">
        <f t="shared" si="21"/>
        <v>Neutral</v>
      </c>
      <c r="D238" s="18">
        <f t="shared" si="22"/>
        <v>0</v>
      </c>
      <c r="E238" s="1">
        <v>44979.708333333336</v>
      </c>
      <c r="F238" s="10">
        <f>INT(E238)</f>
        <v>44979</v>
      </c>
      <c r="G238" s="15">
        <f>MOD(E238,2)</f>
        <v>1.7083333333357587</v>
      </c>
      <c r="H238" s="15" t="str">
        <f t="shared" si="23"/>
        <v>17:00</v>
      </c>
      <c r="I238" t="s">
        <v>839</v>
      </c>
      <c r="J238" t="s">
        <v>31</v>
      </c>
      <c r="K238" t="str">
        <f t="shared" si="24"/>
        <v>Facebook</v>
      </c>
      <c r="L238" t="s">
        <v>784</v>
      </c>
      <c r="M238">
        <v>9</v>
      </c>
      <c r="N238">
        <v>18</v>
      </c>
      <c r="O238">
        <f t="shared" si="25"/>
        <v>27</v>
      </c>
      <c r="P238" t="s">
        <v>655</v>
      </c>
      <c r="Q238" t="str">
        <f t="shared" si="26"/>
        <v>India</v>
      </c>
      <c r="R238">
        <v>2023</v>
      </c>
      <c r="S238">
        <v>2</v>
      </c>
      <c r="T238">
        <v>22</v>
      </c>
      <c r="U238">
        <v>17</v>
      </c>
      <c r="Y238" s="4">
        <f t="shared" si="27"/>
        <v>17</v>
      </c>
    </row>
    <row r="239" spans="1:25" ht="18" x14ac:dyDescent="0.25">
      <c r="A239" t="s">
        <v>840</v>
      </c>
      <c r="B239" t="s">
        <v>719</v>
      </c>
      <c r="C239" s="12" t="str">
        <f t="shared" si="21"/>
        <v>Neutral</v>
      </c>
      <c r="D239" s="18">
        <f t="shared" si="22"/>
        <v>0</v>
      </c>
      <c r="E239" s="1">
        <v>43987.510416666664</v>
      </c>
      <c r="F239" s="10">
        <f>INT(E239)</f>
        <v>43987</v>
      </c>
      <c r="G239" s="15">
        <f>MOD(E239,2)</f>
        <v>1.5104166666642413</v>
      </c>
      <c r="H239" s="15" t="str">
        <f t="shared" si="23"/>
        <v>12:15</v>
      </c>
      <c r="I239" t="s">
        <v>841</v>
      </c>
      <c r="J239" t="s">
        <v>16</v>
      </c>
      <c r="K239" t="str">
        <f t="shared" si="24"/>
        <v>Twitter</v>
      </c>
      <c r="L239" t="s">
        <v>842</v>
      </c>
      <c r="M239">
        <v>14</v>
      </c>
      <c r="N239">
        <v>28</v>
      </c>
      <c r="O239">
        <f t="shared" si="25"/>
        <v>42</v>
      </c>
      <c r="P239" t="s">
        <v>294</v>
      </c>
      <c r="Q239" t="str">
        <f t="shared" si="26"/>
        <v>Australia</v>
      </c>
      <c r="R239">
        <v>2020</v>
      </c>
      <c r="S239">
        <v>6</v>
      </c>
      <c r="T239">
        <v>5</v>
      </c>
      <c r="U239">
        <v>12</v>
      </c>
      <c r="Y239" s="4">
        <f t="shared" si="27"/>
        <v>12</v>
      </c>
    </row>
    <row r="240" spans="1:25" ht="18" x14ac:dyDescent="0.25">
      <c r="A240" t="s">
        <v>843</v>
      </c>
      <c r="B240" t="s">
        <v>723</v>
      </c>
      <c r="C240" s="12" t="str">
        <f t="shared" si="21"/>
        <v>Neutral</v>
      </c>
      <c r="D240" s="18">
        <f t="shared" si="22"/>
        <v>0</v>
      </c>
      <c r="E240" s="1">
        <v>44530.645833333336</v>
      </c>
      <c r="F240" s="10">
        <f>INT(E240)</f>
        <v>44530</v>
      </c>
      <c r="G240" s="15">
        <f>MOD(E240,2)</f>
        <v>0.64583333333575865</v>
      </c>
      <c r="H240" s="15" t="str">
        <f t="shared" si="23"/>
        <v>15:30</v>
      </c>
      <c r="I240" t="s">
        <v>844</v>
      </c>
      <c r="J240" t="s">
        <v>26</v>
      </c>
      <c r="K240" t="str">
        <f t="shared" si="24"/>
        <v>Instagram</v>
      </c>
      <c r="L240" t="s">
        <v>845</v>
      </c>
      <c r="M240">
        <v>10</v>
      </c>
      <c r="N240">
        <v>20</v>
      </c>
      <c r="O240">
        <f t="shared" si="25"/>
        <v>30</v>
      </c>
      <c r="P240" t="s">
        <v>616</v>
      </c>
      <c r="Q240" t="str">
        <f t="shared" si="26"/>
        <v>Canada</v>
      </c>
      <c r="R240">
        <v>2021</v>
      </c>
      <c r="S240">
        <v>11</v>
      </c>
      <c r="T240">
        <v>30</v>
      </c>
      <c r="U240">
        <v>15</v>
      </c>
      <c r="Y240" s="4">
        <f t="shared" si="27"/>
        <v>15</v>
      </c>
    </row>
    <row r="241" spans="1:25" ht="18" x14ac:dyDescent="0.25">
      <c r="A241" t="s">
        <v>846</v>
      </c>
      <c r="B241" t="s">
        <v>727</v>
      </c>
      <c r="C241" s="12" t="str">
        <f t="shared" si="21"/>
        <v>Negative</v>
      </c>
      <c r="D241" s="18">
        <f t="shared" si="22"/>
        <v>-1</v>
      </c>
      <c r="E241" s="1">
        <v>43521.875</v>
      </c>
      <c r="F241" s="10">
        <f>INT(E241)</f>
        <v>43521</v>
      </c>
      <c r="G241" s="15">
        <f>MOD(E241,2)</f>
        <v>1.875</v>
      </c>
      <c r="H241" s="15" t="str">
        <f t="shared" si="23"/>
        <v>21:00</v>
      </c>
      <c r="I241" t="s">
        <v>847</v>
      </c>
      <c r="J241" t="s">
        <v>31</v>
      </c>
      <c r="K241" t="str">
        <f t="shared" si="24"/>
        <v>Facebook</v>
      </c>
      <c r="L241" t="s">
        <v>848</v>
      </c>
      <c r="M241">
        <v>13</v>
      </c>
      <c r="N241">
        <v>26</v>
      </c>
      <c r="O241">
        <f t="shared" si="25"/>
        <v>39</v>
      </c>
      <c r="P241" t="s">
        <v>367</v>
      </c>
      <c r="Q241" t="str">
        <f t="shared" si="26"/>
        <v>UK</v>
      </c>
      <c r="R241">
        <v>2019</v>
      </c>
      <c r="S241">
        <v>2</v>
      </c>
      <c r="T241">
        <v>25</v>
      </c>
      <c r="U241">
        <v>21</v>
      </c>
      <c r="Y241" s="4">
        <f t="shared" si="27"/>
        <v>21</v>
      </c>
    </row>
    <row r="242" spans="1:25" ht="18" x14ac:dyDescent="0.25">
      <c r="A242" t="s">
        <v>849</v>
      </c>
      <c r="B242" t="s">
        <v>731</v>
      </c>
      <c r="C242" s="12" t="str">
        <f t="shared" si="21"/>
        <v>Neutral</v>
      </c>
      <c r="D242" s="18">
        <f t="shared" si="22"/>
        <v>0</v>
      </c>
      <c r="E242" s="1">
        <v>42873.614583333336</v>
      </c>
      <c r="F242" s="10">
        <f>INT(E242)</f>
        <v>42873</v>
      </c>
      <c r="G242" s="15">
        <f>MOD(E242,2)</f>
        <v>1.6145833333357587</v>
      </c>
      <c r="H242" s="15" t="str">
        <f t="shared" si="23"/>
        <v>14:45</v>
      </c>
      <c r="I242" t="s">
        <v>850</v>
      </c>
      <c r="J242" t="s">
        <v>16</v>
      </c>
      <c r="K242" t="str">
        <f t="shared" si="24"/>
        <v>Twitter</v>
      </c>
      <c r="L242" t="s">
        <v>851</v>
      </c>
      <c r="M242">
        <v>12</v>
      </c>
      <c r="N242">
        <v>25</v>
      </c>
      <c r="O242">
        <f t="shared" si="25"/>
        <v>37</v>
      </c>
      <c r="P242" t="s">
        <v>204</v>
      </c>
      <c r="Q242" t="str">
        <f t="shared" si="26"/>
        <v>USA</v>
      </c>
      <c r="R242">
        <v>2017</v>
      </c>
      <c r="S242">
        <v>5</v>
      </c>
      <c r="T242">
        <v>18</v>
      </c>
      <c r="U242">
        <v>14</v>
      </c>
      <c r="Y242" s="4">
        <f t="shared" si="27"/>
        <v>14</v>
      </c>
    </row>
    <row r="243" spans="1:25" ht="18" x14ac:dyDescent="0.25">
      <c r="A243" t="s">
        <v>852</v>
      </c>
      <c r="B243" t="s">
        <v>735</v>
      </c>
      <c r="C243" s="12" t="str">
        <f t="shared" si="21"/>
        <v>Neutral</v>
      </c>
      <c r="D243" s="18">
        <f t="shared" si="22"/>
        <v>0</v>
      </c>
      <c r="E243" s="1">
        <v>44778.479166666664</v>
      </c>
      <c r="F243" s="10">
        <f>INT(E243)</f>
        <v>44778</v>
      </c>
      <c r="G243" s="15">
        <f>MOD(E243,2)</f>
        <v>0.47916666666424135</v>
      </c>
      <c r="H243" s="15" t="str">
        <f t="shared" si="23"/>
        <v>11:30</v>
      </c>
      <c r="I243" t="s">
        <v>853</v>
      </c>
      <c r="J243" t="s">
        <v>26</v>
      </c>
      <c r="K243" t="str">
        <f t="shared" si="24"/>
        <v>Instagram</v>
      </c>
      <c r="L243" t="s">
        <v>854</v>
      </c>
      <c r="M243">
        <v>15</v>
      </c>
      <c r="N243">
        <v>30</v>
      </c>
      <c r="O243">
        <f t="shared" si="25"/>
        <v>45</v>
      </c>
      <c r="P243" t="s">
        <v>616</v>
      </c>
      <c r="Q243" t="str">
        <f t="shared" si="26"/>
        <v>Canada</v>
      </c>
      <c r="R243">
        <v>2022</v>
      </c>
      <c r="S243">
        <v>8</v>
      </c>
      <c r="T243">
        <v>5</v>
      </c>
      <c r="U243">
        <v>11</v>
      </c>
      <c r="Y243" s="4">
        <f t="shared" si="27"/>
        <v>11</v>
      </c>
    </row>
    <row r="244" spans="1:25" ht="18" x14ac:dyDescent="0.25">
      <c r="A244" t="s">
        <v>855</v>
      </c>
      <c r="B244" t="s">
        <v>739</v>
      </c>
      <c r="C244" s="12" t="str">
        <f t="shared" si="21"/>
        <v>Positive</v>
      </c>
      <c r="D244" s="18">
        <f t="shared" si="22"/>
        <v>1</v>
      </c>
      <c r="E244" s="1">
        <v>45092.680555555555</v>
      </c>
      <c r="F244" s="10">
        <f>INT(E244)</f>
        <v>45092</v>
      </c>
      <c r="G244" s="15">
        <f>MOD(E244,2)</f>
        <v>0.68055555555474712</v>
      </c>
      <c r="H244" s="15" t="str">
        <f t="shared" si="23"/>
        <v>16:20</v>
      </c>
      <c r="I244" t="s">
        <v>856</v>
      </c>
      <c r="J244" t="s">
        <v>31</v>
      </c>
      <c r="K244" t="str">
        <f t="shared" si="24"/>
        <v>Facebook</v>
      </c>
      <c r="L244" t="s">
        <v>857</v>
      </c>
      <c r="M244">
        <v>18</v>
      </c>
      <c r="N244">
        <v>36</v>
      </c>
      <c r="O244">
        <f t="shared" si="25"/>
        <v>54</v>
      </c>
      <c r="P244" t="s">
        <v>294</v>
      </c>
      <c r="Q244" t="str">
        <f t="shared" si="26"/>
        <v>Australia</v>
      </c>
      <c r="R244">
        <v>2023</v>
      </c>
      <c r="S244">
        <v>6</v>
      </c>
      <c r="T244">
        <v>15</v>
      </c>
      <c r="U244">
        <v>16</v>
      </c>
      <c r="Y244" s="4">
        <f t="shared" si="27"/>
        <v>16</v>
      </c>
    </row>
    <row r="245" spans="1:25" ht="18" x14ac:dyDescent="0.25">
      <c r="A245" t="s">
        <v>858</v>
      </c>
      <c r="B245" t="s">
        <v>742</v>
      </c>
      <c r="C245" s="12" t="str">
        <f t="shared" si="21"/>
        <v>Positive</v>
      </c>
      <c r="D245" s="18">
        <f t="shared" si="22"/>
        <v>1</v>
      </c>
      <c r="E245" s="1">
        <v>44479.614583333336</v>
      </c>
      <c r="F245" s="10">
        <f>INT(E245)</f>
        <v>44479</v>
      </c>
      <c r="G245" s="15">
        <f>MOD(E245,2)</f>
        <v>1.6145833333357587</v>
      </c>
      <c r="H245" s="15" t="str">
        <f t="shared" si="23"/>
        <v>14:45</v>
      </c>
      <c r="I245" t="s">
        <v>859</v>
      </c>
      <c r="J245" t="s">
        <v>16</v>
      </c>
      <c r="K245" t="str">
        <f t="shared" si="24"/>
        <v>Twitter</v>
      </c>
      <c r="L245" t="s">
        <v>860</v>
      </c>
      <c r="M245">
        <v>20</v>
      </c>
      <c r="N245">
        <v>40</v>
      </c>
      <c r="O245">
        <f t="shared" si="25"/>
        <v>60</v>
      </c>
      <c r="P245" t="s">
        <v>367</v>
      </c>
      <c r="Q245" t="str">
        <f t="shared" si="26"/>
        <v>UK</v>
      </c>
      <c r="R245">
        <v>2021</v>
      </c>
      <c r="S245">
        <v>10</v>
      </c>
      <c r="T245">
        <v>10</v>
      </c>
      <c r="U245">
        <v>14</v>
      </c>
      <c r="Y245" s="4">
        <f t="shared" si="27"/>
        <v>14</v>
      </c>
    </row>
    <row r="246" spans="1:25" ht="18" x14ac:dyDescent="0.25">
      <c r="A246" t="s">
        <v>861</v>
      </c>
      <c r="B246" t="s">
        <v>746</v>
      </c>
      <c r="C246" s="12" t="str">
        <f t="shared" si="21"/>
        <v>Positive</v>
      </c>
      <c r="D246" s="18">
        <f t="shared" si="22"/>
        <v>1</v>
      </c>
      <c r="E246" s="1">
        <v>43963.8125</v>
      </c>
      <c r="F246" s="10">
        <f>INT(E246)</f>
        <v>43963</v>
      </c>
      <c r="G246" s="15">
        <f>MOD(E246,2)</f>
        <v>1.8125</v>
      </c>
      <c r="H246" s="15" t="str">
        <f t="shared" si="23"/>
        <v>19:30</v>
      </c>
      <c r="I246" t="s">
        <v>862</v>
      </c>
      <c r="J246" t="s">
        <v>26</v>
      </c>
      <c r="K246" t="str">
        <f t="shared" si="24"/>
        <v>Instagram</v>
      </c>
      <c r="L246" t="s">
        <v>863</v>
      </c>
      <c r="M246">
        <v>25</v>
      </c>
      <c r="N246">
        <v>50</v>
      </c>
      <c r="O246">
        <f t="shared" si="25"/>
        <v>75</v>
      </c>
      <c r="P246" t="s">
        <v>204</v>
      </c>
      <c r="Q246" t="str">
        <f t="shared" si="26"/>
        <v>USA</v>
      </c>
      <c r="R246">
        <v>2020</v>
      </c>
      <c r="S246">
        <v>5</v>
      </c>
      <c r="T246">
        <v>12</v>
      </c>
      <c r="U246">
        <v>19</v>
      </c>
      <c r="Y246" s="4">
        <f t="shared" si="27"/>
        <v>19</v>
      </c>
    </row>
    <row r="247" spans="1:25" ht="18" x14ac:dyDescent="0.25">
      <c r="A247" t="s">
        <v>864</v>
      </c>
      <c r="B247" t="s">
        <v>711</v>
      </c>
      <c r="C247" s="12" t="str">
        <f t="shared" si="21"/>
        <v>Neutral</v>
      </c>
      <c r="D247" s="18">
        <f t="shared" si="22"/>
        <v>0</v>
      </c>
      <c r="E247" s="1">
        <v>44896.385416666664</v>
      </c>
      <c r="F247" s="10">
        <f>INT(E247)</f>
        <v>44896</v>
      </c>
      <c r="G247" s="15">
        <f>MOD(E247,2)</f>
        <v>0.38541666666424135</v>
      </c>
      <c r="H247" s="15" t="str">
        <f t="shared" si="23"/>
        <v>09:15</v>
      </c>
      <c r="I247" t="s">
        <v>865</v>
      </c>
      <c r="J247" t="s">
        <v>31</v>
      </c>
      <c r="K247" t="str">
        <f t="shared" si="24"/>
        <v>Facebook</v>
      </c>
      <c r="L247" t="s">
        <v>866</v>
      </c>
      <c r="M247">
        <v>22</v>
      </c>
      <c r="N247">
        <v>44</v>
      </c>
      <c r="O247">
        <f t="shared" si="25"/>
        <v>66</v>
      </c>
      <c r="P247" t="s">
        <v>655</v>
      </c>
      <c r="Q247" t="str">
        <f t="shared" si="26"/>
        <v>India</v>
      </c>
      <c r="R247">
        <v>2022</v>
      </c>
      <c r="S247">
        <v>12</v>
      </c>
      <c r="T247">
        <v>1</v>
      </c>
      <c r="U247">
        <v>9</v>
      </c>
      <c r="Y247" s="4">
        <f t="shared" si="27"/>
        <v>9</v>
      </c>
    </row>
    <row r="248" spans="1:25" ht="18" x14ac:dyDescent="0.25">
      <c r="A248" t="s">
        <v>867</v>
      </c>
      <c r="B248" t="s">
        <v>868</v>
      </c>
      <c r="C248" s="12" t="str">
        <f t="shared" si="21"/>
        <v>Neutral</v>
      </c>
      <c r="D248" s="18">
        <f t="shared" si="22"/>
        <v>0</v>
      </c>
      <c r="E248" s="1">
        <v>44530.645833333336</v>
      </c>
      <c r="F248" s="10">
        <f>INT(E248)</f>
        <v>44530</v>
      </c>
      <c r="G248" s="15">
        <f>MOD(E248,2)</f>
        <v>0.64583333333575865</v>
      </c>
      <c r="H248" s="15" t="str">
        <f t="shared" si="23"/>
        <v>15:30</v>
      </c>
      <c r="I248" t="s">
        <v>869</v>
      </c>
      <c r="J248" t="s">
        <v>26</v>
      </c>
      <c r="K248" t="str">
        <f t="shared" si="24"/>
        <v>Instagram</v>
      </c>
      <c r="L248" t="s">
        <v>870</v>
      </c>
      <c r="M248">
        <v>10</v>
      </c>
      <c r="N248">
        <v>20</v>
      </c>
      <c r="O248">
        <f t="shared" si="25"/>
        <v>30</v>
      </c>
      <c r="P248" t="s">
        <v>123</v>
      </c>
      <c r="Q248" t="str">
        <f t="shared" si="26"/>
        <v>Canada</v>
      </c>
      <c r="R248">
        <v>2021</v>
      </c>
      <c r="S248">
        <v>11</v>
      </c>
      <c r="T248">
        <v>30</v>
      </c>
      <c r="U248">
        <v>15</v>
      </c>
      <c r="Y248" s="4">
        <f t="shared" si="27"/>
        <v>15</v>
      </c>
    </row>
    <row r="249" spans="1:25" ht="18" x14ac:dyDescent="0.25">
      <c r="A249" t="s">
        <v>871</v>
      </c>
      <c r="B249" t="s">
        <v>872</v>
      </c>
      <c r="C249" s="12" t="str">
        <f t="shared" si="21"/>
        <v>Positive</v>
      </c>
      <c r="D249" s="18">
        <f t="shared" si="22"/>
        <v>1</v>
      </c>
      <c r="E249" s="1">
        <v>43293.739583333336</v>
      </c>
      <c r="F249" s="10">
        <f>INT(E249)</f>
        <v>43293</v>
      </c>
      <c r="G249" s="15">
        <f>MOD(E249,2)</f>
        <v>1.7395833333357587</v>
      </c>
      <c r="H249" s="15" t="str">
        <f t="shared" si="23"/>
        <v>17:45</v>
      </c>
      <c r="I249" t="s">
        <v>873</v>
      </c>
      <c r="J249" t="s">
        <v>874</v>
      </c>
      <c r="K249" t="str">
        <f t="shared" si="24"/>
        <v>Twitter</v>
      </c>
      <c r="L249" t="s">
        <v>875</v>
      </c>
      <c r="M249">
        <v>15</v>
      </c>
      <c r="N249">
        <v>30</v>
      </c>
      <c r="O249">
        <f t="shared" si="25"/>
        <v>45</v>
      </c>
      <c r="P249" t="s">
        <v>98</v>
      </c>
      <c r="Q249" t="str">
        <f t="shared" si="26"/>
        <v>USA</v>
      </c>
      <c r="R249">
        <v>2018</v>
      </c>
      <c r="S249">
        <v>7</v>
      </c>
      <c r="T249">
        <v>12</v>
      </c>
      <c r="U249">
        <v>17</v>
      </c>
      <c r="Y249" s="4">
        <f t="shared" si="27"/>
        <v>17</v>
      </c>
    </row>
    <row r="250" spans="1:25" ht="18" x14ac:dyDescent="0.25">
      <c r="A250" t="s">
        <v>876</v>
      </c>
      <c r="B250" t="s">
        <v>877</v>
      </c>
      <c r="C250" s="12" t="str">
        <f t="shared" si="21"/>
        <v>Positive</v>
      </c>
      <c r="D250" s="18">
        <f t="shared" si="22"/>
        <v>1</v>
      </c>
      <c r="E250" s="1">
        <v>44079.840277777781</v>
      </c>
      <c r="F250" s="10">
        <f>INT(E250)</f>
        <v>44079</v>
      </c>
      <c r="G250" s="15">
        <f>MOD(E250,2)</f>
        <v>1.8402777777810115</v>
      </c>
      <c r="H250" s="15" t="str">
        <f t="shared" si="23"/>
        <v>20:10</v>
      </c>
      <c r="I250" t="s">
        <v>878</v>
      </c>
      <c r="J250" t="s">
        <v>31</v>
      </c>
      <c r="K250" t="str">
        <f t="shared" si="24"/>
        <v>Facebook</v>
      </c>
      <c r="L250" t="s">
        <v>879</v>
      </c>
      <c r="M250">
        <v>18</v>
      </c>
      <c r="N250">
        <v>36</v>
      </c>
      <c r="O250">
        <f t="shared" si="25"/>
        <v>54</v>
      </c>
      <c r="P250" t="s">
        <v>38</v>
      </c>
      <c r="Q250" t="str">
        <f t="shared" si="26"/>
        <v>Australia</v>
      </c>
      <c r="R250">
        <v>2020</v>
      </c>
      <c r="S250">
        <v>9</v>
      </c>
      <c r="T250">
        <v>5</v>
      </c>
      <c r="U250">
        <v>20</v>
      </c>
      <c r="Y250" s="4">
        <f t="shared" si="27"/>
        <v>20</v>
      </c>
    </row>
    <row r="251" spans="1:25" ht="18" x14ac:dyDescent="0.25">
      <c r="A251" t="s">
        <v>880</v>
      </c>
      <c r="B251" t="s">
        <v>881</v>
      </c>
      <c r="C251" s="12" t="str">
        <f t="shared" si="21"/>
        <v>Positive</v>
      </c>
      <c r="D251" s="18">
        <f t="shared" si="22"/>
        <v>1</v>
      </c>
      <c r="E251" s="1">
        <v>44669.333333333336</v>
      </c>
      <c r="F251" s="10">
        <f>INT(E251)</f>
        <v>44669</v>
      </c>
      <c r="G251" s="15">
        <f>MOD(E251,2)</f>
        <v>1.3333333333357587</v>
      </c>
      <c r="H251" s="15" t="str">
        <f t="shared" si="23"/>
        <v>08:00</v>
      </c>
      <c r="I251" t="s">
        <v>882</v>
      </c>
      <c r="J251" t="s">
        <v>26</v>
      </c>
      <c r="K251" t="str">
        <f t="shared" si="24"/>
        <v>Instagram</v>
      </c>
      <c r="L251" t="s">
        <v>883</v>
      </c>
      <c r="M251">
        <v>12</v>
      </c>
      <c r="N251">
        <v>24</v>
      </c>
      <c r="O251">
        <f t="shared" si="25"/>
        <v>36</v>
      </c>
      <c r="P251" t="s">
        <v>164</v>
      </c>
      <c r="Q251" t="str">
        <f t="shared" si="26"/>
        <v>India</v>
      </c>
      <c r="R251">
        <v>2022</v>
      </c>
      <c r="S251">
        <v>4</v>
      </c>
      <c r="T251">
        <v>18</v>
      </c>
      <c r="U251">
        <v>8</v>
      </c>
      <c r="Y251" s="4">
        <f t="shared" si="27"/>
        <v>8</v>
      </c>
    </row>
    <row r="252" spans="1:25" ht="18" x14ac:dyDescent="0.25">
      <c r="A252" t="s">
        <v>884</v>
      </c>
      <c r="B252" t="s">
        <v>885</v>
      </c>
      <c r="C252" s="12" t="str">
        <f t="shared" si="21"/>
        <v>Neutral</v>
      </c>
      <c r="D252" s="18">
        <f t="shared" si="22"/>
        <v>0</v>
      </c>
      <c r="E252" s="1">
        <v>43809.513888888891</v>
      </c>
      <c r="F252" s="10">
        <f>INT(E252)</f>
        <v>43809</v>
      </c>
      <c r="G252" s="15">
        <f>MOD(E252,2)</f>
        <v>1.5138888888905058</v>
      </c>
      <c r="H252" s="15" t="str">
        <f t="shared" si="23"/>
        <v>12:20</v>
      </c>
      <c r="I252" t="s">
        <v>886</v>
      </c>
      <c r="J252" t="s">
        <v>874</v>
      </c>
      <c r="K252" t="str">
        <f t="shared" si="24"/>
        <v>Twitter</v>
      </c>
      <c r="L252" t="s">
        <v>887</v>
      </c>
      <c r="M252">
        <v>25</v>
      </c>
      <c r="N252">
        <v>50</v>
      </c>
      <c r="O252">
        <f t="shared" si="25"/>
        <v>75</v>
      </c>
      <c r="P252" t="s">
        <v>123</v>
      </c>
      <c r="Q252" t="str">
        <f t="shared" si="26"/>
        <v>Canada</v>
      </c>
      <c r="R252">
        <v>2019</v>
      </c>
      <c r="S252">
        <v>12</v>
      </c>
      <c r="T252">
        <v>10</v>
      </c>
      <c r="U252">
        <v>12</v>
      </c>
      <c r="Y252" s="4">
        <f t="shared" si="27"/>
        <v>12</v>
      </c>
    </row>
    <row r="253" spans="1:25" ht="18" x14ac:dyDescent="0.25">
      <c r="A253" t="s">
        <v>888</v>
      </c>
      <c r="B253" t="s">
        <v>889</v>
      </c>
      <c r="C253" s="12" t="str">
        <f t="shared" si="21"/>
        <v>Positive</v>
      </c>
      <c r="D253" s="18">
        <f t="shared" si="22"/>
        <v>1</v>
      </c>
      <c r="E253" s="1">
        <v>44985.40625</v>
      </c>
      <c r="F253" s="10">
        <f>INT(E253)</f>
        <v>44985</v>
      </c>
      <c r="G253" s="15">
        <f>MOD(E253,2)</f>
        <v>1.40625</v>
      </c>
      <c r="H253" s="15" t="str">
        <f t="shared" si="23"/>
        <v>09:45</v>
      </c>
      <c r="I253" t="s">
        <v>890</v>
      </c>
      <c r="J253" t="s">
        <v>31</v>
      </c>
      <c r="K253" t="str">
        <f t="shared" si="24"/>
        <v>Facebook</v>
      </c>
      <c r="L253" t="s">
        <v>891</v>
      </c>
      <c r="M253">
        <v>20</v>
      </c>
      <c r="N253">
        <v>40</v>
      </c>
      <c r="O253">
        <f t="shared" si="25"/>
        <v>60</v>
      </c>
      <c r="P253" t="s">
        <v>98</v>
      </c>
      <c r="Q253" t="str">
        <f t="shared" si="26"/>
        <v>USA</v>
      </c>
      <c r="R253">
        <v>2023</v>
      </c>
      <c r="S253">
        <v>2</v>
      </c>
      <c r="T253">
        <v>28</v>
      </c>
      <c r="U253">
        <v>9</v>
      </c>
      <c r="Y253" s="4">
        <f t="shared" si="27"/>
        <v>9</v>
      </c>
    </row>
    <row r="254" spans="1:25" ht="18" x14ac:dyDescent="0.25">
      <c r="A254" t="s">
        <v>892</v>
      </c>
      <c r="B254" t="s">
        <v>893</v>
      </c>
      <c r="C254" s="12" t="str">
        <f t="shared" si="21"/>
        <v>Neutral</v>
      </c>
      <c r="D254" s="18">
        <f t="shared" si="22"/>
        <v>0</v>
      </c>
      <c r="E254" s="1">
        <v>43193.59375</v>
      </c>
      <c r="F254" s="10">
        <f>INT(E254)</f>
        <v>43193</v>
      </c>
      <c r="G254" s="15">
        <f>MOD(E254,2)</f>
        <v>1.59375</v>
      </c>
      <c r="H254" s="15" t="str">
        <f t="shared" si="23"/>
        <v>14:15</v>
      </c>
      <c r="I254" t="s">
        <v>894</v>
      </c>
      <c r="J254" t="s">
        <v>26</v>
      </c>
      <c r="K254" t="str">
        <f t="shared" si="24"/>
        <v>Instagram</v>
      </c>
      <c r="L254" t="s">
        <v>895</v>
      </c>
      <c r="M254">
        <v>15</v>
      </c>
      <c r="N254">
        <v>30</v>
      </c>
      <c r="O254">
        <f t="shared" si="25"/>
        <v>45</v>
      </c>
      <c r="P254" t="s">
        <v>109</v>
      </c>
      <c r="Q254" t="str">
        <f t="shared" si="26"/>
        <v>UK</v>
      </c>
      <c r="R254">
        <v>2018</v>
      </c>
      <c r="S254">
        <v>4</v>
      </c>
      <c r="T254">
        <v>3</v>
      </c>
      <c r="U254">
        <v>14</v>
      </c>
      <c r="Y254" s="4">
        <f t="shared" si="27"/>
        <v>14</v>
      </c>
    </row>
    <row r="255" spans="1:25" ht="18" x14ac:dyDescent="0.25">
      <c r="A255" t="s">
        <v>896</v>
      </c>
      <c r="B255" t="s">
        <v>897</v>
      </c>
      <c r="C255" s="12" t="str">
        <f t="shared" si="21"/>
        <v>Positive</v>
      </c>
      <c r="D255" s="18">
        <f t="shared" si="22"/>
        <v>1</v>
      </c>
      <c r="E255" s="1">
        <v>44732.4375</v>
      </c>
      <c r="F255" s="10">
        <f>INT(E255)</f>
        <v>44732</v>
      </c>
      <c r="G255" s="15">
        <f>MOD(E255,2)</f>
        <v>0.4375</v>
      </c>
      <c r="H255" s="15" t="str">
        <f t="shared" si="23"/>
        <v>10:30</v>
      </c>
      <c r="I255" t="s">
        <v>898</v>
      </c>
      <c r="J255" t="s">
        <v>874</v>
      </c>
      <c r="K255" t="str">
        <f t="shared" si="24"/>
        <v>Twitter</v>
      </c>
      <c r="L255" t="s">
        <v>899</v>
      </c>
      <c r="M255">
        <v>18</v>
      </c>
      <c r="N255">
        <v>36</v>
      </c>
      <c r="O255">
        <f t="shared" si="25"/>
        <v>54</v>
      </c>
      <c r="P255" t="s">
        <v>38</v>
      </c>
      <c r="Q255" t="str">
        <f t="shared" si="26"/>
        <v>Australia</v>
      </c>
      <c r="R255">
        <v>2022</v>
      </c>
      <c r="S255">
        <v>6</v>
      </c>
      <c r="T255">
        <v>20</v>
      </c>
      <c r="U255">
        <v>10</v>
      </c>
      <c r="Y255" s="4">
        <f t="shared" si="27"/>
        <v>10</v>
      </c>
    </row>
    <row r="256" spans="1:25" ht="18" x14ac:dyDescent="0.25">
      <c r="A256" t="s">
        <v>900</v>
      </c>
      <c r="B256" t="s">
        <v>901</v>
      </c>
      <c r="C256" s="12" t="str">
        <f t="shared" si="21"/>
        <v>Positive</v>
      </c>
      <c r="D256" s="18">
        <f t="shared" si="22"/>
        <v>1</v>
      </c>
      <c r="E256" s="1">
        <v>44020.75</v>
      </c>
      <c r="F256" s="10">
        <f>INT(E256)</f>
        <v>44020</v>
      </c>
      <c r="G256" s="15">
        <f>MOD(E256,2)</f>
        <v>0.75</v>
      </c>
      <c r="H256" s="15" t="str">
        <f t="shared" si="23"/>
        <v>18:00</v>
      </c>
      <c r="I256" t="s">
        <v>902</v>
      </c>
      <c r="J256" t="s">
        <v>31</v>
      </c>
      <c r="K256" t="str">
        <f t="shared" si="24"/>
        <v>Facebook</v>
      </c>
      <c r="L256" t="s">
        <v>903</v>
      </c>
      <c r="M256">
        <v>22</v>
      </c>
      <c r="N256">
        <v>44</v>
      </c>
      <c r="O256">
        <f t="shared" si="25"/>
        <v>66</v>
      </c>
      <c r="P256" t="s">
        <v>123</v>
      </c>
      <c r="Q256" t="str">
        <f t="shared" si="26"/>
        <v>Canada</v>
      </c>
      <c r="R256">
        <v>2020</v>
      </c>
      <c r="S256">
        <v>7</v>
      </c>
      <c r="T256">
        <v>8</v>
      </c>
      <c r="U256">
        <v>18</v>
      </c>
      <c r="Y256" s="4">
        <f t="shared" si="27"/>
        <v>18</v>
      </c>
    </row>
    <row r="257" spans="1:25" ht="18" x14ac:dyDescent="0.25">
      <c r="A257" t="s">
        <v>904</v>
      </c>
      <c r="B257" t="s">
        <v>905</v>
      </c>
      <c r="C257" s="12" t="str">
        <f t="shared" si="21"/>
        <v>Positive</v>
      </c>
      <c r="D257" s="18">
        <f t="shared" si="22"/>
        <v>1</v>
      </c>
      <c r="E257" s="1">
        <v>44423.465277777781</v>
      </c>
      <c r="F257" s="10">
        <f>INT(E257)</f>
        <v>44423</v>
      </c>
      <c r="G257" s="15">
        <f>MOD(E257,2)</f>
        <v>1.4652777777810115</v>
      </c>
      <c r="H257" s="15" t="str">
        <f t="shared" si="23"/>
        <v>11:10</v>
      </c>
      <c r="I257" t="s">
        <v>906</v>
      </c>
      <c r="J257" t="s">
        <v>26</v>
      </c>
      <c r="K257" t="str">
        <f t="shared" si="24"/>
        <v>Instagram</v>
      </c>
      <c r="L257" t="s">
        <v>907</v>
      </c>
      <c r="M257">
        <v>20</v>
      </c>
      <c r="N257">
        <v>40</v>
      </c>
      <c r="O257">
        <f t="shared" si="25"/>
        <v>60</v>
      </c>
      <c r="P257" t="s">
        <v>164</v>
      </c>
      <c r="Q257" t="str">
        <f t="shared" si="26"/>
        <v>India</v>
      </c>
      <c r="R257">
        <v>2021</v>
      </c>
      <c r="S257">
        <v>8</v>
      </c>
      <c r="T257">
        <v>15</v>
      </c>
      <c r="U257">
        <v>11</v>
      </c>
      <c r="Y257" s="4">
        <f t="shared" si="27"/>
        <v>11</v>
      </c>
    </row>
    <row r="258" spans="1:25" ht="18" x14ac:dyDescent="0.25">
      <c r="A258" t="s">
        <v>908</v>
      </c>
      <c r="B258" t="s">
        <v>909</v>
      </c>
      <c r="C258" s="12" t="str">
        <f t="shared" si="21"/>
        <v>Positive</v>
      </c>
      <c r="D258" s="18">
        <f t="shared" si="22"/>
        <v>1</v>
      </c>
      <c r="E258" s="1">
        <v>43763.701388888891</v>
      </c>
      <c r="F258" s="10">
        <f>INT(E258)</f>
        <v>43763</v>
      </c>
      <c r="G258" s="15">
        <f>MOD(E258,2)</f>
        <v>1.7013888888905058</v>
      </c>
      <c r="H258" s="15" t="str">
        <f t="shared" si="23"/>
        <v>16:50</v>
      </c>
      <c r="I258" t="s">
        <v>910</v>
      </c>
      <c r="J258" t="s">
        <v>874</v>
      </c>
      <c r="K258" t="str">
        <f t="shared" si="24"/>
        <v>Twitter</v>
      </c>
      <c r="L258" t="s">
        <v>911</v>
      </c>
      <c r="M258">
        <v>15</v>
      </c>
      <c r="N258">
        <v>30</v>
      </c>
      <c r="O258">
        <f t="shared" si="25"/>
        <v>45</v>
      </c>
      <c r="P258" t="s">
        <v>109</v>
      </c>
      <c r="Q258" t="str">
        <f t="shared" si="26"/>
        <v>UK</v>
      </c>
      <c r="R258">
        <v>2019</v>
      </c>
      <c r="S258">
        <v>10</v>
      </c>
      <c r="T258">
        <v>25</v>
      </c>
      <c r="U258">
        <v>16</v>
      </c>
      <c r="Y258" s="4">
        <f t="shared" si="27"/>
        <v>16</v>
      </c>
    </row>
    <row r="259" spans="1:25" ht="18" x14ac:dyDescent="0.25">
      <c r="A259" t="s">
        <v>912</v>
      </c>
      <c r="B259" t="s">
        <v>881</v>
      </c>
      <c r="C259" s="12" t="str">
        <f t="shared" ref="C259:C322" si="28">IF(OR(ISNUMBER(SEARCH("happ",B259)),ISNUMBER(SEARCH("joy",B259)),ISNUMBER(SEARCH("love",B259)),ISNUMBER(SEARCH("amuse",B259)),ISNUMBER(SEARCH("enjoy",B259)),ISNUMBER(SEARCH("admire",B259)),ISNUMBER(SEARCH("affection",B259)),ISNUMBER(SEARCH("awe",B259)),ISNUMBER(SEARCH("accept",B259)),ISNUMBER(SEARCH("ador",B259)),ISNUMBER(SEARCH("calm",B259)),ISNUMBER(SEARCH("excit",B259)),ISNUMBER(SEARCH("kind",B259)),ISNUMBER(SEARCH("pride",B259)),ISNUMBER(SEARCH("elat",B259)),ISNUMBER(SEARCH("euphor",B259)),ISNUMBER(SEARCH("content",B259)),ISNUMBER(SEARCH("seren",B259)),ISNUMBER(SEARCH("grat",B259)),ISNUMBER(SEARCH("hope",B259)),ISNUMBER(SEARCH("empower",B259)),ISNUMBER(SEARCH("compass",B259)),ISNUMBER(SEARCH("tender",B259)),ISNUMBER(SEARCH("enthus",B259)),ISNUMBER(SEARCH("fulfill",B259)),ISNUMBER(SEARCH("rever",B259)),ISNUMBER(SEARCH("zest",B259)),ISNUMBER(SEARCH("play",B259)),ISNUMBER(SEARCH("inspir",B259)),ISNUMBER(SEARCH("confid",B259)),ISNUMBER(SEARCH("determin",B259)),ISNUMBER(SEARCH("thrill",B259)),ISNUMBER(SEARCH("overjoy",B259)),ISNUMBER(SEARCH("motiv",B259)),ISNUMBER(SEARCH("satisf",B259)),ISNUMBER(SEARCH("bless",B259)),ISNUMBER(SEARCH("appreci",B259)),ISNUMBER(SEARCH("accomplish",B259)),ISNUMBER(SEARCH("wonder",B259)),ISNUMBER(SEARCH("optim",B259)),ISNUMBER(SEARCH("enchant",B259)),ISNUMBER(SEARCH("intrigu",B259)),ISNUMBER(SEARCH("mindful",B259)),ISNUMBER(SEARCH("eleg",B259)),ISNUMBER(SEARCH("whims",B259)),ISNUMBER(SEARCH("harmon",B259)),ISNUMBER(SEARCH("creativ",B259)),ISNUMBER(SEARCH("radian",B259)),ISNUMBER(SEARCH("rejuven",B259)),ISNUMBER(SEARCH("cozy",B259)),ISNUMBER(SEARCH("adventur",B259)),ISNUMBER(SEARCH("melod",B259)),ISNUMBER(SEARCH("festiv",B259)),ISNUMBER(SEARCH("free",B259)),ISNUMBER(SEARCH("dazzl",B259)),ISNUMBER(SEARCH("adrenal",B259)),ISNUMBER(SEARCH("artistic",B259)),ISNUMBER(SEARCH("resil",B259)),ISNUMBER(SEARCH("immers",B259)),ISNUMBER(SEARCH("spark",B259)),ISNUMBER(SEARCH("marvel",B259)),ISNUMBER(SEARCH("friend",B259)),ISNUMBER(SEARCH("success",B259)),ISNUMBER(SEARCH("explor",B259)),ISNUMBER(SEARCH("amaz",B259)),ISNUMBER(SEARCH("romanc",B259)),ISNUMBER(SEARCH("captiv",B259)),ISNUMBER(SEARCH("tranquil",B259)),ISNUMBER(SEARCH("grand",B259)),ISNUMBER(SEARCH("energ",B259)),ISNUMBER(SEARCH("celebr",B259)),ISNUMBER(SEARCH("charm",B259)),ISNUMBER(SEARCH("ecstasy",B259)),ISNUMBER(SEARCH("color",B259)),ISNUMBER(SEARCH("hypnot",B259)),ISNUMBER(SEARCH("connect",B259)),ISNUMBER(SEARCH("icon",B259)),ISNUMBER(SEARCH("engag",B259)),ISNUMBER(SEARCH("triumph",B259)),ISNUMBER(SEARCH("heartwarm",B259)),ISNUMBER(SEARCH("solac",B259)),ISNUMBER(SEARCH("breakthrough",B259)),ISNUMBER(SEARCH("imagin",B259)),ISNUMBER(SEARCH("vibran",B259)),ISNUMBER(SEARCH("mesmer",B259)),ISNUMBER(SEARCH("winter magic",B259)),ISNUMBER(SEARCH("nature",B259)),ISNUMBER(SEARCH("celestial",B259)),ISNUMBER(SEARCH("positive",B259)),ISNUMBER(SEARCH("arous",B259))),"Positive",IF(OR(ISNUMBER(SEARCH("anger",B259)),ISNUMBER(SEARCH("fear",B259)),ISNUMBER(SEARCH("sad",B259)),ISNUMBER(SEARCH("disgust",B259)),ISNUMBER(SEARCH("disappoint",B259)),ISNUMBER(SEARCH("bitter",B259)),ISNUMBER(SEARCH("shame",B259)),ISNUMBER(SEARCH("despair",B259)),ISNUMBER(SEARCH("grief",B259)),ISNUMBER(SEARCH("lonel",B259)),ISNUMBER(SEARCH("jealous",B259)),ISNUMBER(SEARCH("resent",B259)),ISNUMBER(SEARCH("frustrat",B259)),ISNUMBER(SEARCH("bored",B259)),ISNUMBER(SEARCH("anxi",B259)),ISNUMBER(SEARCH("intimid",B259)),ISNUMBER(SEARCH("helpless",B259)),ISNUMBER(SEARCH("envy",B259)),ISNUMBER(SEARCH("regret",B259)),ISNUMBER(SEARCH("melanchol",B259)),ISNUMBER(SEARCH("yearn",B259)),ISNUMBER(SEARCH("apprehens",B259)),ISNUMBER(SEARCH("overwhelm",B259)),ISNUMBER(SEARCH("devastat",B259)),ISNUMBER(SEARCH("dismiss",B259)),ISNUMBER(SEARCH("heartbreak",B259)),ISNUMBER(SEARCH("betray",B259)),ISNUMBER(SEARCH("suffer",B259)),ISNUMBER(SEARCH("isolat",B259)),ISNUMBER(SEARCH("lost",B259)),ISNUMBER(SEARCH("exhaust",B259)),ISNUMBER(SEARCH("sorrow",B259)),ISNUMBER(SEARCH("darkness",B259)),ISNUMBER(SEARCH("desperat",B259)),ISNUMBER(SEARCH("ruins",B259)),ISNUMBER(SEARCH("desolat",B259)),ISNUMBER(SEARCH("heartache",B259)),ISNUMBER(SEARCH("solitude",B259)),ISNUMBER(SEARCH("obstacle",B259)),ISNUMBER(SEARCH("pressure",B259)),ISNUMBER(SEARCH("miscalcul",B259)),ISNUMBER(SEARCH("challenge",B259)),ISNUMBER(SEARCH("embarrass",B259)),ISNUMBER(SEARCH("hate",B259)),ISNUMBER(SEARCH("bad",B259)),ISNUMBER(SEARCH("negative",B259))),"Negative","Neutral"))</f>
        <v>Positive</v>
      </c>
      <c r="D259" s="18">
        <f t="shared" ref="D259:D322" si="29">IF(C259="Positive", 1, IF(C259="Negative", -1, 0))</f>
        <v>1</v>
      </c>
      <c r="E259" s="1">
        <v>45204.3125</v>
      </c>
      <c r="F259" s="10">
        <f>INT(E259)</f>
        <v>45204</v>
      </c>
      <c r="G259" s="15">
        <f>MOD(E259,2)</f>
        <v>0.3125</v>
      </c>
      <c r="H259" s="15" t="str">
        <f t="shared" ref="H259:H322" si="30">TEXT(G259, "hh:mm")</f>
        <v>07:30</v>
      </c>
      <c r="I259" t="s">
        <v>913</v>
      </c>
      <c r="J259" t="s">
        <v>31</v>
      </c>
      <c r="K259" t="str">
        <f t="shared" ref="K259:K322" si="31">TRIM(CLEAN(J259))</f>
        <v>Facebook</v>
      </c>
      <c r="L259" t="s">
        <v>914</v>
      </c>
      <c r="M259">
        <v>12</v>
      </c>
      <c r="N259">
        <v>24</v>
      </c>
      <c r="O259">
        <f t="shared" ref="O259:O322" si="32">M259+N259</f>
        <v>36</v>
      </c>
      <c r="P259" t="s">
        <v>98</v>
      </c>
      <c r="Q259" t="str">
        <f t="shared" ref="Q259:Q322" si="33">TRIM(CLEAN(P259))</f>
        <v>USA</v>
      </c>
      <c r="R259">
        <v>2023</v>
      </c>
      <c r="S259">
        <v>10</v>
      </c>
      <c r="T259">
        <v>5</v>
      </c>
      <c r="U259">
        <v>7</v>
      </c>
      <c r="Y259" s="4">
        <f t="shared" ref="Y259:Y322" si="34">HOUR(H259)</f>
        <v>7</v>
      </c>
    </row>
    <row r="260" spans="1:25" ht="18" x14ac:dyDescent="0.25">
      <c r="A260" t="s">
        <v>915</v>
      </c>
      <c r="B260" t="s">
        <v>916</v>
      </c>
      <c r="C260" s="12" t="str">
        <f t="shared" si="28"/>
        <v>Positive</v>
      </c>
      <c r="D260" s="18">
        <f t="shared" si="29"/>
        <v>1</v>
      </c>
      <c r="E260" s="1">
        <v>44607.552083333336</v>
      </c>
      <c r="F260" s="10">
        <f>INT(E260)</f>
        <v>44607</v>
      </c>
      <c r="G260" s="15">
        <f>MOD(E260,2)</f>
        <v>1.5520833333357587</v>
      </c>
      <c r="H260" s="15" t="str">
        <f t="shared" si="30"/>
        <v>13:15</v>
      </c>
      <c r="I260" t="s">
        <v>917</v>
      </c>
      <c r="J260" t="s">
        <v>26</v>
      </c>
      <c r="K260" t="str">
        <f t="shared" si="31"/>
        <v>Instagram</v>
      </c>
      <c r="L260" t="s">
        <v>918</v>
      </c>
      <c r="M260">
        <v>25</v>
      </c>
      <c r="N260">
        <v>50</v>
      </c>
      <c r="O260">
        <f t="shared" si="32"/>
        <v>75</v>
      </c>
      <c r="P260" t="s">
        <v>38</v>
      </c>
      <c r="Q260" t="str">
        <f t="shared" si="33"/>
        <v>Australia</v>
      </c>
      <c r="R260">
        <v>2022</v>
      </c>
      <c r="S260">
        <v>2</v>
      </c>
      <c r="T260">
        <v>15</v>
      </c>
      <c r="U260">
        <v>13</v>
      </c>
      <c r="Y260" s="4">
        <f t="shared" si="34"/>
        <v>13</v>
      </c>
    </row>
    <row r="261" spans="1:25" ht="18" x14ac:dyDescent="0.25">
      <c r="A261" t="s">
        <v>919</v>
      </c>
      <c r="B261" t="s">
        <v>920</v>
      </c>
      <c r="C261" s="12" t="str">
        <f t="shared" si="28"/>
        <v>Positive</v>
      </c>
      <c r="D261" s="18">
        <f t="shared" si="29"/>
        <v>1</v>
      </c>
      <c r="E261" s="1">
        <v>44324.916666666664</v>
      </c>
      <c r="F261" s="10">
        <f>INT(E261)</f>
        <v>44324</v>
      </c>
      <c r="G261" s="15">
        <f>MOD(E261,2)</f>
        <v>0.91666666666424135</v>
      </c>
      <c r="H261" s="15" t="str">
        <f t="shared" si="30"/>
        <v>22:00</v>
      </c>
      <c r="I261" t="s">
        <v>921</v>
      </c>
      <c r="J261" t="s">
        <v>874</v>
      </c>
      <c r="K261" t="str">
        <f t="shared" si="31"/>
        <v>Twitter</v>
      </c>
      <c r="L261" t="s">
        <v>922</v>
      </c>
      <c r="M261">
        <v>13</v>
      </c>
      <c r="N261">
        <v>26</v>
      </c>
      <c r="O261">
        <f t="shared" si="32"/>
        <v>39</v>
      </c>
      <c r="P261" t="s">
        <v>123</v>
      </c>
      <c r="Q261" t="str">
        <f t="shared" si="33"/>
        <v>Canada</v>
      </c>
      <c r="R261">
        <v>2021</v>
      </c>
      <c r="S261">
        <v>5</v>
      </c>
      <c r="T261">
        <v>8</v>
      </c>
      <c r="U261">
        <v>22</v>
      </c>
      <c r="Y261" s="4">
        <f t="shared" si="34"/>
        <v>22</v>
      </c>
    </row>
    <row r="262" spans="1:25" ht="18" x14ac:dyDescent="0.25">
      <c r="A262" t="s">
        <v>923</v>
      </c>
      <c r="B262" t="s">
        <v>924</v>
      </c>
      <c r="C262" s="12" t="str">
        <f t="shared" si="28"/>
        <v>Neutral</v>
      </c>
      <c r="D262" s="18">
        <f t="shared" si="29"/>
        <v>0</v>
      </c>
      <c r="E262" s="1">
        <v>44164.614583333336</v>
      </c>
      <c r="F262" s="10">
        <f>INT(E262)</f>
        <v>44164</v>
      </c>
      <c r="G262" s="15">
        <f>MOD(E262,2)</f>
        <v>0.61458333333575865</v>
      </c>
      <c r="H262" s="15" t="str">
        <f t="shared" si="30"/>
        <v>14:45</v>
      </c>
      <c r="I262" t="s">
        <v>925</v>
      </c>
      <c r="J262" t="s">
        <v>26</v>
      </c>
      <c r="K262" t="str">
        <f t="shared" si="31"/>
        <v>Instagram</v>
      </c>
      <c r="L262" t="s">
        <v>926</v>
      </c>
      <c r="M262">
        <v>17</v>
      </c>
      <c r="N262">
        <v>34</v>
      </c>
      <c r="O262">
        <f t="shared" si="32"/>
        <v>51</v>
      </c>
      <c r="P262" t="s">
        <v>98</v>
      </c>
      <c r="Q262" t="str">
        <f t="shared" si="33"/>
        <v>USA</v>
      </c>
      <c r="R262">
        <v>2020</v>
      </c>
      <c r="S262">
        <v>11</v>
      </c>
      <c r="T262">
        <v>29</v>
      </c>
      <c r="U262">
        <v>14</v>
      </c>
      <c r="Y262" s="4">
        <f t="shared" si="34"/>
        <v>14</v>
      </c>
    </row>
    <row r="263" spans="1:25" ht="18" x14ac:dyDescent="0.25">
      <c r="A263" t="s">
        <v>927</v>
      </c>
      <c r="B263" t="s">
        <v>928</v>
      </c>
      <c r="C263" s="12" t="str">
        <f t="shared" si="28"/>
        <v>Neutral</v>
      </c>
      <c r="D263" s="18">
        <f t="shared" si="29"/>
        <v>0</v>
      </c>
      <c r="E263" s="1">
        <v>43722.430555555555</v>
      </c>
      <c r="F263" s="10">
        <f>INT(E263)</f>
        <v>43722</v>
      </c>
      <c r="G263" s="15">
        <f>MOD(E263,2)</f>
        <v>0.43055555555474712</v>
      </c>
      <c r="H263" s="15" t="str">
        <f t="shared" si="30"/>
        <v>10:20</v>
      </c>
      <c r="I263" t="s">
        <v>929</v>
      </c>
      <c r="J263" t="s">
        <v>31</v>
      </c>
      <c r="K263" t="str">
        <f t="shared" si="31"/>
        <v>Facebook</v>
      </c>
      <c r="L263" t="s">
        <v>930</v>
      </c>
      <c r="M263">
        <v>14</v>
      </c>
      <c r="N263">
        <v>28</v>
      </c>
      <c r="O263">
        <f t="shared" si="32"/>
        <v>42</v>
      </c>
      <c r="P263" t="s">
        <v>109</v>
      </c>
      <c r="Q263" t="str">
        <f t="shared" si="33"/>
        <v>UK</v>
      </c>
      <c r="R263">
        <v>2019</v>
      </c>
      <c r="S263">
        <v>9</v>
      </c>
      <c r="T263">
        <v>14</v>
      </c>
      <c r="U263">
        <v>10</v>
      </c>
      <c r="Y263" s="4">
        <f t="shared" si="34"/>
        <v>10</v>
      </c>
    </row>
    <row r="264" spans="1:25" ht="18" x14ac:dyDescent="0.25">
      <c r="A264" t="s">
        <v>931</v>
      </c>
      <c r="B264" t="s">
        <v>889</v>
      </c>
      <c r="C264" s="12" t="str">
        <f t="shared" si="28"/>
        <v>Positive</v>
      </c>
      <c r="D264" s="18">
        <f t="shared" si="29"/>
        <v>1</v>
      </c>
      <c r="E264" s="1">
        <v>44632.829861111109</v>
      </c>
      <c r="F264" s="10">
        <f>INT(E264)</f>
        <v>44632</v>
      </c>
      <c r="G264" s="15">
        <f>MOD(E264,2)</f>
        <v>0.82986111110949423</v>
      </c>
      <c r="H264" s="15" t="str">
        <f t="shared" si="30"/>
        <v>19:55</v>
      </c>
      <c r="I264" t="s">
        <v>932</v>
      </c>
      <c r="J264" t="s">
        <v>874</v>
      </c>
      <c r="K264" t="str">
        <f t="shared" si="31"/>
        <v>Twitter</v>
      </c>
      <c r="L264" t="s">
        <v>933</v>
      </c>
      <c r="M264">
        <v>19</v>
      </c>
      <c r="N264">
        <v>38</v>
      </c>
      <c r="O264">
        <f t="shared" si="32"/>
        <v>57</v>
      </c>
      <c r="P264" t="s">
        <v>38</v>
      </c>
      <c r="Q264" t="str">
        <f t="shared" si="33"/>
        <v>Australia</v>
      </c>
      <c r="R264">
        <v>2022</v>
      </c>
      <c r="S264">
        <v>3</v>
      </c>
      <c r="T264">
        <v>12</v>
      </c>
      <c r="U264">
        <v>19</v>
      </c>
      <c r="Y264" s="4">
        <f t="shared" si="34"/>
        <v>19</v>
      </c>
    </row>
    <row r="265" spans="1:25" ht="18" x14ac:dyDescent="0.25">
      <c r="A265" t="s">
        <v>934</v>
      </c>
      <c r="B265" t="s">
        <v>872</v>
      </c>
      <c r="C265" s="12" t="str">
        <f t="shared" si="28"/>
        <v>Positive</v>
      </c>
      <c r="D265" s="18">
        <f t="shared" si="29"/>
        <v>1</v>
      </c>
      <c r="E265" s="1">
        <v>45015.6875</v>
      </c>
      <c r="F265" s="10">
        <f>INT(E265)</f>
        <v>45015</v>
      </c>
      <c r="G265" s="15">
        <f>MOD(E265,2)</f>
        <v>1.6875</v>
      </c>
      <c r="H265" s="15" t="str">
        <f t="shared" si="30"/>
        <v>16:30</v>
      </c>
      <c r="I265" t="s">
        <v>935</v>
      </c>
      <c r="J265" t="s">
        <v>26</v>
      </c>
      <c r="K265" t="str">
        <f t="shared" si="31"/>
        <v>Instagram</v>
      </c>
      <c r="L265" t="s">
        <v>936</v>
      </c>
      <c r="M265">
        <v>16</v>
      </c>
      <c r="N265">
        <v>32</v>
      </c>
      <c r="O265">
        <f t="shared" si="32"/>
        <v>48</v>
      </c>
      <c r="P265" t="s">
        <v>164</v>
      </c>
      <c r="Q265" t="str">
        <f t="shared" si="33"/>
        <v>India</v>
      </c>
      <c r="R265">
        <v>2023</v>
      </c>
      <c r="S265">
        <v>3</v>
      </c>
      <c r="T265">
        <v>30</v>
      </c>
      <c r="U265">
        <v>16</v>
      </c>
      <c r="Y265" s="4">
        <f t="shared" si="34"/>
        <v>16</v>
      </c>
    </row>
    <row r="266" spans="1:25" ht="18" x14ac:dyDescent="0.25">
      <c r="A266" t="s">
        <v>937</v>
      </c>
      <c r="B266" t="s">
        <v>897</v>
      </c>
      <c r="C266" s="12" t="str">
        <f t="shared" si="28"/>
        <v>Positive</v>
      </c>
      <c r="D266" s="18">
        <f t="shared" si="29"/>
        <v>1</v>
      </c>
      <c r="E266" s="1">
        <v>44378.506944444445</v>
      </c>
      <c r="F266" s="10">
        <f>INT(E266)</f>
        <v>44378</v>
      </c>
      <c r="G266" s="15">
        <f>MOD(E266,2)</f>
        <v>0.50694444444525288</v>
      </c>
      <c r="H266" s="15" t="str">
        <f t="shared" si="30"/>
        <v>12:10</v>
      </c>
      <c r="I266" t="s">
        <v>938</v>
      </c>
      <c r="J266" t="s">
        <v>31</v>
      </c>
      <c r="K266" t="str">
        <f t="shared" si="31"/>
        <v>Facebook</v>
      </c>
      <c r="L266" t="s">
        <v>939</v>
      </c>
      <c r="M266">
        <v>21</v>
      </c>
      <c r="N266">
        <v>42</v>
      </c>
      <c r="O266">
        <f t="shared" si="32"/>
        <v>63</v>
      </c>
      <c r="P266" t="s">
        <v>123</v>
      </c>
      <c r="Q266" t="str">
        <f t="shared" si="33"/>
        <v>Canada</v>
      </c>
      <c r="R266">
        <v>2021</v>
      </c>
      <c r="S266">
        <v>7</v>
      </c>
      <c r="T266">
        <v>1</v>
      </c>
      <c r="U266">
        <v>12</v>
      </c>
      <c r="Y266" s="4">
        <f t="shared" si="34"/>
        <v>12</v>
      </c>
    </row>
    <row r="267" spans="1:25" ht="18" x14ac:dyDescent="0.25">
      <c r="A267" t="s">
        <v>940</v>
      </c>
      <c r="B267" t="s">
        <v>885</v>
      </c>
      <c r="C267" s="12" t="str">
        <f t="shared" si="28"/>
        <v>Neutral</v>
      </c>
      <c r="D267" s="18">
        <f t="shared" si="29"/>
        <v>0</v>
      </c>
      <c r="E267" s="1">
        <v>43835.364583333336</v>
      </c>
      <c r="F267" s="10">
        <f>INT(E267)</f>
        <v>43835</v>
      </c>
      <c r="G267" s="15">
        <f>MOD(E267,2)</f>
        <v>1.3645833333357587</v>
      </c>
      <c r="H267" s="15" t="str">
        <f t="shared" si="30"/>
        <v>08:45</v>
      </c>
      <c r="I267" t="s">
        <v>941</v>
      </c>
      <c r="J267" t="s">
        <v>874</v>
      </c>
      <c r="K267" t="str">
        <f t="shared" si="31"/>
        <v>Twitter</v>
      </c>
      <c r="L267" t="s">
        <v>942</v>
      </c>
      <c r="M267">
        <v>23</v>
      </c>
      <c r="N267">
        <v>46</v>
      </c>
      <c r="O267">
        <f t="shared" si="32"/>
        <v>69</v>
      </c>
      <c r="P267" t="s">
        <v>98</v>
      </c>
      <c r="Q267" t="str">
        <f t="shared" si="33"/>
        <v>USA</v>
      </c>
      <c r="R267">
        <v>2020</v>
      </c>
      <c r="S267">
        <v>1</v>
      </c>
      <c r="T267">
        <v>5</v>
      </c>
      <c r="U267">
        <v>8</v>
      </c>
      <c r="Y267" s="4">
        <f t="shared" si="34"/>
        <v>8</v>
      </c>
    </row>
    <row r="268" spans="1:25" ht="18" x14ac:dyDescent="0.25">
      <c r="A268" t="s">
        <v>943</v>
      </c>
      <c r="B268" t="s">
        <v>881</v>
      </c>
      <c r="C268" s="12" t="str">
        <f t="shared" si="28"/>
        <v>Positive</v>
      </c>
      <c r="D268" s="18">
        <f t="shared" si="29"/>
        <v>1</v>
      </c>
      <c r="E268" s="1">
        <v>44759.260416666664</v>
      </c>
      <c r="F268" s="10">
        <f>INT(E268)</f>
        <v>44759</v>
      </c>
      <c r="G268" s="15">
        <f>MOD(E268,2)</f>
        <v>1.2604166666642413</v>
      </c>
      <c r="H268" s="15" t="str">
        <f t="shared" si="30"/>
        <v>06:15</v>
      </c>
      <c r="I268" t="s">
        <v>944</v>
      </c>
      <c r="J268" t="s">
        <v>26</v>
      </c>
      <c r="K268" t="str">
        <f t="shared" si="31"/>
        <v>Instagram</v>
      </c>
      <c r="L268" t="s">
        <v>945</v>
      </c>
      <c r="M268">
        <v>14</v>
      </c>
      <c r="N268">
        <v>28</v>
      </c>
      <c r="O268">
        <f t="shared" si="32"/>
        <v>42</v>
      </c>
      <c r="P268" t="s">
        <v>109</v>
      </c>
      <c r="Q268" t="str">
        <f t="shared" si="33"/>
        <v>UK</v>
      </c>
      <c r="R268">
        <v>2022</v>
      </c>
      <c r="S268">
        <v>7</v>
      </c>
      <c r="T268">
        <v>17</v>
      </c>
      <c r="U268">
        <v>6</v>
      </c>
      <c r="Y268" s="4">
        <f t="shared" si="34"/>
        <v>6</v>
      </c>
    </row>
    <row r="269" spans="1:25" ht="18" x14ac:dyDescent="0.25">
      <c r="A269" t="s">
        <v>946</v>
      </c>
      <c r="B269" t="s">
        <v>901</v>
      </c>
      <c r="C269" s="12" t="str">
        <f t="shared" si="28"/>
        <v>Positive</v>
      </c>
      <c r="D269" s="18">
        <f t="shared" si="29"/>
        <v>1</v>
      </c>
      <c r="E269" s="1">
        <v>43334.722222222219</v>
      </c>
      <c r="F269" s="10">
        <f>INT(E269)</f>
        <v>43334</v>
      </c>
      <c r="G269" s="15">
        <f>MOD(E269,2)</f>
        <v>0.72222222221898846</v>
      </c>
      <c r="H269" s="15" t="str">
        <f t="shared" si="30"/>
        <v>17:20</v>
      </c>
      <c r="I269" t="s">
        <v>947</v>
      </c>
      <c r="J269" t="s">
        <v>31</v>
      </c>
      <c r="K269" t="str">
        <f t="shared" si="31"/>
        <v>Facebook</v>
      </c>
      <c r="L269" t="s">
        <v>948</v>
      </c>
      <c r="M269">
        <v>24</v>
      </c>
      <c r="N269">
        <v>48</v>
      </c>
      <c r="O269">
        <f t="shared" si="32"/>
        <v>72</v>
      </c>
      <c r="P269" t="s">
        <v>38</v>
      </c>
      <c r="Q269" t="str">
        <f t="shared" si="33"/>
        <v>Australia</v>
      </c>
      <c r="R269">
        <v>2018</v>
      </c>
      <c r="S269">
        <v>8</v>
      </c>
      <c r="T269">
        <v>22</v>
      </c>
      <c r="U269">
        <v>17</v>
      </c>
      <c r="Y269" s="4">
        <f t="shared" si="34"/>
        <v>17</v>
      </c>
    </row>
    <row r="270" spans="1:25" ht="18" x14ac:dyDescent="0.25">
      <c r="A270" t="s">
        <v>949</v>
      </c>
      <c r="B270" t="s">
        <v>909</v>
      </c>
      <c r="C270" s="12" t="str">
        <f t="shared" si="28"/>
        <v>Positive</v>
      </c>
      <c r="D270" s="18">
        <f t="shared" si="29"/>
        <v>1</v>
      </c>
      <c r="E270" s="1">
        <v>44538.604166666664</v>
      </c>
      <c r="F270" s="10">
        <f>INT(E270)</f>
        <v>44538</v>
      </c>
      <c r="G270" s="15">
        <f>MOD(E270,2)</f>
        <v>0.60416666666424135</v>
      </c>
      <c r="H270" s="15" t="str">
        <f t="shared" si="30"/>
        <v>14:30</v>
      </c>
      <c r="I270" t="s">
        <v>950</v>
      </c>
      <c r="J270" t="s">
        <v>874</v>
      </c>
      <c r="K270" t="str">
        <f t="shared" si="31"/>
        <v>Twitter</v>
      </c>
      <c r="L270" t="s">
        <v>951</v>
      </c>
      <c r="M270">
        <v>18</v>
      </c>
      <c r="N270">
        <v>36</v>
      </c>
      <c r="O270">
        <f t="shared" si="32"/>
        <v>54</v>
      </c>
      <c r="P270" t="s">
        <v>164</v>
      </c>
      <c r="Q270" t="str">
        <f t="shared" si="33"/>
        <v>India</v>
      </c>
      <c r="R270">
        <v>2021</v>
      </c>
      <c r="S270">
        <v>12</v>
      </c>
      <c r="T270">
        <v>8</v>
      </c>
      <c r="U270">
        <v>14</v>
      </c>
      <c r="Y270" s="4">
        <f t="shared" si="34"/>
        <v>14</v>
      </c>
    </row>
    <row r="271" spans="1:25" ht="18" x14ac:dyDescent="0.25">
      <c r="A271" t="s">
        <v>952</v>
      </c>
      <c r="B271" t="s">
        <v>877</v>
      </c>
      <c r="C271" s="12" t="str">
        <f t="shared" si="28"/>
        <v>Positive</v>
      </c>
      <c r="D271" s="18">
        <f t="shared" si="29"/>
        <v>1</v>
      </c>
      <c r="E271" s="1">
        <v>43582.409722222219</v>
      </c>
      <c r="F271" s="10">
        <f>INT(E271)</f>
        <v>43582</v>
      </c>
      <c r="G271" s="15">
        <f>MOD(E271,2)</f>
        <v>0.40972222221898846</v>
      </c>
      <c r="H271" s="15" t="str">
        <f t="shared" si="30"/>
        <v>09:50</v>
      </c>
      <c r="I271" t="s">
        <v>953</v>
      </c>
      <c r="J271" t="s">
        <v>26</v>
      </c>
      <c r="K271" t="str">
        <f t="shared" si="31"/>
        <v>Instagram</v>
      </c>
      <c r="L271" t="s">
        <v>954</v>
      </c>
      <c r="M271">
        <v>20</v>
      </c>
      <c r="N271">
        <v>40</v>
      </c>
      <c r="O271">
        <f t="shared" si="32"/>
        <v>60</v>
      </c>
      <c r="P271" t="s">
        <v>123</v>
      </c>
      <c r="Q271" t="str">
        <f t="shared" si="33"/>
        <v>Canada</v>
      </c>
      <c r="R271">
        <v>2019</v>
      </c>
      <c r="S271">
        <v>4</v>
      </c>
      <c r="T271">
        <v>27</v>
      </c>
      <c r="U271">
        <v>9</v>
      </c>
      <c r="Y271" s="4">
        <f t="shared" si="34"/>
        <v>9</v>
      </c>
    </row>
    <row r="272" spans="1:25" ht="18" x14ac:dyDescent="0.25">
      <c r="A272" t="s">
        <v>955</v>
      </c>
      <c r="B272" t="s">
        <v>893</v>
      </c>
      <c r="C272" s="12" t="str">
        <f t="shared" si="28"/>
        <v>Neutral</v>
      </c>
      <c r="D272" s="18">
        <f t="shared" si="29"/>
        <v>0</v>
      </c>
      <c r="E272" s="1">
        <v>45172.902777777781</v>
      </c>
      <c r="F272" s="10">
        <f>INT(E272)</f>
        <v>45172</v>
      </c>
      <c r="G272" s="15">
        <f>MOD(E272,2)</f>
        <v>0.90277777778101154</v>
      </c>
      <c r="H272" s="15" t="str">
        <f t="shared" si="30"/>
        <v>21:40</v>
      </c>
      <c r="I272" t="s">
        <v>956</v>
      </c>
      <c r="J272" t="s">
        <v>31</v>
      </c>
      <c r="K272" t="str">
        <f t="shared" si="31"/>
        <v>Facebook</v>
      </c>
      <c r="L272" t="s">
        <v>957</v>
      </c>
      <c r="M272">
        <v>16</v>
      </c>
      <c r="N272">
        <v>32</v>
      </c>
      <c r="O272">
        <f t="shared" si="32"/>
        <v>48</v>
      </c>
      <c r="P272" t="s">
        <v>98</v>
      </c>
      <c r="Q272" t="str">
        <f t="shared" si="33"/>
        <v>USA</v>
      </c>
      <c r="R272">
        <v>2023</v>
      </c>
      <c r="S272">
        <v>9</v>
      </c>
      <c r="T272">
        <v>3</v>
      </c>
      <c r="U272">
        <v>21</v>
      </c>
      <c r="Y272" s="4">
        <f t="shared" si="34"/>
        <v>21</v>
      </c>
    </row>
    <row r="273" spans="1:25" ht="18" x14ac:dyDescent="0.25">
      <c r="A273" t="s">
        <v>958</v>
      </c>
      <c r="B273" t="s">
        <v>905</v>
      </c>
      <c r="C273" s="12" t="str">
        <f t="shared" si="28"/>
        <v>Positive</v>
      </c>
      <c r="D273" s="18">
        <f t="shared" si="29"/>
        <v>1</v>
      </c>
      <c r="E273" s="1">
        <v>43992.420138888891</v>
      </c>
      <c r="F273" s="10">
        <f>INT(E273)</f>
        <v>43992</v>
      </c>
      <c r="G273" s="15">
        <f>MOD(E273,2)</f>
        <v>0.42013888889050577</v>
      </c>
      <c r="H273" s="15" t="str">
        <f t="shared" si="30"/>
        <v>10:05</v>
      </c>
      <c r="I273" t="s">
        <v>959</v>
      </c>
      <c r="J273" t="s">
        <v>874</v>
      </c>
      <c r="K273" t="str">
        <f t="shared" si="31"/>
        <v>Twitter</v>
      </c>
      <c r="L273" t="s">
        <v>960</v>
      </c>
      <c r="M273">
        <v>22</v>
      </c>
      <c r="N273">
        <v>44</v>
      </c>
      <c r="O273">
        <f t="shared" si="32"/>
        <v>66</v>
      </c>
      <c r="P273" t="s">
        <v>109</v>
      </c>
      <c r="Q273" t="str">
        <f t="shared" si="33"/>
        <v>UK</v>
      </c>
      <c r="R273">
        <v>2020</v>
      </c>
      <c r="S273">
        <v>6</v>
      </c>
      <c r="T273">
        <v>10</v>
      </c>
      <c r="U273">
        <v>10</v>
      </c>
      <c r="Y273" s="4">
        <f t="shared" si="34"/>
        <v>10</v>
      </c>
    </row>
    <row r="274" spans="1:25" ht="18" x14ac:dyDescent="0.25">
      <c r="A274" t="s">
        <v>961</v>
      </c>
      <c r="B274" t="s">
        <v>889</v>
      </c>
      <c r="C274" s="12" t="str">
        <f t="shared" si="28"/>
        <v>Positive</v>
      </c>
      <c r="D274" s="18">
        <f t="shared" si="29"/>
        <v>1</v>
      </c>
      <c r="E274" s="1">
        <v>44652.770833333336</v>
      </c>
      <c r="F274" s="10">
        <f>INT(E274)</f>
        <v>44652</v>
      </c>
      <c r="G274" s="15">
        <f>MOD(E274,2)</f>
        <v>0.77083333333575865</v>
      </c>
      <c r="H274" s="15" t="str">
        <f t="shared" si="30"/>
        <v>18:30</v>
      </c>
      <c r="I274" t="s">
        <v>962</v>
      </c>
      <c r="J274" t="s">
        <v>26</v>
      </c>
      <c r="K274" t="str">
        <f t="shared" si="31"/>
        <v>Instagram</v>
      </c>
      <c r="L274" t="s">
        <v>963</v>
      </c>
      <c r="M274">
        <v>19</v>
      </c>
      <c r="N274">
        <v>38</v>
      </c>
      <c r="O274">
        <f t="shared" si="32"/>
        <v>57</v>
      </c>
      <c r="P274" t="s">
        <v>38</v>
      </c>
      <c r="Q274" t="str">
        <f t="shared" si="33"/>
        <v>Australia</v>
      </c>
      <c r="R274">
        <v>2022</v>
      </c>
      <c r="S274">
        <v>4</v>
      </c>
      <c r="T274">
        <v>1</v>
      </c>
      <c r="U274">
        <v>18</v>
      </c>
      <c r="Y274" s="4">
        <f t="shared" si="34"/>
        <v>18</v>
      </c>
    </row>
    <row r="275" spans="1:25" ht="18" x14ac:dyDescent="0.25">
      <c r="A275" t="s">
        <v>964</v>
      </c>
      <c r="B275" t="s">
        <v>916</v>
      </c>
      <c r="C275" s="12" t="str">
        <f t="shared" si="28"/>
        <v>Positive</v>
      </c>
      <c r="D275" s="18">
        <f t="shared" si="29"/>
        <v>1</v>
      </c>
      <c r="E275" s="1">
        <v>44211.541666666664</v>
      </c>
      <c r="F275" s="10">
        <f>INT(E275)</f>
        <v>44211</v>
      </c>
      <c r="G275" s="15">
        <f>MOD(E275,2)</f>
        <v>1.5416666666642413</v>
      </c>
      <c r="H275" s="15" t="str">
        <f t="shared" si="30"/>
        <v>13:00</v>
      </c>
      <c r="I275" t="s">
        <v>965</v>
      </c>
      <c r="J275" t="s">
        <v>31</v>
      </c>
      <c r="K275" t="str">
        <f t="shared" si="31"/>
        <v>Facebook</v>
      </c>
      <c r="L275" t="s">
        <v>966</v>
      </c>
      <c r="M275">
        <v>23</v>
      </c>
      <c r="N275">
        <v>46</v>
      </c>
      <c r="O275">
        <f t="shared" si="32"/>
        <v>69</v>
      </c>
      <c r="P275" t="s">
        <v>123</v>
      </c>
      <c r="Q275" t="str">
        <f t="shared" si="33"/>
        <v>Canada</v>
      </c>
      <c r="R275">
        <v>2021</v>
      </c>
      <c r="S275">
        <v>1</v>
      </c>
      <c r="T275">
        <v>15</v>
      </c>
      <c r="U275">
        <v>13</v>
      </c>
      <c r="Y275" s="4">
        <f t="shared" si="34"/>
        <v>13</v>
      </c>
    </row>
    <row r="276" spans="1:25" ht="18" x14ac:dyDescent="0.25">
      <c r="A276" t="s">
        <v>967</v>
      </c>
      <c r="B276" t="s">
        <v>881</v>
      </c>
      <c r="C276" s="12" t="str">
        <f t="shared" si="28"/>
        <v>Positive</v>
      </c>
      <c r="D276" s="18">
        <f t="shared" si="29"/>
        <v>1</v>
      </c>
      <c r="E276" s="1">
        <v>45052.305555555555</v>
      </c>
      <c r="F276" s="10">
        <f>INT(E276)</f>
        <v>45052</v>
      </c>
      <c r="G276" s="15">
        <f>MOD(E276,2)</f>
        <v>0.30555555555474712</v>
      </c>
      <c r="H276" s="15" t="str">
        <f t="shared" si="30"/>
        <v>07:20</v>
      </c>
      <c r="I276" t="s">
        <v>968</v>
      </c>
      <c r="J276" t="s">
        <v>874</v>
      </c>
      <c r="K276" t="str">
        <f t="shared" si="31"/>
        <v>Twitter</v>
      </c>
      <c r="L276" t="s">
        <v>969</v>
      </c>
      <c r="M276">
        <v>15</v>
      </c>
      <c r="N276">
        <v>30</v>
      </c>
      <c r="O276">
        <f t="shared" si="32"/>
        <v>45</v>
      </c>
      <c r="P276" t="s">
        <v>164</v>
      </c>
      <c r="Q276" t="str">
        <f t="shared" si="33"/>
        <v>India</v>
      </c>
      <c r="R276">
        <v>2023</v>
      </c>
      <c r="S276">
        <v>5</v>
      </c>
      <c r="T276">
        <v>6</v>
      </c>
      <c r="U276">
        <v>7</v>
      </c>
      <c r="Y276" s="4">
        <f t="shared" si="34"/>
        <v>7</v>
      </c>
    </row>
    <row r="277" spans="1:25" ht="18" x14ac:dyDescent="0.25">
      <c r="A277" t="s">
        <v>970</v>
      </c>
      <c r="B277" t="s">
        <v>901</v>
      </c>
      <c r="C277" s="12" t="str">
        <f t="shared" si="28"/>
        <v>Positive</v>
      </c>
      <c r="D277" s="18">
        <f t="shared" si="29"/>
        <v>1</v>
      </c>
      <c r="E277" s="1">
        <v>43787.635416666664</v>
      </c>
      <c r="F277" s="10">
        <f>INT(E277)</f>
        <v>43787</v>
      </c>
      <c r="G277" s="15">
        <f>MOD(E277,2)</f>
        <v>1.6354166666642413</v>
      </c>
      <c r="H277" s="15" t="str">
        <f t="shared" si="30"/>
        <v>15:15</v>
      </c>
      <c r="I277" t="s">
        <v>971</v>
      </c>
      <c r="J277" t="s">
        <v>26</v>
      </c>
      <c r="K277" t="str">
        <f t="shared" si="31"/>
        <v>Instagram</v>
      </c>
      <c r="L277" t="s">
        <v>972</v>
      </c>
      <c r="M277">
        <v>25</v>
      </c>
      <c r="N277">
        <v>50</v>
      </c>
      <c r="O277">
        <f t="shared" si="32"/>
        <v>75</v>
      </c>
      <c r="P277" t="s">
        <v>98</v>
      </c>
      <c r="Q277" t="str">
        <f t="shared" si="33"/>
        <v>USA</v>
      </c>
      <c r="R277">
        <v>2019</v>
      </c>
      <c r="S277">
        <v>11</v>
      </c>
      <c r="T277">
        <v>18</v>
      </c>
      <c r="U277">
        <v>15</v>
      </c>
      <c r="Y277" s="4">
        <f t="shared" si="34"/>
        <v>15</v>
      </c>
    </row>
    <row r="278" spans="1:25" ht="18" x14ac:dyDescent="0.25">
      <c r="A278" t="s">
        <v>973</v>
      </c>
      <c r="B278" t="s">
        <v>909</v>
      </c>
      <c r="C278" s="12" t="str">
        <f t="shared" si="28"/>
        <v>Positive</v>
      </c>
      <c r="D278" s="18">
        <f t="shared" si="29"/>
        <v>1</v>
      </c>
      <c r="E278" s="1">
        <v>44072.864583333336</v>
      </c>
      <c r="F278" s="10">
        <f>INT(E278)</f>
        <v>44072</v>
      </c>
      <c r="G278" s="15">
        <f>MOD(E278,2)</f>
        <v>0.86458333333575865</v>
      </c>
      <c r="H278" s="15" t="str">
        <f t="shared" si="30"/>
        <v>20:45</v>
      </c>
      <c r="I278" t="s">
        <v>974</v>
      </c>
      <c r="J278" t="s">
        <v>31</v>
      </c>
      <c r="K278" t="str">
        <f t="shared" si="31"/>
        <v>Facebook</v>
      </c>
      <c r="L278" t="s">
        <v>975</v>
      </c>
      <c r="M278">
        <v>14</v>
      </c>
      <c r="N278">
        <v>28</v>
      </c>
      <c r="O278">
        <f t="shared" si="32"/>
        <v>42</v>
      </c>
      <c r="P278" t="s">
        <v>109</v>
      </c>
      <c r="Q278" t="str">
        <f t="shared" si="33"/>
        <v>UK</v>
      </c>
      <c r="R278">
        <v>2020</v>
      </c>
      <c r="S278">
        <v>8</v>
      </c>
      <c r="T278">
        <v>29</v>
      </c>
      <c r="U278">
        <v>20</v>
      </c>
      <c r="Y278" s="4">
        <f t="shared" si="34"/>
        <v>20</v>
      </c>
    </row>
    <row r="279" spans="1:25" ht="18" x14ac:dyDescent="0.25">
      <c r="A279" t="s">
        <v>976</v>
      </c>
      <c r="B279" t="s">
        <v>881</v>
      </c>
      <c r="C279" s="12" t="str">
        <f t="shared" si="28"/>
        <v>Positive</v>
      </c>
      <c r="D279" s="18">
        <f t="shared" si="29"/>
        <v>1</v>
      </c>
      <c r="E279" s="1">
        <v>44864.486111111109</v>
      </c>
      <c r="F279" s="10">
        <f>INT(E279)</f>
        <v>44864</v>
      </c>
      <c r="G279" s="15">
        <f>MOD(E279,2)</f>
        <v>0.48611111110949423</v>
      </c>
      <c r="H279" s="15" t="str">
        <f t="shared" si="30"/>
        <v>11:40</v>
      </c>
      <c r="I279" t="s">
        <v>977</v>
      </c>
      <c r="J279" t="s">
        <v>874</v>
      </c>
      <c r="K279" t="str">
        <f t="shared" si="31"/>
        <v>Twitter</v>
      </c>
      <c r="L279" t="s">
        <v>978</v>
      </c>
      <c r="M279">
        <v>17</v>
      </c>
      <c r="N279">
        <v>34</v>
      </c>
      <c r="O279">
        <f t="shared" si="32"/>
        <v>51</v>
      </c>
      <c r="P279" t="s">
        <v>38</v>
      </c>
      <c r="Q279" t="str">
        <f t="shared" si="33"/>
        <v>Australia</v>
      </c>
      <c r="R279">
        <v>2022</v>
      </c>
      <c r="S279">
        <v>10</v>
      </c>
      <c r="T279">
        <v>30</v>
      </c>
      <c r="U279">
        <v>11</v>
      </c>
      <c r="Y279" s="4">
        <f t="shared" si="34"/>
        <v>11</v>
      </c>
    </row>
    <row r="280" spans="1:25" ht="18" x14ac:dyDescent="0.25">
      <c r="A280" t="s">
        <v>937</v>
      </c>
      <c r="B280" t="s">
        <v>897</v>
      </c>
      <c r="C280" s="12" t="str">
        <f t="shared" si="28"/>
        <v>Positive</v>
      </c>
      <c r="D280" s="18">
        <f t="shared" si="29"/>
        <v>1</v>
      </c>
      <c r="E280" s="1">
        <v>44378.506944444445</v>
      </c>
      <c r="F280" s="10">
        <f>INT(E280)</f>
        <v>44378</v>
      </c>
      <c r="G280" s="15">
        <f>MOD(E280,2)</f>
        <v>0.50694444444525288</v>
      </c>
      <c r="H280" s="15" t="str">
        <f t="shared" si="30"/>
        <v>12:10</v>
      </c>
      <c r="I280" t="s">
        <v>938</v>
      </c>
      <c r="J280" t="s">
        <v>26</v>
      </c>
      <c r="K280" t="str">
        <f t="shared" si="31"/>
        <v>Instagram</v>
      </c>
      <c r="L280" t="s">
        <v>939</v>
      </c>
      <c r="M280">
        <v>21</v>
      </c>
      <c r="N280">
        <v>42</v>
      </c>
      <c r="O280">
        <f t="shared" si="32"/>
        <v>63</v>
      </c>
      <c r="P280" t="s">
        <v>123</v>
      </c>
      <c r="Q280" t="str">
        <f t="shared" si="33"/>
        <v>Canada</v>
      </c>
      <c r="R280">
        <v>2021</v>
      </c>
      <c r="S280">
        <v>7</v>
      </c>
      <c r="T280">
        <v>1</v>
      </c>
      <c r="U280">
        <v>12</v>
      </c>
      <c r="Y280" s="4">
        <f t="shared" si="34"/>
        <v>12</v>
      </c>
    </row>
    <row r="281" spans="1:25" ht="18" x14ac:dyDescent="0.25">
      <c r="A281" t="s">
        <v>940</v>
      </c>
      <c r="B281" t="s">
        <v>885</v>
      </c>
      <c r="C281" s="12" t="str">
        <f t="shared" si="28"/>
        <v>Neutral</v>
      </c>
      <c r="D281" s="18">
        <f t="shared" si="29"/>
        <v>0</v>
      </c>
      <c r="E281" s="1">
        <v>43835.364583333336</v>
      </c>
      <c r="F281" s="10">
        <f>INT(E281)</f>
        <v>43835</v>
      </c>
      <c r="G281" s="15">
        <f>MOD(E281,2)</f>
        <v>1.3645833333357587</v>
      </c>
      <c r="H281" s="15" t="str">
        <f t="shared" si="30"/>
        <v>08:45</v>
      </c>
      <c r="I281" t="s">
        <v>941</v>
      </c>
      <c r="J281" t="s">
        <v>874</v>
      </c>
      <c r="K281" t="str">
        <f t="shared" si="31"/>
        <v>Twitter</v>
      </c>
      <c r="L281" t="s">
        <v>942</v>
      </c>
      <c r="M281">
        <v>23</v>
      </c>
      <c r="N281">
        <v>46</v>
      </c>
      <c r="O281">
        <f t="shared" si="32"/>
        <v>69</v>
      </c>
      <c r="P281" t="s">
        <v>98</v>
      </c>
      <c r="Q281" t="str">
        <f t="shared" si="33"/>
        <v>USA</v>
      </c>
      <c r="R281">
        <v>2020</v>
      </c>
      <c r="S281">
        <v>1</v>
      </c>
      <c r="T281">
        <v>5</v>
      </c>
      <c r="U281">
        <v>8</v>
      </c>
      <c r="Y281" s="4">
        <f t="shared" si="34"/>
        <v>8</v>
      </c>
    </row>
    <row r="282" spans="1:25" ht="18" x14ac:dyDescent="0.25">
      <c r="A282" t="s">
        <v>943</v>
      </c>
      <c r="B282" t="s">
        <v>881</v>
      </c>
      <c r="C282" s="12" t="str">
        <f t="shared" si="28"/>
        <v>Positive</v>
      </c>
      <c r="D282" s="18">
        <f t="shared" si="29"/>
        <v>1</v>
      </c>
      <c r="E282" s="1">
        <v>44759.260416666664</v>
      </c>
      <c r="F282" s="10">
        <f>INT(E282)</f>
        <v>44759</v>
      </c>
      <c r="G282" s="15">
        <f>MOD(E282,2)</f>
        <v>1.2604166666642413</v>
      </c>
      <c r="H282" s="15" t="str">
        <f t="shared" si="30"/>
        <v>06:15</v>
      </c>
      <c r="I282" t="s">
        <v>944</v>
      </c>
      <c r="J282" t="s">
        <v>26</v>
      </c>
      <c r="K282" t="str">
        <f t="shared" si="31"/>
        <v>Instagram</v>
      </c>
      <c r="L282" t="s">
        <v>945</v>
      </c>
      <c r="M282">
        <v>14</v>
      </c>
      <c r="N282">
        <v>28</v>
      </c>
      <c r="O282">
        <f t="shared" si="32"/>
        <v>42</v>
      </c>
      <c r="P282" t="s">
        <v>109</v>
      </c>
      <c r="Q282" t="str">
        <f t="shared" si="33"/>
        <v>UK</v>
      </c>
      <c r="R282">
        <v>2022</v>
      </c>
      <c r="S282">
        <v>7</v>
      </c>
      <c r="T282">
        <v>17</v>
      </c>
      <c r="U282">
        <v>6</v>
      </c>
      <c r="Y282" s="4">
        <f t="shared" si="34"/>
        <v>6</v>
      </c>
    </row>
    <row r="283" spans="1:25" ht="18" x14ac:dyDescent="0.25">
      <c r="A283" t="s">
        <v>946</v>
      </c>
      <c r="B283" t="s">
        <v>901</v>
      </c>
      <c r="C283" s="12" t="str">
        <f t="shared" si="28"/>
        <v>Positive</v>
      </c>
      <c r="D283" s="18">
        <f t="shared" si="29"/>
        <v>1</v>
      </c>
      <c r="E283" s="1">
        <v>43334.722222222219</v>
      </c>
      <c r="F283" s="10">
        <f>INT(E283)</f>
        <v>43334</v>
      </c>
      <c r="G283" s="15">
        <f>MOD(E283,2)</f>
        <v>0.72222222221898846</v>
      </c>
      <c r="H283" s="15" t="str">
        <f t="shared" si="30"/>
        <v>17:20</v>
      </c>
      <c r="I283" t="s">
        <v>947</v>
      </c>
      <c r="J283" t="s">
        <v>31</v>
      </c>
      <c r="K283" t="str">
        <f t="shared" si="31"/>
        <v>Facebook</v>
      </c>
      <c r="L283" t="s">
        <v>948</v>
      </c>
      <c r="M283">
        <v>24</v>
      </c>
      <c r="N283">
        <v>48</v>
      </c>
      <c r="O283">
        <f t="shared" si="32"/>
        <v>72</v>
      </c>
      <c r="P283" t="s">
        <v>38</v>
      </c>
      <c r="Q283" t="str">
        <f t="shared" si="33"/>
        <v>Australia</v>
      </c>
      <c r="R283">
        <v>2018</v>
      </c>
      <c r="S283">
        <v>8</v>
      </c>
      <c r="T283">
        <v>22</v>
      </c>
      <c r="U283">
        <v>17</v>
      </c>
      <c r="Y283" s="4">
        <f t="shared" si="34"/>
        <v>17</v>
      </c>
    </row>
    <row r="284" spans="1:25" ht="18" x14ac:dyDescent="0.25">
      <c r="A284" t="s">
        <v>949</v>
      </c>
      <c r="B284" t="s">
        <v>909</v>
      </c>
      <c r="C284" s="12" t="str">
        <f t="shared" si="28"/>
        <v>Positive</v>
      </c>
      <c r="D284" s="18">
        <f t="shared" si="29"/>
        <v>1</v>
      </c>
      <c r="E284" s="1">
        <v>44538.604166666664</v>
      </c>
      <c r="F284" s="10">
        <f>INT(E284)</f>
        <v>44538</v>
      </c>
      <c r="G284" s="15">
        <f>MOD(E284,2)</f>
        <v>0.60416666666424135</v>
      </c>
      <c r="H284" s="15" t="str">
        <f t="shared" si="30"/>
        <v>14:30</v>
      </c>
      <c r="I284" t="s">
        <v>950</v>
      </c>
      <c r="J284" t="s">
        <v>874</v>
      </c>
      <c r="K284" t="str">
        <f t="shared" si="31"/>
        <v>Twitter</v>
      </c>
      <c r="L284" t="s">
        <v>951</v>
      </c>
      <c r="M284">
        <v>18</v>
      </c>
      <c r="N284">
        <v>36</v>
      </c>
      <c r="O284">
        <f t="shared" si="32"/>
        <v>54</v>
      </c>
      <c r="P284" t="s">
        <v>164</v>
      </c>
      <c r="Q284" t="str">
        <f t="shared" si="33"/>
        <v>India</v>
      </c>
      <c r="R284">
        <v>2021</v>
      </c>
      <c r="S284">
        <v>12</v>
      </c>
      <c r="T284">
        <v>8</v>
      </c>
      <c r="U284">
        <v>14</v>
      </c>
      <c r="Y284" s="4">
        <f t="shared" si="34"/>
        <v>14</v>
      </c>
    </row>
    <row r="285" spans="1:25" ht="18" x14ac:dyDescent="0.25">
      <c r="A285" t="s">
        <v>952</v>
      </c>
      <c r="B285" t="s">
        <v>877</v>
      </c>
      <c r="C285" s="12" t="str">
        <f t="shared" si="28"/>
        <v>Positive</v>
      </c>
      <c r="D285" s="18">
        <f t="shared" si="29"/>
        <v>1</v>
      </c>
      <c r="E285" s="1">
        <v>43582.409722222219</v>
      </c>
      <c r="F285" s="10">
        <f>INT(E285)</f>
        <v>43582</v>
      </c>
      <c r="G285" s="15">
        <f>MOD(E285,2)</f>
        <v>0.40972222221898846</v>
      </c>
      <c r="H285" s="15" t="str">
        <f t="shared" si="30"/>
        <v>09:50</v>
      </c>
      <c r="I285" t="s">
        <v>953</v>
      </c>
      <c r="J285" t="s">
        <v>26</v>
      </c>
      <c r="K285" t="str">
        <f t="shared" si="31"/>
        <v>Instagram</v>
      </c>
      <c r="L285" t="s">
        <v>954</v>
      </c>
      <c r="M285">
        <v>20</v>
      </c>
      <c r="N285">
        <v>40</v>
      </c>
      <c r="O285">
        <f t="shared" si="32"/>
        <v>60</v>
      </c>
      <c r="P285" t="s">
        <v>123</v>
      </c>
      <c r="Q285" t="str">
        <f t="shared" si="33"/>
        <v>Canada</v>
      </c>
      <c r="R285">
        <v>2019</v>
      </c>
      <c r="S285">
        <v>4</v>
      </c>
      <c r="T285">
        <v>27</v>
      </c>
      <c r="U285">
        <v>9</v>
      </c>
      <c r="Y285" s="4">
        <f t="shared" si="34"/>
        <v>9</v>
      </c>
    </row>
    <row r="286" spans="1:25" ht="18" x14ac:dyDescent="0.25">
      <c r="A286" t="s">
        <v>955</v>
      </c>
      <c r="B286" t="s">
        <v>893</v>
      </c>
      <c r="C286" s="12" t="str">
        <f t="shared" si="28"/>
        <v>Neutral</v>
      </c>
      <c r="D286" s="18">
        <f t="shared" si="29"/>
        <v>0</v>
      </c>
      <c r="E286" s="1">
        <v>45172.902777777781</v>
      </c>
      <c r="F286" s="10">
        <f>INT(E286)</f>
        <v>45172</v>
      </c>
      <c r="G286" s="15">
        <f>MOD(E286,2)</f>
        <v>0.90277777778101154</v>
      </c>
      <c r="H286" s="15" t="str">
        <f t="shared" si="30"/>
        <v>21:40</v>
      </c>
      <c r="I286" t="s">
        <v>956</v>
      </c>
      <c r="J286" t="s">
        <v>31</v>
      </c>
      <c r="K286" t="str">
        <f t="shared" si="31"/>
        <v>Facebook</v>
      </c>
      <c r="L286" t="s">
        <v>957</v>
      </c>
      <c r="M286">
        <v>16</v>
      </c>
      <c r="N286">
        <v>32</v>
      </c>
      <c r="O286">
        <f t="shared" si="32"/>
        <v>48</v>
      </c>
      <c r="P286" t="s">
        <v>98</v>
      </c>
      <c r="Q286" t="str">
        <f t="shared" si="33"/>
        <v>USA</v>
      </c>
      <c r="R286">
        <v>2023</v>
      </c>
      <c r="S286">
        <v>9</v>
      </c>
      <c r="T286">
        <v>3</v>
      </c>
      <c r="U286">
        <v>21</v>
      </c>
      <c r="Y286" s="4">
        <f t="shared" si="34"/>
        <v>21</v>
      </c>
    </row>
    <row r="287" spans="1:25" ht="18" x14ac:dyDescent="0.25">
      <c r="A287" t="s">
        <v>958</v>
      </c>
      <c r="B287" t="s">
        <v>905</v>
      </c>
      <c r="C287" s="12" t="str">
        <f t="shared" si="28"/>
        <v>Positive</v>
      </c>
      <c r="D287" s="18">
        <f t="shared" si="29"/>
        <v>1</v>
      </c>
      <c r="E287" s="1">
        <v>43992.420138888891</v>
      </c>
      <c r="F287" s="10">
        <f>INT(E287)</f>
        <v>43992</v>
      </c>
      <c r="G287" s="15">
        <f>MOD(E287,2)</f>
        <v>0.42013888889050577</v>
      </c>
      <c r="H287" s="15" t="str">
        <f t="shared" si="30"/>
        <v>10:05</v>
      </c>
      <c r="I287" t="s">
        <v>959</v>
      </c>
      <c r="J287" t="s">
        <v>874</v>
      </c>
      <c r="K287" t="str">
        <f t="shared" si="31"/>
        <v>Twitter</v>
      </c>
      <c r="L287" t="s">
        <v>960</v>
      </c>
      <c r="M287">
        <v>22</v>
      </c>
      <c r="N287">
        <v>44</v>
      </c>
      <c r="O287">
        <f t="shared" si="32"/>
        <v>66</v>
      </c>
      <c r="P287" t="s">
        <v>109</v>
      </c>
      <c r="Q287" t="str">
        <f t="shared" si="33"/>
        <v>UK</v>
      </c>
      <c r="R287">
        <v>2020</v>
      </c>
      <c r="S287">
        <v>6</v>
      </c>
      <c r="T287">
        <v>10</v>
      </c>
      <c r="U287">
        <v>10</v>
      </c>
      <c r="Y287" s="4">
        <f t="shared" si="34"/>
        <v>10</v>
      </c>
    </row>
    <row r="288" spans="1:25" ht="18" x14ac:dyDescent="0.25">
      <c r="A288" t="s">
        <v>961</v>
      </c>
      <c r="B288" t="s">
        <v>889</v>
      </c>
      <c r="C288" s="12" t="str">
        <f t="shared" si="28"/>
        <v>Positive</v>
      </c>
      <c r="D288" s="18">
        <f t="shared" si="29"/>
        <v>1</v>
      </c>
      <c r="E288" s="1">
        <v>44652.770833333336</v>
      </c>
      <c r="F288" s="10">
        <f>INT(E288)</f>
        <v>44652</v>
      </c>
      <c r="G288" s="15">
        <f>MOD(E288,2)</f>
        <v>0.77083333333575865</v>
      </c>
      <c r="H288" s="15" t="str">
        <f t="shared" si="30"/>
        <v>18:30</v>
      </c>
      <c r="I288" t="s">
        <v>962</v>
      </c>
      <c r="J288" t="s">
        <v>26</v>
      </c>
      <c r="K288" t="str">
        <f t="shared" si="31"/>
        <v>Instagram</v>
      </c>
      <c r="L288" t="s">
        <v>963</v>
      </c>
      <c r="M288">
        <v>19</v>
      </c>
      <c r="N288">
        <v>38</v>
      </c>
      <c r="O288">
        <f t="shared" si="32"/>
        <v>57</v>
      </c>
      <c r="P288" t="s">
        <v>38</v>
      </c>
      <c r="Q288" t="str">
        <f t="shared" si="33"/>
        <v>Australia</v>
      </c>
      <c r="R288">
        <v>2022</v>
      </c>
      <c r="S288">
        <v>4</v>
      </c>
      <c r="T288">
        <v>1</v>
      </c>
      <c r="U288">
        <v>18</v>
      </c>
      <c r="Y288" s="4">
        <f t="shared" si="34"/>
        <v>18</v>
      </c>
    </row>
    <row r="289" spans="1:25" ht="18" x14ac:dyDescent="0.25">
      <c r="A289" t="s">
        <v>964</v>
      </c>
      <c r="B289" t="s">
        <v>916</v>
      </c>
      <c r="C289" s="12" t="str">
        <f t="shared" si="28"/>
        <v>Positive</v>
      </c>
      <c r="D289" s="18">
        <f t="shared" si="29"/>
        <v>1</v>
      </c>
      <c r="E289" s="1">
        <v>44211.541666666664</v>
      </c>
      <c r="F289" s="10">
        <f>INT(E289)</f>
        <v>44211</v>
      </c>
      <c r="G289" s="15">
        <f>MOD(E289,2)</f>
        <v>1.5416666666642413</v>
      </c>
      <c r="H289" s="15" t="str">
        <f t="shared" si="30"/>
        <v>13:00</v>
      </c>
      <c r="I289" t="s">
        <v>965</v>
      </c>
      <c r="J289" t="s">
        <v>31</v>
      </c>
      <c r="K289" t="str">
        <f t="shared" si="31"/>
        <v>Facebook</v>
      </c>
      <c r="L289" t="s">
        <v>966</v>
      </c>
      <c r="M289">
        <v>23</v>
      </c>
      <c r="N289">
        <v>46</v>
      </c>
      <c r="O289">
        <f t="shared" si="32"/>
        <v>69</v>
      </c>
      <c r="P289" t="s">
        <v>123</v>
      </c>
      <c r="Q289" t="str">
        <f t="shared" si="33"/>
        <v>Canada</v>
      </c>
      <c r="R289">
        <v>2021</v>
      </c>
      <c r="S289">
        <v>1</v>
      </c>
      <c r="T289">
        <v>15</v>
      </c>
      <c r="U289">
        <v>13</v>
      </c>
      <c r="Y289" s="4">
        <f t="shared" si="34"/>
        <v>13</v>
      </c>
    </row>
    <row r="290" spans="1:25" ht="18" x14ac:dyDescent="0.25">
      <c r="A290" t="s">
        <v>967</v>
      </c>
      <c r="B290" t="s">
        <v>881</v>
      </c>
      <c r="C290" s="12" t="str">
        <f t="shared" si="28"/>
        <v>Positive</v>
      </c>
      <c r="D290" s="18">
        <f t="shared" si="29"/>
        <v>1</v>
      </c>
      <c r="E290" s="1">
        <v>45052.305555555555</v>
      </c>
      <c r="F290" s="10">
        <f>INT(E290)</f>
        <v>45052</v>
      </c>
      <c r="G290" s="15">
        <f>MOD(E290,2)</f>
        <v>0.30555555555474712</v>
      </c>
      <c r="H290" s="15" t="str">
        <f t="shared" si="30"/>
        <v>07:20</v>
      </c>
      <c r="I290" t="s">
        <v>968</v>
      </c>
      <c r="J290" t="s">
        <v>874</v>
      </c>
      <c r="K290" t="str">
        <f t="shared" si="31"/>
        <v>Twitter</v>
      </c>
      <c r="L290" t="s">
        <v>969</v>
      </c>
      <c r="M290">
        <v>15</v>
      </c>
      <c r="N290">
        <v>30</v>
      </c>
      <c r="O290">
        <f t="shared" si="32"/>
        <v>45</v>
      </c>
      <c r="P290" t="s">
        <v>164</v>
      </c>
      <c r="Q290" t="str">
        <f t="shared" si="33"/>
        <v>India</v>
      </c>
      <c r="R290">
        <v>2023</v>
      </c>
      <c r="S290">
        <v>5</v>
      </c>
      <c r="T290">
        <v>6</v>
      </c>
      <c r="U290">
        <v>7</v>
      </c>
      <c r="Y290" s="4">
        <f t="shared" si="34"/>
        <v>7</v>
      </c>
    </row>
    <row r="291" spans="1:25" ht="18" x14ac:dyDescent="0.25">
      <c r="A291" t="s">
        <v>970</v>
      </c>
      <c r="B291" t="s">
        <v>901</v>
      </c>
      <c r="C291" s="12" t="str">
        <f t="shared" si="28"/>
        <v>Positive</v>
      </c>
      <c r="D291" s="18">
        <f t="shared" si="29"/>
        <v>1</v>
      </c>
      <c r="E291" s="1">
        <v>43787.635416666664</v>
      </c>
      <c r="F291" s="10">
        <f>INT(E291)</f>
        <v>43787</v>
      </c>
      <c r="G291" s="15">
        <f>MOD(E291,2)</f>
        <v>1.6354166666642413</v>
      </c>
      <c r="H291" s="15" t="str">
        <f t="shared" si="30"/>
        <v>15:15</v>
      </c>
      <c r="I291" t="s">
        <v>971</v>
      </c>
      <c r="J291" t="s">
        <v>26</v>
      </c>
      <c r="K291" t="str">
        <f t="shared" si="31"/>
        <v>Instagram</v>
      </c>
      <c r="L291" t="s">
        <v>972</v>
      </c>
      <c r="M291">
        <v>25</v>
      </c>
      <c r="N291">
        <v>50</v>
      </c>
      <c r="O291">
        <f t="shared" si="32"/>
        <v>75</v>
      </c>
      <c r="P291" t="s">
        <v>98</v>
      </c>
      <c r="Q291" t="str">
        <f t="shared" si="33"/>
        <v>USA</v>
      </c>
      <c r="R291">
        <v>2019</v>
      </c>
      <c r="S291">
        <v>11</v>
      </c>
      <c r="T291">
        <v>18</v>
      </c>
      <c r="U291">
        <v>15</v>
      </c>
      <c r="Y291" s="4">
        <f t="shared" si="34"/>
        <v>15</v>
      </c>
    </row>
    <row r="292" spans="1:25" ht="18" x14ac:dyDescent="0.25">
      <c r="A292" t="s">
        <v>973</v>
      </c>
      <c r="B292" t="s">
        <v>909</v>
      </c>
      <c r="C292" s="12" t="str">
        <f t="shared" si="28"/>
        <v>Positive</v>
      </c>
      <c r="D292" s="18">
        <f t="shared" si="29"/>
        <v>1</v>
      </c>
      <c r="E292" s="1">
        <v>44072.864583333336</v>
      </c>
      <c r="F292" s="10">
        <f>INT(E292)</f>
        <v>44072</v>
      </c>
      <c r="G292" s="15">
        <f>MOD(E292,2)</f>
        <v>0.86458333333575865</v>
      </c>
      <c r="H292" s="15" t="str">
        <f t="shared" si="30"/>
        <v>20:45</v>
      </c>
      <c r="I292" t="s">
        <v>974</v>
      </c>
      <c r="J292" t="s">
        <v>31</v>
      </c>
      <c r="K292" t="str">
        <f t="shared" si="31"/>
        <v>Facebook</v>
      </c>
      <c r="L292" t="s">
        <v>975</v>
      </c>
      <c r="M292">
        <v>14</v>
      </c>
      <c r="N292">
        <v>28</v>
      </c>
      <c r="O292">
        <f t="shared" si="32"/>
        <v>42</v>
      </c>
      <c r="P292" t="s">
        <v>109</v>
      </c>
      <c r="Q292" t="str">
        <f t="shared" si="33"/>
        <v>UK</v>
      </c>
      <c r="R292">
        <v>2020</v>
      </c>
      <c r="S292">
        <v>8</v>
      </c>
      <c r="T292">
        <v>29</v>
      </c>
      <c r="U292">
        <v>20</v>
      </c>
      <c r="Y292" s="4">
        <f t="shared" si="34"/>
        <v>20</v>
      </c>
    </row>
    <row r="293" spans="1:25" ht="18" x14ac:dyDescent="0.25">
      <c r="A293" t="s">
        <v>976</v>
      </c>
      <c r="B293" t="s">
        <v>881</v>
      </c>
      <c r="C293" s="12" t="str">
        <f t="shared" si="28"/>
        <v>Positive</v>
      </c>
      <c r="D293" s="18">
        <f t="shared" si="29"/>
        <v>1</v>
      </c>
      <c r="E293" s="1">
        <v>44864.486111111109</v>
      </c>
      <c r="F293" s="10">
        <f>INT(E293)</f>
        <v>44864</v>
      </c>
      <c r="G293" s="15">
        <f>MOD(E293,2)</f>
        <v>0.48611111110949423</v>
      </c>
      <c r="H293" s="15" t="str">
        <f t="shared" si="30"/>
        <v>11:40</v>
      </c>
      <c r="I293" t="s">
        <v>977</v>
      </c>
      <c r="J293" t="s">
        <v>874</v>
      </c>
      <c r="K293" t="str">
        <f t="shared" si="31"/>
        <v>Twitter</v>
      </c>
      <c r="L293" t="s">
        <v>978</v>
      </c>
      <c r="M293">
        <v>17</v>
      </c>
      <c r="N293">
        <v>34</v>
      </c>
      <c r="O293">
        <f t="shared" si="32"/>
        <v>51</v>
      </c>
      <c r="P293" t="s">
        <v>38</v>
      </c>
      <c r="Q293" t="str">
        <f t="shared" si="33"/>
        <v>Australia</v>
      </c>
      <c r="R293">
        <v>2022</v>
      </c>
      <c r="S293">
        <v>10</v>
      </c>
      <c r="T293">
        <v>30</v>
      </c>
      <c r="U293">
        <v>11</v>
      </c>
      <c r="Y293" s="4">
        <f t="shared" si="34"/>
        <v>11</v>
      </c>
    </row>
    <row r="294" spans="1:25" ht="18" x14ac:dyDescent="0.25">
      <c r="A294" t="s">
        <v>937</v>
      </c>
      <c r="B294" t="s">
        <v>897</v>
      </c>
      <c r="C294" s="12" t="str">
        <f t="shared" si="28"/>
        <v>Positive</v>
      </c>
      <c r="D294" s="18">
        <f t="shared" si="29"/>
        <v>1</v>
      </c>
      <c r="E294" s="1">
        <v>44378.506944444445</v>
      </c>
      <c r="F294" s="10">
        <f>INT(E294)</f>
        <v>44378</v>
      </c>
      <c r="G294" s="15">
        <f>MOD(E294,2)</f>
        <v>0.50694444444525288</v>
      </c>
      <c r="H294" s="15" t="str">
        <f t="shared" si="30"/>
        <v>12:10</v>
      </c>
      <c r="I294" t="s">
        <v>938</v>
      </c>
      <c r="J294" t="s">
        <v>26</v>
      </c>
      <c r="K294" t="str">
        <f t="shared" si="31"/>
        <v>Instagram</v>
      </c>
      <c r="L294" t="s">
        <v>939</v>
      </c>
      <c r="M294">
        <v>21</v>
      </c>
      <c r="N294">
        <v>42</v>
      </c>
      <c r="O294">
        <f t="shared" si="32"/>
        <v>63</v>
      </c>
      <c r="P294" t="s">
        <v>123</v>
      </c>
      <c r="Q294" t="str">
        <f t="shared" si="33"/>
        <v>Canada</v>
      </c>
      <c r="R294">
        <v>2021</v>
      </c>
      <c r="S294">
        <v>7</v>
      </c>
      <c r="T294">
        <v>1</v>
      </c>
      <c r="U294">
        <v>12</v>
      </c>
      <c r="Y294" s="4">
        <f t="shared" si="34"/>
        <v>12</v>
      </c>
    </row>
    <row r="295" spans="1:25" ht="18" x14ac:dyDescent="0.25">
      <c r="A295" t="s">
        <v>940</v>
      </c>
      <c r="B295" t="s">
        <v>885</v>
      </c>
      <c r="C295" s="12" t="str">
        <f t="shared" si="28"/>
        <v>Neutral</v>
      </c>
      <c r="D295" s="18">
        <f t="shared" si="29"/>
        <v>0</v>
      </c>
      <c r="E295" s="1">
        <v>43835.364583333336</v>
      </c>
      <c r="F295" s="10">
        <f>INT(E295)</f>
        <v>43835</v>
      </c>
      <c r="G295" s="15">
        <f>MOD(E295,2)</f>
        <v>1.3645833333357587</v>
      </c>
      <c r="H295" s="15" t="str">
        <f t="shared" si="30"/>
        <v>08:45</v>
      </c>
      <c r="I295" t="s">
        <v>941</v>
      </c>
      <c r="J295" t="s">
        <v>874</v>
      </c>
      <c r="K295" t="str">
        <f t="shared" si="31"/>
        <v>Twitter</v>
      </c>
      <c r="L295" t="s">
        <v>942</v>
      </c>
      <c r="M295">
        <v>23</v>
      </c>
      <c r="N295">
        <v>46</v>
      </c>
      <c r="O295">
        <f t="shared" si="32"/>
        <v>69</v>
      </c>
      <c r="P295" t="s">
        <v>98</v>
      </c>
      <c r="Q295" t="str">
        <f t="shared" si="33"/>
        <v>USA</v>
      </c>
      <c r="R295">
        <v>2020</v>
      </c>
      <c r="S295">
        <v>1</v>
      </c>
      <c r="T295">
        <v>5</v>
      </c>
      <c r="U295">
        <v>8</v>
      </c>
      <c r="Y295" s="4">
        <f t="shared" si="34"/>
        <v>8</v>
      </c>
    </row>
    <row r="296" spans="1:25" ht="18" x14ac:dyDescent="0.25">
      <c r="A296" t="s">
        <v>943</v>
      </c>
      <c r="B296" t="s">
        <v>881</v>
      </c>
      <c r="C296" s="12" t="str">
        <f t="shared" si="28"/>
        <v>Positive</v>
      </c>
      <c r="D296" s="18">
        <f t="shared" si="29"/>
        <v>1</v>
      </c>
      <c r="E296" s="1">
        <v>44759.260416666664</v>
      </c>
      <c r="F296" s="10">
        <f>INT(E296)</f>
        <v>44759</v>
      </c>
      <c r="G296" s="15">
        <f>MOD(E296,2)</f>
        <v>1.2604166666642413</v>
      </c>
      <c r="H296" s="15" t="str">
        <f t="shared" si="30"/>
        <v>06:15</v>
      </c>
      <c r="I296" t="s">
        <v>944</v>
      </c>
      <c r="J296" t="s">
        <v>26</v>
      </c>
      <c r="K296" t="str">
        <f t="shared" si="31"/>
        <v>Instagram</v>
      </c>
      <c r="L296" t="s">
        <v>945</v>
      </c>
      <c r="M296">
        <v>14</v>
      </c>
      <c r="N296">
        <v>28</v>
      </c>
      <c r="O296">
        <f t="shared" si="32"/>
        <v>42</v>
      </c>
      <c r="P296" t="s">
        <v>164</v>
      </c>
      <c r="Q296" t="str">
        <f t="shared" si="33"/>
        <v>India</v>
      </c>
      <c r="R296">
        <v>2022</v>
      </c>
      <c r="S296">
        <v>7</v>
      </c>
      <c r="T296">
        <v>17</v>
      </c>
      <c r="U296">
        <v>6</v>
      </c>
      <c r="Y296" s="4">
        <f t="shared" si="34"/>
        <v>6</v>
      </c>
    </row>
    <row r="297" spans="1:25" ht="18" x14ac:dyDescent="0.25">
      <c r="A297" t="s">
        <v>946</v>
      </c>
      <c r="B297" t="s">
        <v>901</v>
      </c>
      <c r="C297" s="12" t="str">
        <f t="shared" si="28"/>
        <v>Positive</v>
      </c>
      <c r="D297" s="18">
        <f t="shared" si="29"/>
        <v>1</v>
      </c>
      <c r="E297" s="1">
        <v>43334.722222222219</v>
      </c>
      <c r="F297" s="10">
        <f>INT(E297)</f>
        <v>43334</v>
      </c>
      <c r="G297" s="15">
        <f>MOD(E297,2)</f>
        <v>0.72222222221898846</v>
      </c>
      <c r="H297" s="15" t="str">
        <f t="shared" si="30"/>
        <v>17:20</v>
      </c>
      <c r="I297" t="s">
        <v>947</v>
      </c>
      <c r="J297" t="s">
        <v>31</v>
      </c>
      <c r="K297" t="str">
        <f t="shared" si="31"/>
        <v>Facebook</v>
      </c>
      <c r="L297" t="s">
        <v>948</v>
      </c>
      <c r="M297">
        <v>24</v>
      </c>
      <c r="N297">
        <v>48</v>
      </c>
      <c r="O297">
        <f t="shared" si="32"/>
        <v>72</v>
      </c>
      <c r="P297" t="s">
        <v>38</v>
      </c>
      <c r="Q297" t="str">
        <f t="shared" si="33"/>
        <v>Australia</v>
      </c>
      <c r="R297">
        <v>2018</v>
      </c>
      <c r="S297">
        <v>8</v>
      </c>
      <c r="T297">
        <v>22</v>
      </c>
      <c r="U297">
        <v>17</v>
      </c>
      <c r="Y297" s="4">
        <f t="shared" si="34"/>
        <v>17</v>
      </c>
    </row>
    <row r="298" spans="1:25" ht="18" x14ac:dyDescent="0.25">
      <c r="A298" t="s">
        <v>979</v>
      </c>
      <c r="B298" t="s">
        <v>980</v>
      </c>
      <c r="C298" s="12" t="str">
        <f t="shared" si="28"/>
        <v>Negative</v>
      </c>
      <c r="D298" s="18">
        <f t="shared" si="29"/>
        <v>-1</v>
      </c>
      <c r="E298" s="1">
        <v>44454.666666666664</v>
      </c>
      <c r="F298" s="10">
        <f>INT(E298)</f>
        <v>44454</v>
      </c>
      <c r="G298" s="15">
        <f>MOD(E298,2)</f>
        <v>0.66666666666424135</v>
      </c>
      <c r="H298" s="15" t="str">
        <f t="shared" si="30"/>
        <v>16:00</v>
      </c>
      <c r="I298" t="s">
        <v>981</v>
      </c>
      <c r="J298" t="s">
        <v>26</v>
      </c>
      <c r="K298" t="str">
        <f t="shared" si="31"/>
        <v>Instagram</v>
      </c>
      <c r="L298" t="s">
        <v>982</v>
      </c>
      <c r="M298">
        <v>8</v>
      </c>
      <c r="N298">
        <v>16</v>
      </c>
      <c r="O298">
        <f t="shared" si="32"/>
        <v>24</v>
      </c>
      <c r="P298" t="s">
        <v>123</v>
      </c>
      <c r="Q298" t="str">
        <f t="shared" si="33"/>
        <v>Canada</v>
      </c>
      <c r="R298">
        <v>2021</v>
      </c>
      <c r="S298">
        <v>9</v>
      </c>
      <c r="T298">
        <v>15</v>
      </c>
      <c r="U298">
        <v>16</v>
      </c>
      <c r="Y298" s="4">
        <f t="shared" si="34"/>
        <v>16</v>
      </c>
    </row>
    <row r="299" spans="1:25" ht="18" x14ac:dyDescent="0.25">
      <c r="A299" t="s">
        <v>983</v>
      </c>
      <c r="B299" t="s">
        <v>984</v>
      </c>
      <c r="C299" s="12" t="str">
        <f t="shared" si="28"/>
        <v>Negative</v>
      </c>
      <c r="D299" s="18">
        <f t="shared" si="29"/>
        <v>-1</v>
      </c>
      <c r="E299" s="1">
        <v>43532.597222222219</v>
      </c>
      <c r="F299" s="10">
        <f>INT(E299)</f>
        <v>43532</v>
      </c>
      <c r="G299" s="15">
        <f>MOD(E299,2)</f>
        <v>0.59722222221898846</v>
      </c>
      <c r="H299" s="15" t="str">
        <f t="shared" si="30"/>
        <v>14:20</v>
      </c>
      <c r="I299" t="s">
        <v>985</v>
      </c>
      <c r="J299" t="s">
        <v>31</v>
      </c>
      <c r="K299" t="str">
        <f t="shared" si="31"/>
        <v>Facebook</v>
      </c>
      <c r="L299" t="s">
        <v>986</v>
      </c>
      <c r="M299">
        <v>12</v>
      </c>
      <c r="N299">
        <v>24</v>
      </c>
      <c r="O299">
        <f t="shared" si="32"/>
        <v>36</v>
      </c>
      <c r="P299" t="s">
        <v>109</v>
      </c>
      <c r="Q299" t="str">
        <f t="shared" si="33"/>
        <v>UK</v>
      </c>
      <c r="R299">
        <v>2019</v>
      </c>
      <c r="S299">
        <v>3</v>
      </c>
      <c r="T299">
        <v>8</v>
      </c>
      <c r="U299">
        <v>14</v>
      </c>
      <c r="Y299" s="4">
        <f t="shared" si="34"/>
        <v>14</v>
      </c>
    </row>
    <row r="300" spans="1:25" ht="18" x14ac:dyDescent="0.25">
      <c r="A300" t="s">
        <v>987</v>
      </c>
      <c r="B300" t="s">
        <v>649</v>
      </c>
      <c r="C300" s="12" t="str">
        <f t="shared" si="28"/>
        <v>Negative</v>
      </c>
      <c r="D300" s="18">
        <f t="shared" si="29"/>
        <v>-1</v>
      </c>
      <c r="E300" s="1">
        <v>42936.489583333336</v>
      </c>
      <c r="F300" s="10">
        <f>INT(E300)</f>
        <v>42936</v>
      </c>
      <c r="G300" s="15">
        <f>MOD(E300,2)</f>
        <v>0.48958333333575865</v>
      </c>
      <c r="H300" s="15" t="str">
        <f t="shared" si="30"/>
        <v>11:45</v>
      </c>
      <c r="I300" t="s">
        <v>988</v>
      </c>
      <c r="J300" t="s">
        <v>874</v>
      </c>
      <c r="K300" t="str">
        <f t="shared" si="31"/>
        <v>Twitter</v>
      </c>
      <c r="L300" t="s">
        <v>989</v>
      </c>
      <c r="M300">
        <v>15</v>
      </c>
      <c r="N300">
        <v>30</v>
      </c>
      <c r="O300">
        <f t="shared" si="32"/>
        <v>45</v>
      </c>
      <c r="P300" t="s">
        <v>98</v>
      </c>
      <c r="Q300" t="str">
        <f t="shared" si="33"/>
        <v>USA</v>
      </c>
      <c r="R300">
        <v>2017</v>
      </c>
      <c r="S300">
        <v>7</v>
      </c>
      <c r="T300">
        <v>20</v>
      </c>
      <c r="U300">
        <v>11</v>
      </c>
      <c r="Y300" s="4">
        <f t="shared" si="34"/>
        <v>11</v>
      </c>
    </row>
    <row r="301" spans="1:25" ht="18" x14ac:dyDescent="0.25">
      <c r="A301" t="s">
        <v>990</v>
      </c>
      <c r="B301" t="s">
        <v>991</v>
      </c>
      <c r="C301" s="12" t="str">
        <f t="shared" si="28"/>
        <v>Negative</v>
      </c>
      <c r="D301" s="18">
        <f t="shared" si="29"/>
        <v>-1</v>
      </c>
      <c r="E301" s="1">
        <v>44137.8125</v>
      </c>
      <c r="F301" s="10">
        <f>INT(E301)</f>
        <v>44137</v>
      </c>
      <c r="G301" s="15">
        <f>MOD(E301,2)</f>
        <v>1.8125</v>
      </c>
      <c r="H301" s="15" t="str">
        <f t="shared" si="30"/>
        <v>19:30</v>
      </c>
      <c r="I301" t="s">
        <v>992</v>
      </c>
      <c r="J301" t="s">
        <v>26</v>
      </c>
      <c r="K301" t="str">
        <f t="shared" si="31"/>
        <v>Instagram</v>
      </c>
      <c r="L301" t="s">
        <v>993</v>
      </c>
      <c r="M301">
        <v>10</v>
      </c>
      <c r="N301">
        <v>20</v>
      </c>
      <c r="O301">
        <f t="shared" si="32"/>
        <v>30</v>
      </c>
      <c r="P301" t="s">
        <v>38</v>
      </c>
      <c r="Q301" t="str">
        <f t="shared" si="33"/>
        <v>Australia</v>
      </c>
      <c r="R301">
        <v>2020</v>
      </c>
      <c r="S301">
        <v>11</v>
      </c>
      <c r="T301">
        <v>2</v>
      </c>
      <c r="U301">
        <v>19</v>
      </c>
      <c r="Y301" s="4">
        <f t="shared" si="34"/>
        <v>19</v>
      </c>
    </row>
    <row r="302" spans="1:25" ht="18" x14ac:dyDescent="0.25">
      <c r="A302" t="s">
        <v>994</v>
      </c>
      <c r="B302" t="s">
        <v>995</v>
      </c>
      <c r="C302" s="12" t="str">
        <f t="shared" si="28"/>
        <v>Negative</v>
      </c>
      <c r="D302" s="18">
        <f t="shared" si="29"/>
        <v>-1</v>
      </c>
      <c r="E302" s="1">
        <v>44693.083333333336</v>
      </c>
      <c r="F302" s="10">
        <f>INT(E302)</f>
        <v>44693</v>
      </c>
      <c r="G302" s="15">
        <f>MOD(E302,2)</f>
        <v>1.0833333333357587</v>
      </c>
      <c r="H302" s="15" t="str">
        <f t="shared" si="30"/>
        <v>02:00</v>
      </c>
      <c r="I302" t="s">
        <v>996</v>
      </c>
      <c r="J302" t="s">
        <v>31</v>
      </c>
      <c r="K302" t="str">
        <f t="shared" si="31"/>
        <v>Facebook</v>
      </c>
      <c r="L302" t="s">
        <v>997</v>
      </c>
      <c r="M302">
        <v>18</v>
      </c>
      <c r="N302">
        <v>36</v>
      </c>
      <c r="O302">
        <f t="shared" si="32"/>
        <v>54</v>
      </c>
      <c r="P302" t="s">
        <v>164</v>
      </c>
      <c r="Q302" t="str">
        <f t="shared" si="33"/>
        <v>India</v>
      </c>
      <c r="R302">
        <v>2022</v>
      </c>
      <c r="S302">
        <v>5</v>
      </c>
      <c r="T302">
        <v>12</v>
      </c>
      <c r="U302">
        <v>2</v>
      </c>
      <c r="Y302" s="4">
        <f t="shared" si="34"/>
        <v>2</v>
      </c>
    </row>
    <row r="303" spans="1:25" ht="18" x14ac:dyDescent="0.25">
      <c r="A303" t="s">
        <v>998</v>
      </c>
      <c r="B303" t="s">
        <v>999</v>
      </c>
      <c r="C303" s="12" t="str">
        <f t="shared" si="28"/>
        <v>Negative</v>
      </c>
      <c r="D303" s="18">
        <f t="shared" si="29"/>
        <v>-1</v>
      </c>
      <c r="E303" s="1">
        <v>45024.552083333336</v>
      </c>
      <c r="F303" s="10">
        <f>INT(E303)</f>
        <v>45024</v>
      </c>
      <c r="G303" s="15">
        <f>MOD(E303,2)</f>
        <v>0.55208333333575865</v>
      </c>
      <c r="H303" s="15" t="str">
        <f t="shared" si="30"/>
        <v>13:15</v>
      </c>
      <c r="I303" t="s">
        <v>1000</v>
      </c>
      <c r="J303" t="s">
        <v>874</v>
      </c>
      <c r="K303" t="str">
        <f t="shared" si="31"/>
        <v>Twitter</v>
      </c>
      <c r="L303" t="s">
        <v>1001</v>
      </c>
      <c r="M303">
        <v>14</v>
      </c>
      <c r="N303">
        <v>28</v>
      </c>
      <c r="O303">
        <f t="shared" si="32"/>
        <v>42</v>
      </c>
      <c r="P303" t="s">
        <v>109</v>
      </c>
      <c r="Q303" t="str">
        <f t="shared" si="33"/>
        <v>UK</v>
      </c>
      <c r="R303">
        <v>2023</v>
      </c>
      <c r="S303">
        <v>4</v>
      </c>
      <c r="T303">
        <v>8</v>
      </c>
      <c r="U303">
        <v>13</v>
      </c>
      <c r="Y303" s="4">
        <f t="shared" si="34"/>
        <v>13</v>
      </c>
    </row>
    <row r="304" spans="1:25" ht="18" x14ac:dyDescent="0.25">
      <c r="A304" t="s">
        <v>1002</v>
      </c>
      <c r="B304" t="s">
        <v>1003</v>
      </c>
      <c r="C304" s="12" t="str">
        <f t="shared" si="28"/>
        <v>Negative</v>
      </c>
      <c r="D304" s="18">
        <f t="shared" si="29"/>
        <v>-1</v>
      </c>
      <c r="E304" s="1">
        <v>44372.743055555555</v>
      </c>
      <c r="F304" s="10">
        <f>INT(E304)</f>
        <v>44372</v>
      </c>
      <c r="G304" s="15">
        <f>MOD(E304,2)</f>
        <v>0.74305555555474712</v>
      </c>
      <c r="H304" s="15" t="str">
        <f t="shared" si="30"/>
        <v>17:50</v>
      </c>
      <c r="I304" t="s">
        <v>1004</v>
      </c>
      <c r="J304" t="s">
        <v>26</v>
      </c>
      <c r="K304" t="str">
        <f t="shared" si="31"/>
        <v>Instagram</v>
      </c>
      <c r="L304" t="s">
        <v>1005</v>
      </c>
      <c r="M304">
        <v>22</v>
      </c>
      <c r="N304">
        <v>44</v>
      </c>
      <c r="O304">
        <f t="shared" si="32"/>
        <v>66</v>
      </c>
      <c r="P304" t="s">
        <v>123</v>
      </c>
      <c r="Q304" t="str">
        <f t="shared" si="33"/>
        <v>Canada</v>
      </c>
      <c r="R304">
        <v>2021</v>
      </c>
      <c r="S304">
        <v>6</v>
      </c>
      <c r="T304">
        <v>25</v>
      </c>
      <c r="U304">
        <v>17</v>
      </c>
      <c r="Y304" s="4">
        <f t="shared" si="34"/>
        <v>17</v>
      </c>
    </row>
    <row r="305" spans="1:25" ht="18" x14ac:dyDescent="0.25">
      <c r="A305" t="s">
        <v>1006</v>
      </c>
      <c r="B305" t="s">
        <v>1007</v>
      </c>
      <c r="C305" s="12" t="str">
        <f t="shared" si="28"/>
        <v>Negative</v>
      </c>
      <c r="D305" s="18">
        <f t="shared" si="29"/>
        <v>-1</v>
      </c>
      <c r="E305" s="1">
        <v>43707.423611111109</v>
      </c>
      <c r="F305" s="10">
        <f>INT(E305)</f>
        <v>43707</v>
      </c>
      <c r="G305" s="15">
        <f>MOD(E305,2)</f>
        <v>1.4236111111094942</v>
      </c>
      <c r="H305" s="15" t="str">
        <f t="shared" si="30"/>
        <v>10:10</v>
      </c>
      <c r="I305" t="s">
        <v>1008</v>
      </c>
      <c r="J305" t="s">
        <v>31</v>
      </c>
      <c r="K305" t="str">
        <f t="shared" si="31"/>
        <v>Facebook</v>
      </c>
      <c r="L305" t="s">
        <v>1009</v>
      </c>
      <c r="M305">
        <v>16</v>
      </c>
      <c r="N305">
        <v>32</v>
      </c>
      <c r="O305">
        <f t="shared" si="32"/>
        <v>48</v>
      </c>
      <c r="P305" t="s">
        <v>98</v>
      </c>
      <c r="Q305" t="str">
        <f t="shared" si="33"/>
        <v>USA</v>
      </c>
      <c r="R305">
        <v>2019</v>
      </c>
      <c r="S305">
        <v>8</v>
      </c>
      <c r="T305">
        <v>30</v>
      </c>
      <c r="U305">
        <v>10</v>
      </c>
      <c r="Y305" s="4">
        <f t="shared" si="34"/>
        <v>10</v>
      </c>
    </row>
    <row r="306" spans="1:25" ht="18" x14ac:dyDescent="0.25">
      <c r="A306" t="s">
        <v>1010</v>
      </c>
      <c r="B306" t="s">
        <v>1011</v>
      </c>
      <c r="C306" s="12" t="str">
        <f t="shared" si="28"/>
        <v>Negative</v>
      </c>
      <c r="D306" s="18">
        <f t="shared" si="29"/>
        <v>-1</v>
      </c>
      <c r="E306" s="1">
        <v>44776.645833333336</v>
      </c>
      <c r="F306" s="10">
        <f>INT(E306)</f>
        <v>44776</v>
      </c>
      <c r="G306" s="15">
        <f>MOD(E306,2)</f>
        <v>0.64583333333575865</v>
      </c>
      <c r="H306" s="15" t="str">
        <f t="shared" si="30"/>
        <v>15:30</v>
      </c>
      <c r="I306" t="s">
        <v>1012</v>
      </c>
      <c r="J306" t="s">
        <v>874</v>
      </c>
      <c r="K306" t="str">
        <f t="shared" si="31"/>
        <v>Twitter</v>
      </c>
      <c r="L306" t="s">
        <v>1013</v>
      </c>
      <c r="M306">
        <v>25</v>
      </c>
      <c r="N306">
        <v>50</v>
      </c>
      <c r="O306">
        <f t="shared" si="32"/>
        <v>75</v>
      </c>
      <c r="P306" t="s">
        <v>38</v>
      </c>
      <c r="Q306" t="str">
        <f t="shared" si="33"/>
        <v>Australia</v>
      </c>
      <c r="R306">
        <v>2022</v>
      </c>
      <c r="S306">
        <v>8</v>
      </c>
      <c r="T306">
        <v>3</v>
      </c>
      <c r="U306">
        <v>15</v>
      </c>
      <c r="Y306" s="4">
        <f t="shared" si="34"/>
        <v>15</v>
      </c>
    </row>
    <row r="307" spans="1:25" ht="18" x14ac:dyDescent="0.25">
      <c r="A307" t="s">
        <v>1014</v>
      </c>
      <c r="B307" t="s">
        <v>1015</v>
      </c>
      <c r="C307" s="12" t="str">
        <f t="shared" si="28"/>
        <v>Negative</v>
      </c>
      <c r="D307" s="18">
        <f t="shared" si="29"/>
        <v>-1</v>
      </c>
      <c r="E307" s="1">
        <v>44182.388888888891</v>
      </c>
      <c r="F307" s="10">
        <f>INT(E307)</f>
        <v>44182</v>
      </c>
      <c r="G307" s="15">
        <f>MOD(E307,2)</f>
        <v>0.38888888889050577</v>
      </c>
      <c r="H307" s="15" t="str">
        <f t="shared" si="30"/>
        <v>09:20</v>
      </c>
      <c r="I307" t="s">
        <v>1016</v>
      </c>
      <c r="J307" t="s">
        <v>26</v>
      </c>
      <c r="K307" t="str">
        <f t="shared" si="31"/>
        <v>Instagram</v>
      </c>
      <c r="L307" t="s">
        <v>1017</v>
      </c>
      <c r="M307">
        <v>12</v>
      </c>
      <c r="N307">
        <v>24</v>
      </c>
      <c r="O307">
        <f t="shared" si="32"/>
        <v>36</v>
      </c>
      <c r="P307" t="s">
        <v>164</v>
      </c>
      <c r="Q307" t="str">
        <f t="shared" si="33"/>
        <v>India</v>
      </c>
      <c r="R307">
        <v>2020</v>
      </c>
      <c r="S307">
        <v>12</v>
      </c>
      <c r="T307">
        <v>17</v>
      </c>
      <c r="U307">
        <v>9</v>
      </c>
      <c r="Y307" s="4">
        <f t="shared" si="34"/>
        <v>9</v>
      </c>
    </row>
    <row r="308" spans="1:25" ht="18" x14ac:dyDescent="0.25">
      <c r="A308" t="s">
        <v>1018</v>
      </c>
      <c r="B308" t="s">
        <v>1019</v>
      </c>
      <c r="C308" s="12" t="str">
        <f t="shared" si="28"/>
        <v>Neutral</v>
      </c>
      <c r="D308" s="18">
        <f t="shared" si="29"/>
        <v>0</v>
      </c>
      <c r="E308" s="1">
        <v>44255.947916666664</v>
      </c>
      <c r="F308" s="10">
        <f>INT(E308)</f>
        <v>44255</v>
      </c>
      <c r="G308" s="15">
        <f>MOD(E308,2)</f>
        <v>1.9479166666642413</v>
      </c>
      <c r="H308" s="15" t="str">
        <f t="shared" si="30"/>
        <v>22:45</v>
      </c>
      <c r="I308" t="s">
        <v>1020</v>
      </c>
      <c r="J308" t="s">
        <v>31</v>
      </c>
      <c r="K308" t="str">
        <f t="shared" si="31"/>
        <v>Facebook</v>
      </c>
      <c r="L308" t="s">
        <v>1021</v>
      </c>
      <c r="M308">
        <v>20</v>
      </c>
      <c r="N308">
        <v>40</v>
      </c>
      <c r="O308">
        <f t="shared" si="32"/>
        <v>60</v>
      </c>
      <c r="P308" t="s">
        <v>98</v>
      </c>
      <c r="Q308" t="str">
        <f t="shared" si="33"/>
        <v>USA</v>
      </c>
      <c r="R308">
        <v>2021</v>
      </c>
      <c r="S308">
        <v>2</v>
      </c>
      <c r="T308">
        <v>28</v>
      </c>
      <c r="U308">
        <v>22</v>
      </c>
      <c r="Y308" s="4">
        <f t="shared" si="34"/>
        <v>22</v>
      </c>
    </row>
    <row r="309" spans="1:25" ht="18" x14ac:dyDescent="0.25">
      <c r="A309" t="s">
        <v>1022</v>
      </c>
      <c r="B309" t="s">
        <v>1023</v>
      </c>
      <c r="C309" s="12" t="str">
        <f t="shared" si="28"/>
        <v>Negative</v>
      </c>
      <c r="D309" s="18">
        <f t="shared" si="29"/>
        <v>-1</v>
      </c>
      <c r="E309" s="1">
        <v>43230.583333333336</v>
      </c>
      <c r="F309" s="10">
        <f>INT(E309)</f>
        <v>43230</v>
      </c>
      <c r="G309" s="15">
        <f>MOD(E309,2)</f>
        <v>0.58333333333575865</v>
      </c>
      <c r="H309" s="15" t="str">
        <f t="shared" si="30"/>
        <v>14:00</v>
      </c>
      <c r="I309" t="s">
        <v>1024</v>
      </c>
      <c r="J309" t="s">
        <v>874</v>
      </c>
      <c r="K309" t="str">
        <f t="shared" si="31"/>
        <v>Twitter</v>
      </c>
      <c r="L309" t="s">
        <v>1025</v>
      </c>
      <c r="M309">
        <v>14</v>
      </c>
      <c r="N309">
        <v>28</v>
      </c>
      <c r="O309">
        <f t="shared" si="32"/>
        <v>42</v>
      </c>
      <c r="P309" t="s">
        <v>109</v>
      </c>
      <c r="Q309" t="str">
        <f t="shared" si="33"/>
        <v>UK</v>
      </c>
      <c r="R309">
        <v>2018</v>
      </c>
      <c r="S309">
        <v>5</v>
      </c>
      <c r="T309">
        <v>10</v>
      </c>
      <c r="U309">
        <v>14</v>
      </c>
      <c r="Y309" s="4">
        <f t="shared" si="34"/>
        <v>14</v>
      </c>
    </row>
    <row r="310" spans="1:25" ht="18" x14ac:dyDescent="0.25">
      <c r="A310" t="s">
        <v>1026</v>
      </c>
      <c r="B310" t="s">
        <v>1015</v>
      </c>
      <c r="C310" s="12" t="str">
        <f t="shared" si="28"/>
        <v>Negative</v>
      </c>
      <c r="D310" s="18">
        <f t="shared" si="29"/>
        <v>-1</v>
      </c>
      <c r="E310" s="1">
        <v>44568.465277777781</v>
      </c>
      <c r="F310" s="10">
        <f>INT(E310)</f>
        <v>44568</v>
      </c>
      <c r="G310" s="15">
        <f>MOD(E310,2)</f>
        <v>0.46527777778101154</v>
      </c>
      <c r="H310" s="15" t="str">
        <f t="shared" si="30"/>
        <v>11:10</v>
      </c>
      <c r="I310" t="s">
        <v>1027</v>
      </c>
      <c r="J310" t="s">
        <v>26</v>
      </c>
      <c r="K310" t="str">
        <f t="shared" si="31"/>
        <v>Instagram</v>
      </c>
      <c r="L310" t="s">
        <v>1028</v>
      </c>
      <c r="M310">
        <v>15</v>
      </c>
      <c r="N310">
        <v>30</v>
      </c>
      <c r="O310">
        <f t="shared" si="32"/>
        <v>45</v>
      </c>
      <c r="P310" t="s">
        <v>123</v>
      </c>
      <c r="Q310" t="str">
        <f t="shared" si="33"/>
        <v>Canada</v>
      </c>
      <c r="R310">
        <v>2022</v>
      </c>
      <c r="S310">
        <v>1</v>
      </c>
      <c r="T310">
        <v>7</v>
      </c>
      <c r="U310">
        <v>11</v>
      </c>
      <c r="Y310" s="4">
        <f t="shared" si="34"/>
        <v>11</v>
      </c>
    </row>
    <row r="311" spans="1:25" ht="18" x14ac:dyDescent="0.25">
      <c r="A311" t="s">
        <v>1029</v>
      </c>
      <c r="B311" t="s">
        <v>649</v>
      </c>
      <c r="C311" s="12" t="str">
        <f t="shared" si="28"/>
        <v>Negative</v>
      </c>
      <c r="D311" s="18">
        <f t="shared" si="29"/>
        <v>-1</v>
      </c>
      <c r="E311" s="1">
        <v>43727.145833333336</v>
      </c>
      <c r="F311" s="10">
        <f>INT(E311)</f>
        <v>43727</v>
      </c>
      <c r="G311" s="15">
        <f>MOD(E311,2)</f>
        <v>1.1458333333357587</v>
      </c>
      <c r="H311" s="15" t="str">
        <f t="shared" si="30"/>
        <v>03:30</v>
      </c>
      <c r="I311" t="s">
        <v>1030</v>
      </c>
      <c r="J311" t="s">
        <v>31</v>
      </c>
      <c r="K311" t="str">
        <f t="shared" si="31"/>
        <v>Facebook</v>
      </c>
      <c r="L311" t="s">
        <v>1031</v>
      </c>
      <c r="M311">
        <v>18</v>
      </c>
      <c r="N311">
        <v>36</v>
      </c>
      <c r="O311">
        <f t="shared" si="32"/>
        <v>54</v>
      </c>
      <c r="P311" t="s">
        <v>38</v>
      </c>
      <c r="Q311" t="str">
        <f t="shared" si="33"/>
        <v>Australia</v>
      </c>
      <c r="R311">
        <v>2019</v>
      </c>
      <c r="S311">
        <v>9</v>
      </c>
      <c r="T311">
        <v>19</v>
      </c>
      <c r="U311">
        <v>3</v>
      </c>
      <c r="Y311" s="4">
        <f t="shared" si="34"/>
        <v>3</v>
      </c>
    </row>
    <row r="312" spans="1:25" ht="18" x14ac:dyDescent="0.25">
      <c r="A312" t="s">
        <v>1032</v>
      </c>
      <c r="B312" t="s">
        <v>995</v>
      </c>
      <c r="C312" s="12" t="str">
        <f t="shared" si="28"/>
        <v>Negative</v>
      </c>
      <c r="D312" s="18">
        <f t="shared" si="29"/>
        <v>-1</v>
      </c>
      <c r="E312" s="1">
        <v>45121.958333333336</v>
      </c>
      <c r="F312" s="10">
        <f>INT(E312)</f>
        <v>45121</v>
      </c>
      <c r="G312" s="15">
        <f>MOD(E312,2)</f>
        <v>1.9583333333357587</v>
      </c>
      <c r="H312" s="15" t="str">
        <f t="shared" si="30"/>
        <v>23:00</v>
      </c>
      <c r="I312" t="s">
        <v>1033</v>
      </c>
      <c r="J312" t="s">
        <v>874</v>
      </c>
      <c r="K312" t="str">
        <f t="shared" si="31"/>
        <v>Twitter</v>
      </c>
      <c r="L312" t="s">
        <v>1034</v>
      </c>
      <c r="M312">
        <v>13</v>
      </c>
      <c r="N312">
        <v>26</v>
      </c>
      <c r="O312">
        <f t="shared" si="32"/>
        <v>39</v>
      </c>
      <c r="P312" t="s">
        <v>109</v>
      </c>
      <c r="Q312" t="str">
        <f t="shared" si="33"/>
        <v>UK</v>
      </c>
      <c r="R312">
        <v>2023</v>
      </c>
      <c r="S312">
        <v>7</v>
      </c>
      <c r="T312">
        <v>14</v>
      </c>
      <c r="U312">
        <v>23</v>
      </c>
      <c r="Y312" s="4">
        <f t="shared" si="34"/>
        <v>23</v>
      </c>
    </row>
    <row r="313" spans="1:25" ht="18" x14ac:dyDescent="0.25">
      <c r="A313" t="s">
        <v>1035</v>
      </c>
      <c r="B313" t="s">
        <v>984</v>
      </c>
      <c r="C313" s="12" t="str">
        <f t="shared" si="28"/>
        <v>Negative</v>
      </c>
      <c r="D313" s="18">
        <f t="shared" si="29"/>
        <v>-1</v>
      </c>
      <c r="E313" s="1">
        <v>43926.680555555555</v>
      </c>
      <c r="F313" s="10">
        <f>INT(E313)</f>
        <v>43926</v>
      </c>
      <c r="G313" s="15">
        <f>MOD(E313,2)</f>
        <v>0.68055555555474712</v>
      </c>
      <c r="H313" s="15" t="str">
        <f t="shared" si="30"/>
        <v>16:20</v>
      </c>
      <c r="I313" t="s">
        <v>1036</v>
      </c>
      <c r="J313" t="s">
        <v>26</v>
      </c>
      <c r="K313" t="str">
        <f t="shared" si="31"/>
        <v>Instagram</v>
      </c>
      <c r="L313" t="s">
        <v>1037</v>
      </c>
      <c r="M313">
        <v>10</v>
      </c>
      <c r="N313">
        <v>20</v>
      </c>
      <c r="O313">
        <f t="shared" si="32"/>
        <v>30</v>
      </c>
      <c r="P313" t="s">
        <v>164</v>
      </c>
      <c r="Q313" t="str">
        <f t="shared" si="33"/>
        <v>India</v>
      </c>
      <c r="R313">
        <v>2020</v>
      </c>
      <c r="S313">
        <v>4</v>
      </c>
      <c r="T313">
        <v>5</v>
      </c>
      <c r="U313">
        <v>16</v>
      </c>
      <c r="Y313" s="4">
        <f t="shared" si="34"/>
        <v>16</v>
      </c>
    </row>
    <row r="314" spans="1:25" ht="18" x14ac:dyDescent="0.25">
      <c r="A314" t="s">
        <v>1038</v>
      </c>
      <c r="B314" t="s">
        <v>1003</v>
      </c>
      <c r="C314" s="12" t="str">
        <f t="shared" si="28"/>
        <v>Negative</v>
      </c>
      <c r="D314" s="18">
        <f t="shared" si="29"/>
        <v>-1</v>
      </c>
      <c r="E314" s="1">
        <v>44529.364583333336</v>
      </c>
      <c r="F314" s="10">
        <f>INT(E314)</f>
        <v>44529</v>
      </c>
      <c r="G314" s="15">
        <f>MOD(E314,2)</f>
        <v>1.3645833333357587</v>
      </c>
      <c r="H314" s="15" t="str">
        <f t="shared" si="30"/>
        <v>08:45</v>
      </c>
      <c r="I314" t="s">
        <v>1039</v>
      </c>
      <c r="J314" t="s">
        <v>31</v>
      </c>
      <c r="K314" t="str">
        <f t="shared" si="31"/>
        <v>Facebook</v>
      </c>
      <c r="L314" t="s">
        <v>1040</v>
      </c>
      <c r="M314">
        <v>20</v>
      </c>
      <c r="N314">
        <v>40</v>
      </c>
      <c r="O314">
        <f t="shared" si="32"/>
        <v>60</v>
      </c>
      <c r="P314" t="s">
        <v>98</v>
      </c>
      <c r="Q314" t="str">
        <f t="shared" si="33"/>
        <v>USA</v>
      </c>
      <c r="R314">
        <v>2021</v>
      </c>
      <c r="S314">
        <v>11</v>
      </c>
      <c r="T314">
        <v>29</v>
      </c>
      <c r="U314">
        <v>8</v>
      </c>
      <c r="Y314" s="4">
        <f t="shared" si="34"/>
        <v>8</v>
      </c>
    </row>
    <row r="315" spans="1:25" ht="18" x14ac:dyDescent="0.25">
      <c r="A315" t="s">
        <v>1041</v>
      </c>
      <c r="B315" t="s">
        <v>1007</v>
      </c>
      <c r="C315" s="12" t="str">
        <f t="shared" si="28"/>
        <v>Negative</v>
      </c>
      <c r="D315" s="18">
        <f t="shared" si="29"/>
        <v>-1</v>
      </c>
      <c r="E315" s="1">
        <v>43811.708333333336</v>
      </c>
      <c r="F315" s="10">
        <f>INT(E315)</f>
        <v>43811</v>
      </c>
      <c r="G315" s="15">
        <f>MOD(E315,2)</f>
        <v>1.7083333333357587</v>
      </c>
      <c r="H315" s="15" t="str">
        <f t="shared" si="30"/>
        <v>17:00</v>
      </c>
      <c r="I315" t="s">
        <v>1042</v>
      </c>
      <c r="J315" t="s">
        <v>874</v>
      </c>
      <c r="K315" t="str">
        <f t="shared" si="31"/>
        <v>Twitter</v>
      </c>
      <c r="L315" t="s">
        <v>1043</v>
      </c>
      <c r="M315">
        <v>16</v>
      </c>
      <c r="N315">
        <v>32</v>
      </c>
      <c r="O315">
        <f t="shared" si="32"/>
        <v>48</v>
      </c>
      <c r="P315" t="s">
        <v>38</v>
      </c>
      <c r="Q315" t="str">
        <f t="shared" si="33"/>
        <v>Australia</v>
      </c>
      <c r="R315">
        <v>2019</v>
      </c>
      <c r="S315">
        <v>12</v>
      </c>
      <c r="T315">
        <v>12</v>
      </c>
      <c r="U315">
        <v>17</v>
      </c>
      <c r="Y315" s="4">
        <f t="shared" si="34"/>
        <v>17</v>
      </c>
    </row>
    <row r="316" spans="1:25" ht="18" x14ac:dyDescent="0.25">
      <c r="A316" t="s">
        <v>1044</v>
      </c>
      <c r="B316" t="s">
        <v>1011</v>
      </c>
      <c r="C316" s="12" t="str">
        <f t="shared" si="28"/>
        <v>Negative</v>
      </c>
      <c r="D316" s="18">
        <f t="shared" si="29"/>
        <v>-1</v>
      </c>
      <c r="E316" s="1">
        <v>44701.618055555555</v>
      </c>
      <c r="F316" s="10">
        <f>INT(E316)</f>
        <v>44701</v>
      </c>
      <c r="G316" s="15">
        <f>MOD(E316,2)</f>
        <v>1.6180555555547471</v>
      </c>
      <c r="H316" s="15" t="str">
        <f t="shared" si="30"/>
        <v>14:50</v>
      </c>
      <c r="I316" t="s">
        <v>1045</v>
      </c>
      <c r="J316" t="s">
        <v>26</v>
      </c>
      <c r="K316" t="str">
        <f t="shared" si="31"/>
        <v>Instagram</v>
      </c>
      <c r="L316" t="s">
        <v>1046</v>
      </c>
      <c r="M316">
        <v>25</v>
      </c>
      <c r="N316">
        <v>50</v>
      </c>
      <c r="O316">
        <f t="shared" si="32"/>
        <v>75</v>
      </c>
      <c r="P316" t="s">
        <v>123</v>
      </c>
      <c r="Q316" t="str">
        <f t="shared" si="33"/>
        <v>Canada</v>
      </c>
      <c r="R316">
        <v>2022</v>
      </c>
      <c r="S316">
        <v>5</v>
      </c>
      <c r="T316">
        <v>20</v>
      </c>
      <c r="U316">
        <v>14</v>
      </c>
      <c r="Y316" s="4">
        <f t="shared" si="34"/>
        <v>14</v>
      </c>
    </row>
    <row r="317" spans="1:25" ht="18" x14ac:dyDescent="0.25">
      <c r="A317" t="s">
        <v>1047</v>
      </c>
      <c r="B317" t="s">
        <v>1015</v>
      </c>
      <c r="C317" s="12" t="str">
        <f t="shared" si="28"/>
        <v>Negative</v>
      </c>
      <c r="D317" s="18">
        <f t="shared" si="29"/>
        <v>-1</v>
      </c>
      <c r="E317" s="1">
        <v>44077.510416666664</v>
      </c>
      <c r="F317" s="10">
        <f>INT(E317)</f>
        <v>44077</v>
      </c>
      <c r="G317" s="15">
        <f>MOD(E317,2)</f>
        <v>1.5104166666642413</v>
      </c>
      <c r="H317" s="15" t="str">
        <f t="shared" si="30"/>
        <v>12:15</v>
      </c>
      <c r="I317" t="s">
        <v>1048</v>
      </c>
      <c r="J317" t="s">
        <v>31</v>
      </c>
      <c r="K317" t="str">
        <f t="shared" si="31"/>
        <v>Facebook</v>
      </c>
      <c r="L317" t="s">
        <v>1049</v>
      </c>
      <c r="M317">
        <v>14</v>
      </c>
      <c r="N317">
        <v>28</v>
      </c>
      <c r="O317">
        <f t="shared" si="32"/>
        <v>42</v>
      </c>
      <c r="P317" t="s">
        <v>109</v>
      </c>
      <c r="Q317" t="str">
        <f t="shared" si="33"/>
        <v>UK</v>
      </c>
      <c r="R317">
        <v>2020</v>
      </c>
      <c r="S317">
        <v>9</v>
      </c>
      <c r="T317">
        <v>3</v>
      </c>
      <c r="U317">
        <v>12</v>
      </c>
      <c r="Y317" s="4">
        <f t="shared" si="34"/>
        <v>12</v>
      </c>
    </row>
    <row r="318" spans="1:25" ht="18" x14ac:dyDescent="0.25">
      <c r="A318" t="s">
        <v>1050</v>
      </c>
      <c r="B318" t="s">
        <v>1019</v>
      </c>
      <c r="C318" s="12" t="str">
        <f t="shared" si="28"/>
        <v>Neutral</v>
      </c>
      <c r="D318" s="18">
        <f t="shared" si="29"/>
        <v>0</v>
      </c>
      <c r="E318" s="1">
        <v>44237.8125</v>
      </c>
      <c r="F318" s="10">
        <f>INT(E318)</f>
        <v>44237</v>
      </c>
      <c r="G318" s="15">
        <f>MOD(E318,2)</f>
        <v>1.8125</v>
      </c>
      <c r="H318" s="15" t="str">
        <f t="shared" si="30"/>
        <v>19:30</v>
      </c>
      <c r="I318" t="s">
        <v>1051</v>
      </c>
      <c r="J318" t="s">
        <v>874</v>
      </c>
      <c r="K318" t="str">
        <f t="shared" si="31"/>
        <v>Twitter</v>
      </c>
      <c r="L318" t="s">
        <v>1052</v>
      </c>
      <c r="M318">
        <v>20</v>
      </c>
      <c r="N318">
        <v>40</v>
      </c>
      <c r="O318">
        <f t="shared" si="32"/>
        <v>60</v>
      </c>
      <c r="P318" t="s">
        <v>98</v>
      </c>
      <c r="Q318" t="str">
        <f t="shared" si="33"/>
        <v>USA</v>
      </c>
      <c r="R318">
        <v>2021</v>
      </c>
      <c r="S318">
        <v>2</v>
      </c>
      <c r="T318">
        <v>10</v>
      </c>
      <c r="U318">
        <v>19</v>
      </c>
      <c r="Y318" s="4">
        <f t="shared" si="34"/>
        <v>19</v>
      </c>
    </row>
    <row r="319" spans="1:25" ht="18" x14ac:dyDescent="0.25">
      <c r="A319" t="s">
        <v>1053</v>
      </c>
      <c r="B319" t="s">
        <v>1023</v>
      </c>
      <c r="C319" s="12" t="str">
        <f t="shared" si="28"/>
        <v>Negative</v>
      </c>
      <c r="D319" s="18">
        <f t="shared" si="29"/>
        <v>-1</v>
      </c>
      <c r="E319" s="1">
        <v>43330.611111111109</v>
      </c>
      <c r="F319" s="10">
        <f>INT(E319)</f>
        <v>43330</v>
      </c>
      <c r="G319" s="15">
        <f>MOD(E319,2)</f>
        <v>0.61111111110949423</v>
      </c>
      <c r="H319" s="15" t="str">
        <f t="shared" si="30"/>
        <v>14:40</v>
      </c>
      <c r="I319" t="s">
        <v>1054</v>
      </c>
      <c r="J319" t="s">
        <v>26</v>
      </c>
      <c r="K319" t="str">
        <f t="shared" si="31"/>
        <v>Instagram</v>
      </c>
      <c r="L319" t="s">
        <v>1055</v>
      </c>
      <c r="M319">
        <v>12</v>
      </c>
      <c r="N319">
        <v>24</v>
      </c>
      <c r="O319">
        <f t="shared" si="32"/>
        <v>36</v>
      </c>
      <c r="P319" t="s">
        <v>38</v>
      </c>
      <c r="Q319" t="str">
        <f t="shared" si="33"/>
        <v>Australia</v>
      </c>
      <c r="R319">
        <v>2018</v>
      </c>
      <c r="S319">
        <v>8</v>
      </c>
      <c r="T319">
        <v>18</v>
      </c>
      <c r="U319">
        <v>14</v>
      </c>
      <c r="Y319" s="4">
        <f t="shared" si="34"/>
        <v>14</v>
      </c>
    </row>
    <row r="320" spans="1:25" ht="18" x14ac:dyDescent="0.25">
      <c r="A320" t="s">
        <v>1056</v>
      </c>
      <c r="B320" t="s">
        <v>980</v>
      </c>
      <c r="C320" s="12" t="str">
        <f t="shared" si="28"/>
        <v>Negative</v>
      </c>
      <c r="D320" s="18">
        <f t="shared" si="29"/>
        <v>-1</v>
      </c>
      <c r="E320" s="1">
        <v>44620.875</v>
      </c>
      <c r="F320" s="10">
        <f>INT(E320)</f>
        <v>44620</v>
      </c>
      <c r="G320" s="15">
        <f>MOD(E320,2)</f>
        <v>0.875</v>
      </c>
      <c r="H320" s="15" t="str">
        <f t="shared" si="30"/>
        <v>21:00</v>
      </c>
      <c r="I320" t="s">
        <v>1057</v>
      </c>
      <c r="J320" t="s">
        <v>31</v>
      </c>
      <c r="K320" t="str">
        <f t="shared" si="31"/>
        <v>Facebook</v>
      </c>
      <c r="L320" t="s">
        <v>1058</v>
      </c>
      <c r="M320">
        <v>8</v>
      </c>
      <c r="N320">
        <v>16</v>
      </c>
      <c r="O320">
        <f t="shared" si="32"/>
        <v>24</v>
      </c>
      <c r="P320" t="s">
        <v>123</v>
      </c>
      <c r="Q320" t="str">
        <f t="shared" si="33"/>
        <v>Canada</v>
      </c>
      <c r="R320">
        <v>2022</v>
      </c>
      <c r="S320">
        <v>2</v>
      </c>
      <c r="T320">
        <v>28</v>
      </c>
      <c r="U320">
        <v>21</v>
      </c>
      <c r="Y320" s="4">
        <f t="shared" si="34"/>
        <v>21</v>
      </c>
    </row>
    <row r="321" spans="1:25" ht="18" x14ac:dyDescent="0.25">
      <c r="A321" t="s">
        <v>1059</v>
      </c>
      <c r="B321" t="s">
        <v>984</v>
      </c>
      <c r="C321" s="12" t="str">
        <f t="shared" si="28"/>
        <v>Negative</v>
      </c>
      <c r="D321" s="18">
        <f t="shared" si="29"/>
        <v>-1</v>
      </c>
      <c r="E321" s="1">
        <v>43753.4375</v>
      </c>
      <c r="F321" s="10">
        <f>INT(E321)</f>
        <v>43753</v>
      </c>
      <c r="G321" s="15">
        <f>MOD(E321,2)</f>
        <v>1.4375</v>
      </c>
      <c r="H321" s="15" t="str">
        <f t="shared" si="30"/>
        <v>10:30</v>
      </c>
      <c r="I321" t="s">
        <v>1060</v>
      </c>
      <c r="J321" t="s">
        <v>874</v>
      </c>
      <c r="K321" t="str">
        <f t="shared" si="31"/>
        <v>Twitter</v>
      </c>
      <c r="L321" t="s">
        <v>1061</v>
      </c>
      <c r="M321">
        <v>15</v>
      </c>
      <c r="N321">
        <v>30</v>
      </c>
      <c r="O321">
        <f t="shared" si="32"/>
        <v>45</v>
      </c>
      <c r="P321" t="s">
        <v>109</v>
      </c>
      <c r="Q321" t="str">
        <f t="shared" si="33"/>
        <v>UK</v>
      </c>
      <c r="R321">
        <v>2019</v>
      </c>
      <c r="S321">
        <v>10</v>
      </c>
      <c r="T321">
        <v>15</v>
      </c>
      <c r="U321">
        <v>10</v>
      </c>
      <c r="Y321" s="4">
        <f t="shared" si="34"/>
        <v>10</v>
      </c>
    </row>
    <row r="322" spans="1:25" ht="18" x14ac:dyDescent="0.25">
      <c r="A322" t="s">
        <v>1062</v>
      </c>
      <c r="B322" t="s">
        <v>649</v>
      </c>
      <c r="C322" s="12" t="str">
        <f t="shared" si="28"/>
        <v>Negative</v>
      </c>
      <c r="D322" s="18">
        <f t="shared" si="29"/>
        <v>-1</v>
      </c>
      <c r="E322" s="1">
        <v>43070.784722222219</v>
      </c>
      <c r="F322" s="10">
        <f>INT(E322)</f>
        <v>43070</v>
      </c>
      <c r="G322" s="15">
        <f>MOD(E322,2)</f>
        <v>0.78472222221898846</v>
      </c>
      <c r="H322" s="15" t="str">
        <f t="shared" si="30"/>
        <v>18:50</v>
      </c>
      <c r="I322" t="s">
        <v>1063</v>
      </c>
      <c r="J322" t="s">
        <v>26</v>
      </c>
      <c r="K322" t="str">
        <f t="shared" si="31"/>
        <v>Instagram</v>
      </c>
      <c r="L322" t="s">
        <v>1064</v>
      </c>
      <c r="M322">
        <v>18</v>
      </c>
      <c r="N322">
        <v>36</v>
      </c>
      <c r="O322">
        <f t="shared" si="32"/>
        <v>54</v>
      </c>
      <c r="P322" t="s">
        <v>98</v>
      </c>
      <c r="Q322" t="str">
        <f t="shared" si="33"/>
        <v>USA</v>
      </c>
      <c r="R322">
        <v>2017</v>
      </c>
      <c r="S322">
        <v>12</v>
      </c>
      <c r="T322">
        <v>1</v>
      </c>
      <c r="U322">
        <v>18</v>
      </c>
      <c r="Y322" s="4">
        <f t="shared" si="34"/>
        <v>18</v>
      </c>
    </row>
    <row r="323" spans="1:25" ht="18" x14ac:dyDescent="0.25">
      <c r="A323" t="s">
        <v>1065</v>
      </c>
      <c r="B323" t="s">
        <v>991</v>
      </c>
      <c r="C323" s="12" t="str">
        <f t="shared" ref="C323:C386" si="35">IF(OR(ISNUMBER(SEARCH("happ",B323)),ISNUMBER(SEARCH("joy",B323)),ISNUMBER(SEARCH("love",B323)),ISNUMBER(SEARCH("amuse",B323)),ISNUMBER(SEARCH("enjoy",B323)),ISNUMBER(SEARCH("admire",B323)),ISNUMBER(SEARCH("affection",B323)),ISNUMBER(SEARCH("awe",B323)),ISNUMBER(SEARCH("accept",B323)),ISNUMBER(SEARCH("ador",B323)),ISNUMBER(SEARCH("calm",B323)),ISNUMBER(SEARCH("excit",B323)),ISNUMBER(SEARCH("kind",B323)),ISNUMBER(SEARCH("pride",B323)),ISNUMBER(SEARCH("elat",B323)),ISNUMBER(SEARCH("euphor",B323)),ISNUMBER(SEARCH("content",B323)),ISNUMBER(SEARCH("seren",B323)),ISNUMBER(SEARCH("grat",B323)),ISNUMBER(SEARCH("hope",B323)),ISNUMBER(SEARCH("empower",B323)),ISNUMBER(SEARCH("compass",B323)),ISNUMBER(SEARCH("tender",B323)),ISNUMBER(SEARCH("enthus",B323)),ISNUMBER(SEARCH("fulfill",B323)),ISNUMBER(SEARCH("rever",B323)),ISNUMBER(SEARCH("zest",B323)),ISNUMBER(SEARCH("play",B323)),ISNUMBER(SEARCH("inspir",B323)),ISNUMBER(SEARCH("confid",B323)),ISNUMBER(SEARCH("determin",B323)),ISNUMBER(SEARCH("thrill",B323)),ISNUMBER(SEARCH("overjoy",B323)),ISNUMBER(SEARCH("motiv",B323)),ISNUMBER(SEARCH("satisf",B323)),ISNUMBER(SEARCH("bless",B323)),ISNUMBER(SEARCH("appreci",B323)),ISNUMBER(SEARCH("accomplish",B323)),ISNUMBER(SEARCH("wonder",B323)),ISNUMBER(SEARCH("optim",B323)),ISNUMBER(SEARCH("enchant",B323)),ISNUMBER(SEARCH("intrigu",B323)),ISNUMBER(SEARCH("mindful",B323)),ISNUMBER(SEARCH("eleg",B323)),ISNUMBER(SEARCH("whims",B323)),ISNUMBER(SEARCH("harmon",B323)),ISNUMBER(SEARCH("creativ",B323)),ISNUMBER(SEARCH("radian",B323)),ISNUMBER(SEARCH("rejuven",B323)),ISNUMBER(SEARCH("cozy",B323)),ISNUMBER(SEARCH("adventur",B323)),ISNUMBER(SEARCH("melod",B323)),ISNUMBER(SEARCH("festiv",B323)),ISNUMBER(SEARCH("free",B323)),ISNUMBER(SEARCH("dazzl",B323)),ISNUMBER(SEARCH("adrenal",B323)),ISNUMBER(SEARCH("artistic",B323)),ISNUMBER(SEARCH("resil",B323)),ISNUMBER(SEARCH("immers",B323)),ISNUMBER(SEARCH("spark",B323)),ISNUMBER(SEARCH("marvel",B323)),ISNUMBER(SEARCH("friend",B323)),ISNUMBER(SEARCH("success",B323)),ISNUMBER(SEARCH("explor",B323)),ISNUMBER(SEARCH("amaz",B323)),ISNUMBER(SEARCH("romanc",B323)),ISNUMBER(SEARCH("captiv",B323)),ISNUMBER(SEARCH("tranquil",B323)),ISNUMBER(SEARCH("grand",B323)),ISNUMBER(SEARCH("energ",B323)),ISNUMBER(SEARCH("celebr",B323)),ISNUMBER(SEARCH("charm",B323)),ISNUMBER(SEARCH("ecstasy",B323)),ISNUMBER(SEARCH("color",B323)),ISNUMBER(SEARCH("hypnot",B323)),ISNUMBER(SEARCH("connect",B323)),ISNUMBER(SEARCH("icon",B323)),ISNUMBER(SEARCH("engag",B323)),ISNUMBER(SEARCH("triumph",B323)),ISNUMBER(SEARCH("heartwarm",B323)),ISNUMBER(SEARCH("solac",B323)),ISNUMBER(SEARCH("breakthrough",B323)),ISNUMBER(SEARCH("imagin",B323)),ISNUMBER(SEARCH("vibran",B323)),ISNUMBER(SEARCH("mesmer",B323)),ISNUMBER(SEARCH("winter magic",B323)),ISNUMBER(SEARCH("nature",B323)),ISNUMBER(SEARCH("celestial",B323)),ISNUMBER(SEARCH("positive",B323)),ISNUMBER(SEARCH("arous",B323))),"Positive",IF(OR(ISNUMBER(SEARCH("anger",B323)),ISNUMBER(SEARCH("fear",B323)),ISNUMBER(SEARCH("sad",B323)),ISNUMBER(SEARCH("disgust",B323)),ISNUMBER(SEARCH("disappoint",B323)),ISNUMBER(SEARCH("bitter",B323)),ISNUMBER(SEARCH("shame",B323)),ISNUMBER(SEARCH("despair",B323)),ISNUMBER(SEARCH("grief",B323)),ISNUMBER(SEARCH("lonel",B323)),ISNUMBER(SEARCH("jealous",B323)),ISNUMBER(SEARCH("resent",B323)),ISNUMBER(SEARCH("frustrat",B323)),ISNUMBER(SEARCH("bored",B323)),ISNUMBER(SEARCH("anxi",B323)),ISNUMBER(SEARCH("intimid",B323)),ISNUMBER(SEARCH("helpless",B323)),ISNUMBER(SEARCH("envy",B323)),ISNUMBER(SEARCH("regret",B323)),ISNUMBER(SEARCH("melanchol",B323)),ISNUMBER(SEARCH("yearn",B323)),ISNUMBER(SEARCH("apprehens",B323)),ISNUMBER(SEARCH("overwhelm",B323)),ISNUMBER(SEARCH("devastat",B323)),ISNUMBER(SEARCH("dismiss",B323)),ISNUMBER(SEARCH("heartbreak",B323)),ISNUMBER(SEARCH("betray",B323)),ISNUMBER(SEARCH("suffer",B323)),ISNUMBER(SEARCH("isolat",B323)),ISNUMBER(SEARCH("lost",B323)),ISNUMBER(SEARCH("exhaust",B323)),ISNUMBER(SEARCH("sorrow",B323)),ISNUMBER(SEARCH("darkness",B323)),ISNUMBER(SEARCH("desperat",B323)),ISNUMBER(SEARCH("ruins",B323)),ISNUMBER(SEARCH("desolat",B323)),ISNUMBER(SEARCH("heartache",B323)),ISNUMBER(SEARCH("solitude",B323)),ISNUMBER(SEARCH("obstacle",B323)),ISNUMBER(SEARCH("pressure",B323)),ISNUMBER(SEARCH("miscalcul",B323)),ISNUMBER(SEARCH("challenge",B323)),ISNUMBER(SEARCH("embarrass",B323)),ISNUMBER(SEARCH("hate",B323)),ISNUMBER(SEARCH("bad",B323)),ISNUMBER(SEARCH("negative",B323))),"Negative","Neutral"))</f>
        <v>Negative</v>
      </c>
      <c r="D323" s="18">
        <f t="shared" ref="D323:D386" si="36">IF(C323="Positive", 1, IF(C323="Negative", -1, 0))</f>
        <v>-1</v>
      </c>
      <c r="E323" s="1">
        <v>43939.677083333336</v>
      </c>
      <c r="F323" s="10">
        <f>INT(E323)</f>
        <v>43939</v>
      </c>
      <c r="G323" s="15">
        <f>MOD(E323,2)</f>
        <v>1.6770833333357587</v>
      </c>
      <c r="H323" s="15" t="str">
        <f t="shared" ref="H323:H386" si="37">TEXT(G323, "hh:mm")</f>
        <v>16:15</v>
      </c>
      <c r="I323" t="s">
        <v>1066</v>
      </c>
      <c r="J323" t="s">
        <v>31</v>
      </c>
      <c r="K323" t="str">
        <f t="shared" ref="K323:K386" si="38">TRIM(CLEAN(J323))</f>
        <v>Facebook</v>
      </c>
      <c r="L323" t="s">
        <v>1067</v>
      </c>
      <c r="M323">
        <v>10</v>
      </c>
      <c r="N323">
        <v>20</v>
      </c>
      <c r="O323">
        <f t="shared" ref="O323:O386" si="39">M323+N323</f>
        <v>30</v>
      </c>
      <c r="P323" t="s">
        <v>38</v>
      </c>
      <c r="Q323" t="str">
        <f t="shared" ref="Q323:Q386" si="40">TRIM(CLEAN(P323))</f>
        <v>Australia</v>
      </c>
      <c r="R323">
        <v>2020</v>
      </c>
      <c r="S323">
        <v>4</v>
      </c>
      <c r="T323">
        <v>18</v>
      </c>
      <c r="U323">
        <v>16</v>
      </c>
      <c r="Y323" s="4">
        <f t="shared" ref="Y323:Y386" si="41">HOUR(H323)</f>
        <v>16</v>
      </c>
    </row>
    <row r="324" spans="1:25" ht="18" x14ac:dyDescent="0.25">
      <c r="A324" t="s">
        <v>1068</v>
      </c>
      <c r="B324" t="s">
        <v>995</v>
      </c>
      <c r="C324" s="12" t="str">
        <f t="shared" si="35"/>
        <v>Negative</v>
      </c>
      <c r="D324" s="18">
        <f t="shared" si="36"/>
        <v>-1</v>
      </c>
      <c r="E324" s="1">
        <v>44933.145833333336</v>
      </c>
      <c r="F324" s="10">
        <f>INT(E324)</f>
        <v>44933</v>
      </c>
      <c r="G324" s="15">
        <f>MOD(E324,2)</f>
        <v>1.1458333333357587</v>
      </c>
      <c r="H324" s="15" t="str">
        <f t="shared" si="37"/>
        <v>03:30</v>
      </c>
      <c r="I324" t="s">
        <v>996</v>
      </c>
      <c r="J324" t="s">
        <v>874</v>
      </c>
      <c r="K324" t="str">
        <f t="shared" si="38"/>
        <v>Twitter</v>
      </c>
      <c r="L324" t="s">
        <v>1069</v>
      </c>
      <c r="M324">
        <v>18</v>
      </c>
      <c r="N324">
        <v>36</v>
      </c>
      <c r="O324">
        <f t="shared" si="39"/>
        <v>54</v>
      </c>
      <c r="P324" t="s">
        <v>164</v>
      </c>
      <c r="Q324" t="str">
        <f t="shared" si="40"/>
        <v>India</v>
      </c>
      <c r="R324">
        <v>2023</v>
      </c>
      <c r="S324">
        <v>1</v>
      </c>
      <c r="T324">
        <v>7</v>
      </c>
      <c r="U324">
        <v>3</v>
      </c>
      <c r="Y324" s="4">
        <f t="shared" si="41"/>
        <v>3</v>
      </c>
    </row>
    <row r="325" spans="1:25" ht="18" x14ac:dyDescent="0.25">
      <c r="A325" t="s">
        <v>1070</v>
      </c>
      <c r="B325" t="s">
        <v>999</v>
      </c>
      <c r="C325" s="12" t="str">
        <f t="shared" si="35"/>
        <v>Negative</v>
      </c>
      <c r="D325" s="18">
        <f t="shared" si="36"/>
        <v>-1</v>
      </c>
      <c r="E325" s="1">
        <v>44357.416666666664</v>
      </c>
      <c r="F325" s="10">
        <f>INT(E325)</f>
        <v>44357</v>
      </c>
      <c r="G325" s="15">
        <f>MOD(E325,2)</f>
        <v>1.4166666666642413</v>
      </c>
      <c r="H325" s="15" t="str">
        <f t="shared" si="37"/>
        <v>10:00</v>
      </c>
      <c r="I325" t="s">
        <v>968</v>
      </c>
      <c r="J325" t="s">
        <v>26</v>
      </c>
      <c r="K325" t="str">
        <f t="shared" si="38"/>
        <v>Instagram</v>
      </c>
      <c r="L325" t="s">
        <v>1071</v>
      </c>
      <c r="M325">
        <v>14</v>
      </c>
      <c r="N325">
        <v>28</v>
      </c>
      <c r="O325">
        <f t="shared" si="39"/>
        <v>42</v>
      </c>
      <c r="P325" t="s">
        <v>123</v>
      </c>
      <c r="Q325" t="str">
        <f t="shared" si="40"/>
        <v>Canada</v>
      </c>
      <c r="R325">
        <v>2021</v>
      </c>
      <c r="S325">
        <v>6</v>
      </c>
      <c r="T325">
        <v>10</v>
      </c>
      <c r="U325">
        <v>10</v>
      </c>
      <c r="Y325" s="4">
        <f t="shared" si="41"/>
        <v>10</v>
      </c>
    </row>
    <row r="326" spans="1:25" ht="18" x14ac:dyDescent="0.25">
      <c r="A326" t="s">
        <v>1072</v>
      </c>
      <c r="B326" t="s">
        <v>1003</v>
      </c>
      <c r="C326" s="12" t="str">
        <f t="shared" si="35"/>
        <v>Negative</v>
      </c>
      <c r="D326" s="18">
        <f t="shared" si="36"/>
        <v>-1</v>
      </c>
      <c r="E326" s="1">
        <v>43883.638888888891</v>
      </c>
      <c r="F326" s="10">
        <f>INT(E326)</f>
        <v>43883</v>
      </c>
      <c r="G326" s="15">
        <f>MOD(E326,2)</f>
        <v>1.6388888888905058</v>
      </c>
      <c r="H326" s="15" t="str">
        <f t="shared" si="37"/>
        <v>15:20</v>
      </c>
      <c r="I326" t="s">
        <v>1073</v>
      </c>
      <c r="J326" t="s">
        <v>31</v>
      </c>
      <c r="K326" t="str">
        <f t="shared" si="38"/>
        <v>Facebook</v>
      </c>
      <c r="L326" t="s">
        <v>1074</v>
      </c>
      <c r="M326">
        <v>22</v>
      </c>
      <c r="N326">
        <v>44</v>
      </c>
      <c r="O326">
        <f t="shared" si="39"/>
        <v>66</v>
      </c>
      <c r="P326" t="s">
        <v>98</v>
      </c>
      <c r="Q326" t="str">
        <f t="shared" si="40"/>
        <v>USA</v>
      </c>
      <c r="R326">
        <v>2020</v>
      </c>
      <c r="S326">
        <v>2</v>
      </c>
      <c r="T326">
        <v>22</v>
      </c>
      <c r="U326">
        <v>15</v>
      </c>
      <c r="Y326" s="4">
        <f t="shared" si="41"/>
        <v>15</v>
      </c>
    </row>
    <row r="327" spans="1:25" ht="18" x14ac:dyDescent="0.25">
      <c r="A327" t="s">
        <v>1075</v>
      </c>
      <c r="B327" t="s">
        <v>1007</v>
      </c>
      <c r="C327" s="12" t="str">
        <f t="shared" si="35"/>
        <v>Negative</v>
      </c>
      <c r="D327" s="18">
        <f t="shared" si="36"/>
        <v>-1</v>
      </c>
      <c r="E327" s="1">
        <v>43176.614583333336</v>
      </c>
      <c r="F327" s="10">
        <f>INT(E327)</f>
        <v>43176</v>
      </c>
      <c r="G327" s="15">
        <f>MOD(E327,2)</f>
        <v>0.61458333333575865</v>
      </c>
      <c r="H327" s="15" t="str">
        <f t="shared" si="37"/>
        <v>14:45</v>
      </c>
      <c r="I327" t="s">
        <v>1076</v>
      </c>
      <c r="J327" t="s">
        <v>874</v>
      </c>
      <c r="K327" t="str">
        <f t="shared" si="38"/>
        <v>Twitter</v>
      </c>
      <c r="L327" t="s">
        <v>1077</v>
      </c>
      <c r="M327">
        <v>16</v>
      </c>
      <c r="N327">
        <v>32</v>
      </c>
      <c r="O327">
        <f t="shared" si="39"/>
        <v>48</v>
      </c>
      <c r="P327" t="s">
        <v>109</v>
      </c>
      <c r="Q327" t="str">
        <f t="shared" si="40"/>
        <v>UK</v>
      </c>
      <c r="R327">
        <v>2018</v>
      </c>
      <c r="S327">
        <v>3</v>
      </c>
      <c r="T327">
        <v>17</v>
      </c>
      <c r="U327">
        <v>14</v>
      </c>
      <c r="Y327" s="4">
        <f t="shared" si="41"/>
        <v>14</v>
      </c>
    </row>
    <row r="328" spans="1:25" ht="18" x14ac:dyDescent="0.25">
      <c r="A328" t="s">
        <v>1078</v>
      </c>
      <c r="B328" t="s">
        <v>1011</v>
      </c>
      <c r="C328" s="12" t="str">
        <f t="shared" si="35"/>
        <v>Negative</v>
      </c>
      <c r="D328" s="18">
        <f t="shared" si="36"/>
        <v>-1</v>
      </c>
      <c r="E328" s="1">
        <v>44862.46875</v>
      </c>
      <c r="F328" s="10">
        <f>INT(E328)</f>
        <v>44862</v>
      </c>
      <c r="G328" s="15">
        <f>MOD(E328,2)</f>
        <v>0.46875</v>
      </c>
      <c r="H328" s="15" t="str">
        <f t="shared" si="37"/>
        <v>11:15</v>
      </c>
      <c r="I328" t="s">
        <v>1079</v>
      </c>
      <c r="J328" t="s">
        <v>26</v>
      </c>
      <c r="K328" t="str">
        <f t="shared" si="38"/>
        <v>Instagram</v>
      </c>
      <c r="L328" t="s">
        <v>1080</v>
      </c>
      <c r="M328">
        <v>25</v>
      </c>
      <c r="N328">
        <v>50</v>
      </c>
      <c r="O328">
        <f t="shared" si="39"/>
        <v>75</v>
      </c>
      <c r="P328" t="s">
        <v>38</v>
      </c>
      <c r="Q328" t="str">
        <f t="shared" si="40"/>
        <v>Australia</v>
      </c>
      <c r="R328">
        <v>2022</v>
      </c>
      <c r="S328">
        <v>10</v>
      </c>
      <c r="T328">
        <v>28</v>
      </c>
      <c r="U328">
        <v>11</v>
      </c>
      <c r="Y328" s="4">
        <f t="shared" si="41"/>
        <v>11</v>
      </c>
    </row>
    <row r="329" spans="1:25" ht="18" x14ac:dyDescent="0.25">
      <c r="A329" t="s">
        <v>1081</v>
      </c>
      <c r="B329" t="s">
        <v>1015</v>
      </c>
      <c r="C329" s="12" t="str">
        <f t="shared" si="35"/>
        <v>Negative</v>
      </c>
      <c r="D329" s="18">
        <f t="shared" si="36"/>
        <v>-1</v>
      </c>
      <c r="E329" s="1">
        <v>44136.520833333336</v>
      </c>
      <c r="F329" s="10">
        <f>INT(E329)</f>
        <v>44136</v>
      </c>
      <c r="G329" s="15">
        <f>MOD(E329,2)</f>
        <v>0.52083333333575865</v>
      </c>
      <c r="H329" s="15" t="str">
        <f t="shared" si="37"/>
        <v>12:30</v>
      </c>
      <c r="I329" t="s">
        <v>1082</v>
      </c>
      <c r="J329" t="s">
        <v>31</v>
      </c>
      <c r="K329" t="str">
        <f t="shared" si="38"/>
        <v>Facebook</v>
      </c>
      <c r="L329" t="s">
        <v>1083</v>
      </c>
      <c r="M329">
        <v>14</v>
      </c>
      <c r="N329">
        <v>28</v>
      </c>
      <c r="O329">
        <f t="shared" si="39"/>
        <v>42</v>
      </c>
      <c r="P329" t="s">
        <v>164</v>
      </c>
      <c r="Q329" t="str">
        <f t="shared" si="40"/>
        <v>India</v>
      </c>
      <c r="R329">
        <v>2020</v>
      </c>
      <c r="S329">
        <v>11</v>
      </c>
      <c r="T329">
        <v>1</v>
      </c>
      <c r="U329">
        <v>12</v>
      </c>
      <c r="Y329" s="4">
        <f t="shared" si="41"/>
        <v>12</v>
      </c>
    </row>
    <row r="330" spans="1:25" ht="18" x14ac:dyDescent="0.25">
      <c r="A330" t="s">
        <v>1084</v>
      </c>
      <c r="B330" t="s">
        <v>1019</v>
      </c>
      <c r="C330" s="12" t="str">
        <f t="shared" si="35"/>
        <v>Neutral</v>
      </c>
      <c r="D330" s="18">
        <f t="shared" si="36"/>
        <v>0</v>
      </c>
      <c r="E330" s="1">
        <v>44211.923611111109</v>
      </c>
      <c r="F330" s="10">
        <f>INT(E330)</f>
        <v>44211</v>
      </c>
      <c r="G330" s="15">
        <f>MOD(E330,2)</f>
        <v>1.9236111111094942</v>
      </c>
      <c r="H330" s="15" t="str">
        <f t="shared" si="37"/>
        <v>22:10</v>
      </c>
      <c r="I330" t="s">
        <v>1085</v>
      </c>
      <c r="J330" t="s">
        <v>874</v>
      </c>
      <c r="K330" t="str">
        <f t="shared" si="38"/>
        <v>Twitter</v>
      </c>
      <c r="L330" t="s">
        <v>1086</v>
      </c>
      <c r="M330">
        <v>20</v>
      </c>
      <c r="N330">
        <v>40</v>
      </c>
      <c r="O330">
        <f t="shared" si="39"/>
        <v>60</v>
      </c>
      <c r="P330" t="s">
        <v>98</v>
      </c>
      <c r="Q330" t="str">
        <f t="shared" si="40"/>
        <v>USA</v>
      </c>
      <c r="R330">
        <v>2021</v>
      </c>
      <c r="S330">
        <v>1</v>
      </c>
      <c r="T330">
        <v>15</v>
      </c>
      <c r="U330">
        <v>22</v>
      </c>
      <c r="Y330" s="4">
        <f t="shared" si="41"/>
        <v>22</v>
      </c>
    </row>
    <row r="331" spans="1:25" ht="18" x14ac:dyDescent="0.25">
      <c r="A331" t="s">
        <v>1053</v>
      </c>
      <c r="B331" t="s">
        <v>1023</v>
      </c>
      <c r="C331" s="12" t="str">
        <f t="shared" si="35"/>
        <v>Negative</v>
      </c>
      <c r="D331" s="18">
        <f t="shared" si="36"/>
        <v>-1</v>
      </c>
      <c r="E331" s="1">
        <v>43330.583333333336</v>
      </c>
      <c r="F331" s="10">
        <f>INT(E331)</f>
        <v>43330</v>
      </c>
      <c r="G331" s="15">
        <f>MOD(E331,2)</f>
        <v>0.58333333333575865</v>
      </c>
      <c r="H331" s="15" t="str">
        <f t="shared" si="37"/>
        <v>14:00</v>
      </c>
      <c r="I331" t="s">
        <v>1024</v>
      </c>
      <c r="J331" t="s">
        <v>26</v>
      </c>
      <c r="K331" t="str">
        <f t="shared" si="38"/>
        <v>Instagram</v>
      </c>
      <c r="L331" t="s">
        <v>1055</v>
      </c>
      <c r="M331">
        <v>12</v>
      </c>
      <c r="N331">
        <v>24</v>
      </c>
      <c r="O331">
        <f t="shared" si="39"/>
        <v>36</v>
      </c>
      <c r="P331" t="s">
        <v>38</v>
      </c>
      <c r="Q331" t="str">
        <f t="shared" si="40"/>
        <v>Australia</v>
      </c>
      <c r="R331">
        <v>2018</v>
      </c>
      <c r="S331">
        <v>8</v>
      </c>
      <c r="T331">
        <v>18</v>
      </c>
      <c r="U331">
        <v>14</v>
      </c>
      <c r="Y331" s="4">
        <f t="shared" si="41"/>
        <v>14</v>
      </c>
    </row>
    <row r="332" spans="1:25" ht="18" x14ac:dyDescent="0.25">
      <c r="A332" t="s">
        <v>1026</v>
      </c>
      <c r="B332" t="s">
        <v>1015</v>
      </c>
      <c r="C332" s="12" t="str">
        <f t="shared" si="35"/>
        <v>Negative</v>
      </c>
      <c r="D332" s="18">
        <f t="shared" si="36"/>
        <v>-1</v>
      </c>
      <c r="E332" s="1">
        <v>44568.465277777781</v>
      </c>
      <c r="F332" s="10">
        <f>INT(E332)</f>
        <v>44568</v>
      </c>
      <c r="G332" s="15">
        <f>MOD(E332,2)</f>
        <v>0.46527777778101154</v>
      </c>
      <c r="H332" s="15" t="str">
        <f t="shared" si="37"/>
        <v>11:10</v>
      </c>
      <c r="I332" t="s">
        <v>1027</v>
      </c>
      <c r="J332" t="s">
        <v>874</v>
      </c>
      <c r="K332" t="str">
        <f t="shared" si="38"/>
        <v>Twitter</v>
      </c>
      <c r="L332" t="s">
        <v>1028</v>
      </c>
      <c r="M332">
        <v>15</v>
      </c>
      <c r="N332">
        <v>30</v>
      </c>
      <c r="O332">
        <f t="shared" si="39"/>
        <v>45</v>
      </c>
      <c r="P332" t="s">
        <v>123</v>
      </c>
      <c r="Q332" t="str">
        <f t="shared" si="40"/>
        <v>Canada</v>
      </c>
      <c r="R332">
        <v>2022</v>
      </c>
      <c r="S332">
        <v>1</v>
      </c>
      <c r="T332">
        <v>7</v>
      </c>
      <c r="U332">
        <v>11</v>
      </c>
      <c r="Y332" s="4">
        <f t="shared" si="41"/>
        <v>11</v>
      </c>
    </row>
    <row r="333" spans="1:25" ht="18" x14ac:dyDescent="0.25">
      <c r="A333" t="s">
        <v>1029</v>
      </c>
      <c r="B333" t="s">
        <v>649</v>
      </c>
      <c r="C333" s="12" t="str">
        <f t="shared" si="35"/>
        <v>Negative</v>
      </c>
      <c r="D333" s="18">
        <f t="shared" si="36"/>
        <v>-1</v>
      </c>
      <c r="E333" s="1">
        <v>43727.145833333336</v>
      </c>
      <c r="F333" s="10">
        <f>INT(E333)</f>
        <v>43727</v>
      </c>
      <c r="G333" s="15">
        <f>MOD(E333,2)</f>
        <v>1.1458333333357587</v>
      </c>
      <c r="H333" s="15" t="str">
        <f t="shared" si="37"/>
        <v>03:30</v>
      </c>
      <c r="I333" t="s">
        <v>1030</v>
      </c>
      <c r="J333" t="s">
        <v>31</v>
      </c>
      <c r="K333" t="str">
        <f t="shared" si="38"/>
        <v>Facebook</v>
      </c>
      <c r="L333" t="s">
        <v>1031</v>
      </c>
      <c r="M333">
        <v>18</v>
      </c>
      <c r="N333">
        <v>36</v>
      </c>
      <c r="O333">
        <f t="shared" si="39"/>
        <v>54</v>
      </c>
      <c r="P333" t="s">
        <v>38</v>
      </c>
      <c r="Q333" t="str">
        <f t="shared" si="40"/>
        <v>Australia</v>
      </c>
      <c r="R333">
        <v>2019</v>
      </c>
      <c r="S333">
        <v>9</v>
      </c>
      <c r="T333">
        <v>19</v>
      </c>
      <c r="U333">
        <v>3</v>
      </c>
      <c r="Y333" s="4">
        <f t="shared" si="41"/>
        <v>3</v>
      </c>
    </row>
    <row r="334" spans="1:25" ht="18" x14ac:dyDescent="0.25">
      <c r="A334" t="s">
        <v>1087</v>
      </c>
      <c r="B334" t="s">
        <v>1088</v>
      </c>
      <c r="C334" s="12" t="str">
        <f t="shared" si="35"/>
        <v>Positive</v>
      </c>
      <c r="D334" s="18">
        <f t="shared" si="36"/>
        <v>1</v>
      </c>
      <c r="E334" s="1">
        <v>44654.260416666664</v>
      </c>
      <c r="F334" s="10">
        <f>INT(E334)</f>
        <v>44654</v>
      </c>
      <c r="G334" s="15">
        <f>MOD(E334,2)</f>
        <v>0.26041666666424135</v>
      </c>
      <c r="H334" s="15" t="str">
        <f t="shared" si="37"/>
        <v>06:15</v>
      </c>
      <c r="I334" t="s">
        <v>1089</v>
      </c>
      <c r="J334" t="s">
        <v>26</v>
      </c>
      <c r="K334" t="str">
        <f t="shared" si="38"/>
        <v>Instagram</v>
      </c>
      <c r="L334" t="s">
        <v>1090</v>
      </c>
      <c r="M334">
        <v>28</v>
      </c>
      <c r="N334">
        <v>55</v>
      </c>
      <c r="O334">
        <f t="shared" si="39"/>
        <v>83</v>
      </c>
      <c r="P334" t="s">
        <v>1091</v>
      </c>
      <c r="Q334" t="str">
        <f t="shared" si="40"/>
        <v>USA</v>
      </c>
      <c r="R334">
        <v>2022</v>
      </c>
      <c r="S334">
        <v>4</v>
      </c>
      <c r="T334">
        <v>3</v>
      </c>
      <c r="U334">
        <v>6</v>
      </c>
      <c r="Y334" s="4">
        <f t="shared" si="41"/>
        <v>6</v>
      </c>
    </row>
    <row r="335" spans="1:25" ht="18" x14ac:dyDescent="0.25">
      <c r="A335" t="s">
        <v>1092</v>
      </c>
      <c r="B335" t="s">
        <v>1093</v>
      </c>
      <c r="C335" s="12" t="str">
        <f t="shared" si="35"/>
        <v>Positive</v>
      </c>
      <c r="D335" s="18">
        <f t="shared" si="36"/>
        <v>1</v>
      </c>
      <c r="E335" s="1">
        <v>45211.4375</v>
      </c>
      <c r="F335" s="10">
        <f>INT(E335)</f>
        <v>45211</v>
      </c>
      <c r="G335" s="15">
        <f>MOD(E335,2)</f>
        <v>1.4375</v>
      </c>
      <c r="H335" s="15" t="str">
        <f t="shared" si="37"/>
        <v>10:30</v>
      </c>
      <c r="I335" t="s">
        <v>1094</v>
      </c>
      <c r="J335" t="s">
        <v>16</v>
      </c>
      <c r="K335" t="str">
        <f t="shared" si="38"/>
        <v>Twitter</v>
      </c>
      <c r="L335" t="s">
        <v>1095</v>
      </c>
      <c r="M335">
        <v>15</v>
      </c>
      <c r="N335">
        <v>30</v>
      </c>
      <c r="O335">
        <f t="shared" si="39"/>
        <v>45</v>
      </c>
      <c r="P335" t="s">
        <v>1096</v>
      </c>
      <c r="Q335" t="str">
        <f t="shared" si="40"/>
        <v>Canada</v>
      </c>
      <c r="R335">
        <v>2023</v>
      </c>
      <c r="S335">
        <v>10</v>
      </c>
      <c r="T335">
        <v>12</v>
      </c>
      <c r="U335">
        <v>10</v>
      </c>
      <c r="Y335" s="4">
        <f t="shared" si="41"/>
        <v>10</v>
      </c>
    </row>
    <row r="336" spans="1:25" ht="18" x14ac:dyDescent="0.25">
      <c r="A336" t="s">
        <v>1097</v>
      </c>
      <c r="B336" t="s">
        <v>1098</v>
      </c>
      <c r="C336" s="12" t="str">
        <f t="shared" si="35"/>
        <v>Neutral</v>
      </c>
      <c r="D336" s="18">
        <f t="shared" si="36"/>
        <v>0</v>
      </c>
      <c r="E336" s="1">
        <v>43644.791666666664</v>
      </c>
      <c r="F336" s="10">
        <f>INT(E336)</f>
        <v>43644</v>
      </c>
      <c r="G336" s="15">
        <f>MOD(E336,2)</f>
        <v>0.79166666666424135</v>
      </c>
      <c r="H336" s="15" t="str">
        <f t="shared" si="37"/>
        <v>19:00</v>
      </c>
      <c r="I336" t="s">
        <v>1099</v>
      </c>
      <c r="J336" t="s">
        <v>31</v>
      </c>
      <c r="K336" t="str">
        <f t="shared" si="38"/>
        <v>Facebook</v>
      </c>
      <c r="L336" t="s">
        <v>1100</v>
      </c>
      <c r="M336">
        <v>22</v>
      </c>
      <c r="N336">
        <v>45</v>
      </c>
      <c r="O336">
        <f t="shared" si="39"/>
        <v>67</v>
      </c>
      <c r="P336" t="s">
        <v>1101</v>
      </c>
      <c r="Q336" t="str">
        <f t="shared" si="40"/>
        <v>UK</v>
      </c>
      <c r="R336">
        <v>2019</v>
      </c>
      <c r="S336">
        <v>6</v>
      </c>
      <c r="T336">
        <v>28</v>
      </c>
      <c r="U336">
        <v>19</v>
      </c>
      <c r="Y336" s="4">
        <f t="shared" si="41"/>
        <v>19</v>
      </c>
    </row>
    <row r="337" spans="1:25" ht="18" x14ac:dyDescent="0.25">
      <c r="A337" t="s">
        <v>1102</v>
      </c>
      <c r="B337" t="s">
        <v>1103</v>
      </c>
      <c r="C337" s="12" t="str">
        <f t="shared" si="35"/>
        <v>Positive</v>
      </c>
      <c r="D337" s="18">
        <f t="shared" si="36"/>
        <v>1</v>
      </c>
      <c r="E337" s="1">
        <v>44089.614583333336</v>
      </c>
      <c r="F337" s="10">
        <f>INT(E337)</f>
        <v>44089</v>
      </c>
      <c r="G337" s="15">
        <f>MOD(E337,2)</f>
        <v>1.6145833333357587</v>
      </c>
      <c r="H337" s="15" t="str">
        <f t="shared" si="37"/>
        <v>14:45</v>
      </c>
      <c r="I337" t="s">
        <v>1104</v>
      </c>
      <c r="J337" t="s">
        <v>26</v>
      </c>
      <c r="K337" t="str">
        <f t="shared" si="38"/>
        <v>Instagram</v>
      </c>
      <c r="L337" t="s">
        <v>1105</v>
      </c>
      <c r="M337">
        <v>40</v>
      </c>
      <c r="N337">
        <v>80</v>
      </c>
      <c r="O337">
        <f t="shared" si="39"/>
        <v>120</v>
      </c>
      <c r="P337" t="s">
        <v>1106</v>
      </c>
      <c r="Q337" t="str">
        <f t="shared" si="40"/>
        <v>India</v>
      </c>
      <c r="R337">
        <v>2020</v>
      </c>
      <c r="S337">
        <v>9</v>
      </c>
      <c r="T337">
        <v>15</v>
      </c>
      <c r="U337">
        <v>14</v>
      </c>
      <c r="Y337" s="4">
        <f t="shared" si="41"/>
        <v>14</v>
      </c>
    </row>
    <row r="338" spans="1:25" ht="18" x14ac:dyDescent="0.25">
      <c r="A338" t="s">
        <v>1107</v>
      </c>
      <c r="B338" t="s">
        <v>1108</v>
      </c>
      <c r="C338" s="12" t="str">
        <f t="shared" si="35"/>
        <v>Positive</v>
      </c>
      <c r="D338" s="18">
        <f t="shared" si="36"/>
        <v>1</v>
      </c>
      <c r="E338" s="1">
        <v>43047.888888888891</v>
      </c>
      <c r="F338" s="10">
        <f>INT(E338)</f>
        <v>43047</v>
      </c>
      <c r="G338" s="15">
        <f>MOD(E338,2)</f>
        <v>1.8888888888905058</v>
      </c>
      <c r="H338" s="15" t="str">
        <f t="shared" si="37"/>
        <v>21:20</v>
      </c>
      <c r="I338" t="s">
        <v>1109</v>
      </c>
      <c r="J338" t="s">
        <v>16</v>
      </c>
      <c r="K338" t="str">
        <f t="shared" si="38"/>
        <v>Twitter</v>
      </c>
      <c r="L338" t="s">
        <v>1110</v>
      </c>
      <c r="M338">
        <v>18</v>
      </c>
      <c r="N338">
        <v>35</v>
      </c>
      <c r="O338">
        <f t="shared" si="39"/>
        <v>53</v>
      </c>
      <c r="P338" t="s">
        <v>1111</v>
      </c>
      <c r="Q338" t="str">
        <f t="shared" si="40"/>
        <v>Australia</v>
      </c>
      <c r="R338">
        <v>2017</v>
      </c>
      <c r="S338">
        <v>11</v>
      </c>
      <c r="T338">
        <v>8</v>
      </c>
      <c r="U338">
        <v>21</v>
      </c>
      <c r="Y338" s="4">
        <f t="shared" si="41"/>
        <v>21</v>
      </c>
    </row>
    <row r="339" spans="1:25" ht="18" x14ac:dyDescent="0.25">
      <c r="A339" t="s">
        <v>1112</v>
      </c>
      <c r="B339" t="s">
        <v>1113</v>
      </c>
      <c r="C339" s="12" t="str">
        <f t="shared" si="35"/>
        <v>Negative</v>
      </c>
      <c r="D339" s="18">
        <f t="shared" si="36"/>
        <v>-1</v>
      </c>
      <c r="E339" s="1">
        <v>44336.729166666664</v>
      </c>
      <c r="F339" s="10">
        <f>INT(E339)</f>
        <v>44336</v>
      </c>
      <c r="G339" s="15">
        <f>MOD(E339,2)</f>
        <v>0.72916666666424135</v>
      </c>
      <c r="H339" s="15" t="str">
        <f t="shared" si="37"/>
        <v>17:30</v>
      </c>
      <c r="I339" t="s">
        <v>1114</v>
      </c>
      <c r="J339" t="s">
        <v>31</v>
      </c>
      <c r="K339" t="str">
        <f t="shared" si="38"/>
        <v>Facebook</v>
      </c>
      <c r="L339" t="s">
        <v>1115</v>
      </c>
      <c r="M339">
        <v>25</v>
      </c>
      <c r="N339">
        <v>50</v>
      </c>
      <c r="O339">
        <f t="shared" si="39"/>
        <v>75</v>
      </c>
      <c r="P339" t="s">
        <v>1091</v>
      </c>
      <c r="Q339" t="str">
        <f t="shared" si="40"/>
        <v>USA</v>
      </c>
      <c r="R339">
        <v>2021</v>
      </c>
      <c r="S339">
        <v>5</v>
      </c>
      <c r="T339">
        <v>20</v>
      </c>
      <c r="U339">
        <v>17</v>
      </c>
      <c r="Y339" s="4">
        <f t="shared" si="41"/>
        <v>17</v>
      </c>
    </row>
    <row r="340" spans="1:25" ht="18" x14ac:dyDescent="0.25">
      <c r="A340" t="s">
        <v>1116</v>
      </c>
      <c r="B340" t="s">
        <v>388</v>
      </c>
      <c r="C340" s="12" t="str">
        <f t="shared" si="35"/>
        <v>Positive</v>
      </c>
      <c r="D340" s="18">
        <f t="shared" si="36"/>
        <v>1</v>
      </c>
      <c r="E340" s="1">
        <v>44936.5</v>
      </c>
      <c r="F340" s="10">
        <f>INT(E340)</f>
        <v>44936</v>
      </c>
      <c r="G340" s="15">
        <f>MOD(E340,2)</f>
        <v>0.5</v>
      </c>
      <c r="H340" s="15" t="str">
        <f t="shared" si="37"/>
        <v>12:00</v>
      </c>
      <c r="I340" t="s">
        <v>284</v>
      </c>
      <c r="J340" t="s">
        <v>26</v>
      </c>
      <c r="K340" t="str">
        <f t="shared" si="38"/>
        <v>Instagram</v>
      </c>
      <c r="L340" t="s">
        <v>1117</v>
      </c>
      <c r="M340">
        <v>30</v>
      </c>
      <c r="N340">
        <v>60</v>
      </c>
      <c r="O340">
        <f t="shared" si="39"/>
        <v>90</v>
      </c>
      <c r="P340" t="s">
        <v>1118</v>
      </c>
      <c r="Q340" t="str">
        <f t="shared" si="40"/>
        <v>France</v>
      </c>
      <c r="R340">
        <v>2023</v>
      </c>
      <c r="S340">
        <v>1</v>
      </c>
      <c r="T340">
        <v>10</v>
      </c>
      <c r="U340">
        <v>12</v>
      </c>
      <c r="Y340" s="4">
        <f t="shared" si="41"/>
        <v>12</v>
      </c>
    </row>
    <row r="341" spans="1:25" ht="18" x14ac:dyDescent="0.25">
      <c r="A341" t="s">
        <v>1119</v>
      </c>
      <c r="B341" t="s">
        <v>1120</v>
      </c>
      <c r="C341" s="12" t="str">
        <f t="shared" si="35"/>
        <v>Positive</v>
      </c>
      <c r="D341" s="18">
        <f t="shared" si="36"/>
        <v>1</v>
      </c>
      <c r="E341" s="1">
        <v>43439.364583333336</v>
      </c>
      <c r="F341" s="10">
        <f>INT(E341)</f>
        <v>43439</v>
      </c>
      <c r="G341" s="15">
        <f>MOD(E341,2)</f>
        <v>1.3645833333357587</v>
      </c>
      <c r="H341" s="15" t="str">
        <f t="shared" si="37"/>
        <v>08:45</v>
      </c>
      <c r="I341" t="s">
        <v>1121</v>
      </c>
      <c r="J341" t="s">
        <v>16</v>
      </c>
      <c r="K341" t="str">
        <f t="shared" si="38"/>
        <v>Twitter</v>
      </c>
      <c r="L341" t="s">
        <v>1122</v>
      </c>
      <c r="M341">
        <v>35</v>
      </c>
      <c r="N341">
        <v>70</v>
      </c>
      <c r="O341">
        <f t="shared" si="39"/>
        <v>105</v>
      </c>
      <c r="P341" t="s">
        <v>1123</v>
      </c>
      <c r="Q341" t="str">
        <f t="shared" si="40"/>
        <v>Brazil</v>
      </c>
      <c r="R341">
        <v>2018</v>
      </c>
      <c r="S341">
        <v>12</v>
      </c>
      <c r="T341">
        <v>5</v>
      </c>
      <c r="U341">
        <v>8</v>
      </c>
      <c r="Y341" s="4">
        <f t="shared" si="41"/>
        <v>8</v>
      </c>
    </row>
    <row r="342" spans="1:25" ht="18" x14ac:dyDescent="0.25">
      <c r="A342" t="s">
        <v>1124</v>
      </c>
      <c r="B342" t="s">
        <v>1125</v>
      </c>
      <c r="C342" s="12" t="str">
        <f t="shared" si="35"/>
        <v>Negative</v>
      </c>
      <c r="D342" s="18">
        <f t="shared" si="36"/>
        <v>-1</v>
      </c>
      <c r="E342" s="1">
        <v>43905.770833333336</v>
      </c>
      <c r="F342" s="10">
        <f>INT(E342)</f>
        <v>43905</v>
      </c>
      <c r="G342" s="15">
        <f>MOD(E342,2)</f>
        <v>1.7708333333357587</v>
      </c>
      <c r="H342" s="15" t="str">
        <f t="shared" si="37"/>
        <v>18:30</v>
      </c>
      <c r="I342" t="s">
        <v>1126</v>
      </c>
      <c r="J342" t="s">
        <v>26</v>
      </c>
      <c r="K342" t="str">
        <f t="shared" si="38"/>
        <v>Instagram</v>
      </c>
      <c r="L342" t="s">
        <v>1127</v>
      </c>
      <c r="M342">
        <v>20</v>
      </c>
      <c r="N342">
        <v>40</v>
      </c>
      <c r="O342">
        <f t="shared" si="39"/>
        <v>60</v>
      </c>
      <c r="P342" t="s">
        <v>1128</v>
      </c>
      <c r="Q342" t="str">
        <f t="shared" si="40"/>
        <v>Japan</v>
      </c>
      <c r="R342">
        <v>2020</v>
      </c>
      <c r="S342">
        <v>3</v>
      </c>
      <c r="T342">
        <v>15</v>
      </c>
      <c r="U342">
        <v>18</v>
      </c>
      <c r="Y342" s="4">
        <f t="shared" si="41"/>
        <v>18</v>
      </c>
    </row>
    <row r="343" spans="1:25" ht="18" x14ac:dyDescent="0.25">
      <c r="A343" t="s">
        <v>1129</v>
      </c>
      <c r="B343" t="s">
        <v>1130</v>
      </c>
      <c r="C343" s="12" t="str">
        <f t="shared" si="35"/>
        <v>Neutral</v>
      </c>
      <c r="D343" s="18">
        <f t="shared" si="36"/>
        <v>0</v>
      </c>
      <c r="E343" s="1">
        <v>42604.631944444445</v>
      </c>
      <c r="F343" s="10">
        <f>INT(E343)</f>
        <v>42604</v>
      </c>
      <c r="G343" s="15">
        <f>MOD(E343,2)</f>
        <v>0.63194444444525288</v>
      </c>
      <c r="H343" s="15" t="str">
        <f t="shared" si="37"/>
        <v>15:10</v>
      </c>
      <c r="I343" t="s">
        <v>1131</v>
      </c>
      <c r="J343" t="s">
        <v>31</v>
      </c>
      <c r="K343" t="str">
        <f t="shared" si="38"/>
        <v>Facebook</v>
      </c>
      <c r="L343" t="s">
        <v>1132</v>
      </c>
      <c r="M343">
        <v>18</v>
      </c>
      <c r="N343">
        <v>35</v>
      </c>
      <c r="O343">
        <f t="shared" si="39"/>
        <v>53</v>
      </c>
      <c r="P343" t="s">
        <v>1133</v>
      </c>
      <c r="Q343" t="str">
        <f t="shared" si="40"/>
        <v>Greece</v>
      </c>
      <c r="R343">
        <v>2016</v>
      </c>
      <c r="S343">
        <v>8</v>
      </c>
      <c r="T343">
        <v>22</v>
      </c>
      <c r="U343">
        <v>15</v>
      </c>
      <c r="Y343" s="4">
        <f t="shared" si="41"/>
        <v>15</v>
      </c>
    </row>
    <row r="344" spans="1:25" ht="18" x14ac:dyDescent="0.25">
      <c r="A344" t="s">
        <v>1134</v>
      </c>
      <c r="B344" t="s">
        <v>1135</v>
      </c>
      <c r="C344" s="12" t="str">
        <f t="shared" si="35"/>
        <v>Neutral</v>
      </c>
      <c r="D344" s="18">
        <f t="shared" si="36"/>
        <v>0</v>
      </c>
      <c r="E344" s="1">
        <v>43697.666666666664</v>
      </c>
      <c r="F344" s="10">
        <f>INT(E344)</f>
        <v>43697</v>
      </c>
      <c r="G344" s="15">
        <f>MOD(E344,2)</f>
        <v>1.6666666666642413</v>
      </c>
      <c r="H344" s="15" t="str">
        <f t="shared" si="37"/>
        <v>16:00</v>
      </c>
      <c r="I344" t="s">
        <v>1136</v>
      </c>
      <c r="J344" t="s">
        <v>26</v>
      </c>
      <c r="K344" t="str">
        <f t="shared" si="38"/>
        <v>Instagram</v>
      </c>
      <c r="L344" t="s">
        <v>1137</v>
      </c>
      <c r="M344">
        <v>25</v>
      </c>
      <c r="N344">
        <v>50</v>
      </c>
      <c r="O344">
        <f t="shared" si="39"/>
        <v>75</v>
      </c>
      <c r="P344" t="s">
        <v>1091</v>
      </c>
      <c r="Q344" t="str">
        <f t="shared" si="40"/>
        <v>USA</v>
      </c>
      <c r="R344">
        <v>2019</v>
      </c>
      <c r="S344">
        <v>8</v>
      </c>
      <c r="T344">
        <v>20</v>
      </c>
      <c r="U344">
        <v>16</v>
      </c>
      <c r="Y344" s="4">
        <f t="shared" si="41"/>
        <v>16</v>
      </c>
    </row>
    <row r="345" spans="1:25" ht="18" x14ac:dyDescent="0.25">
      <c r="A345" t="s">
        <v>1138</v>
      </c>
      <c r="B345" t="s">
        <v>1139</v>
      </c>
      <c r="C345" s="12" t="str">
        <f t="shared" si="35"/>
        <v>Positive</v>
      </c>
      <c r="D345" s="18">
        <f t="shared" si="36"/>
        <v>1</v>
      </c>
      <c r="E345" s="1">
        <v>44538.8125</v>
      </c>
      <c r="F345" s="10">
        <f>INT(E345)</f>
        <v>44538</v>
      </c>
      <c r="G345" s="15">
        <f>MOD(E345,2)</f>
        <v>0.8125</v>
      </c>
      <c r="H345" s="15" t="str">
        <f t="shared" si="37"/>
        <v>19:30</v>
      </c>
      <c r="I345" t="s">
        <v>1140</v>
      </c>
      <c r="J345" t="s">
        <v>16</v>
      </c>
      <c r="K345" t="str">
        <f t="shared" si="38"/>
        <v>Twitter</v>
      </c>
      <c r="L345" t="s">
        <v>1141</v>
      </c>
      <c r="M345">
        <v>18</v>
      </c>
      <c r="N345">
        <v>35</v>
      </c>
      <c r="O345">
        <f t="shared" si="39"/>
        <v>53</v>
      </c>
      <c r="P345" t="s">
        <v>1096</v>
      </c>
      <c r="Q345" t="str">
        <f t="shared" si="40"/>
        <v>Canada</v>
      </c>
      <c r="R345">
        <v>2021</v>
      </c>
      <c r="S345">
        <v>12</v>
      </c>
      <c r="T345">
        <v>8</v>
      </c>
      <c r="U345">
        <v>19</v>
      </c>
      <c r="Y345" s="4">
        <f t="shared" si="41"/>
        <v>19</v>
      </c>
    </row>
    <row r="346" spans="1:25" ht="18" x14ac:dyDescent="0.25">
      <c r="A346" t="s">
        <v>1142</v>
      </c>
      <c r="B346" t="s">
        <v>1143</v>
      </c>
      <c r="C346" s="12" t="str">
        <f t="shared" si="35"/>
        <v>Positive</v>
      </c>
      <c r="D346" s="18">
        <f t="shared" si="36"/>
        <v>1</v>
      </c>
      <c r="E346" s="1">
        <v>43992.864583333336</v>
      </c>
      <c r="F346" s="10">
        <f>INT(E346)</f>
        <v>43992</v>
      </c>
      <c r="G346" s="15">
        <f>MOD(E346,2)</f>
        <v>0.86458333333575865</v>
      </c>
      <c r="H346" s="15" t="str">
        <f t="shared" si="37"/>
        <v>20:45</v>
      </c>
      <c r="I346" t="s">
        <v>1144</v>
      </c>
      <c r="J346" t="s">
        <v>26</v>
      </c>
      <c r="K346" t="str">
        <f t="shared" si="38"/>
        <v>Instagram</v>
      </c>
      <c r="L346" t="s">
        <v>1145</v>
      </c>
      <c r="M346">
        <v>30</v>
      </c>
      <c r="N346">
        <v>60</v>
      </c>
      <c r="O346">
        <f t="shared" si="39"/>
        <v>90</v>
      </c>
      <c r="P346" t="s">
        <v>1101</v>
      </c>
      <c r="Q346" t="str">
        <f t="shared" si="40"/>
        <v>UK</v>
      </c>
      <c r="R346">
        <v>2020</v>
      </c>
      <c r="S346">
        <v>6</v>
      </c>
      <c r="T346">
        <v>10</v>
      </c>
      <c r="U346">
        <v>20</v>
      </c>
      <c r="Y346" s="4">
        <f t="shared" si="41"/>
        <v>20</v>
      </c>
    </row>
    <row r="347" spans="1:25" ht="18" x14ac:dyDescent="0.25">
      <c r="A347" t="s">
        <v>1146</v>
      </c>
      <c r="B347" t="s">
        <v>1147</v>
      </c>
      <c r="C347" s="12" t="str">
        <f t="shared" si="35"/>
        <v>Positive</v>
      </c>
      <c r="D347" s="18">
        <f t="shared" si="36"/>
        <v>1</v>
      </c>
      <c r="E347" s="1">
        <v>44620.302083333336</v>
      </c>
      <c r="F347" s="10">
        <f>INT(E347)</f>
        <v>44620</v>
      </c>
      <c r="G347" s="15">
        <f>MOD(E347,2)</f>
        <v>0.30208333333575865</v>
      </c>
      <c r="H347" s="15" t="str">
        <f t="shared" si="37"/>
        <v>07:15</v>
      </c>
      <c r="I347" t="s">
        <v>1148</v>
      </c>
      <c r="J347" t="s">
        <v>31</v>
      </c>
      <c r="K347" t="str">
        <f t="shared" si="38"/>
        <v>Facebook</v>
      </c>
      <c r="L347" t="s">
        <v>1149</v>
      </c>
      <c r="M347">
        <v>40</v>
      </c>
      <c r="N347">
        <v>80</v>
      </c>
      <c r="O347">
        <f t="shared" si="39"/>
        <v>120</v>
      </c>
      <c r="P347" t="s">
        <v>1111</v>
      </c>
      <c r="Q347" t="str">
        <f t="shared" si="40"/>
        <v>Australia</v>
      </c>
      <c r="R347">
        <v>2022</v>
      </c>
      <c r="S347">
        <v>2</v>
      </c>
      <c r="T347">
        <v>28</v>
      </c>
      <c r="U347">
        <v>7</v>
      </c>
      <c r="Y347" s="4">
        <f t="shared" si="41"/>
        <v>7</v>
      </c>
    </row>
    <row r="348" spans="1:25" ht="18" x14ac:dyDescent="0.25">
      <c r="A348" t="s">
        <v>1150</v>
      </c>
      <c r="B348" t="s">
        <v>420</v>
      </c>
      <c r="C348" s="12" t="str">
        <f t="shared" si="35"/>
        <v>Positive</v>
      </c>
      <c r="D348" s="18">
        <f t="shared" si="36"/>
        <v>1</v>
      </c>
      <c r="E348" s="1">
        <v>42840.333333333336</v>
      </c>
      <c r="F348" s="10">
        <f>INT(E348)</f>
        <v>42840</v>
      </c>
      <c r="G348" s="15">
        <f>MOD(E348,2)</f>
        <v>0.33333333333575865</v>
      </c>
      <c r="H348" s="15" t="str">
        <f t="shared" si="37"/>
        <v>08:00</v>
      </c>
      <c r="I348" t="s">
        <v>1151</v>
      </c>
      <c r="J348" t="s">
        <v>16</v>
      </c>
      <c r="K348" t="str">
        <f t="shared" si="38"/>
        <v>Twitter</v>
      </c>
      <c r="L348" t="s">
        <v>1152</v>
      </c>
      <c r="M348">
        <v>22</v>
      </c>
      <c r="N348">
        <v>45</v>
      </c>
      <c r="O348">
        <f t="shared" si="39"/>
        <v>67</v>
      </c>
      <c r="P348" t="s">
        <v>1153</v>
      </c>
      <c r="Q348" t="str">
        <f t="shared" si="40"/>
        <v>India</v>
      </c>
      <c r="R348">
        <v>2017</v>
      </c>
      <c r="S348">
        <v>4</v>
      </c>
      <c r="T348">
        <v>15</v>
      </c>
      <c r="U348">
        <v>8</v>
      </c>
      <c r="Y348" s="4">
        <f t="shared" si="41"/>
        <v>8</v>
      </c>
    </row>
    <row r="349" spans="1:25" ht="18" x14ac:dyDescent="0.25">
      <c r="A349" t="s">
        <v>1154</v>
      </c>
      <c r="B349" t="s">
        <v>428</v>
      </c>
      <c r="C349" s="12" t="str">
        <f t="shared" si="35"/>
        <v>Positive</v>
      </c>
      <c r="D349" s="18">
        <f t="shared" si="36"/>
        <v>1</v>
      </c>
      <c r="E349" s="1">
        <v>43348.597222222219</v>
      </c>
      <c r="F349" s="10">
        <f>INT(E349)</f>
        <v>43348</v>
      </c>
      <c r="G349" s="15">
        <f>MOD(E349,2)</f>
        <v>0.59722222221898846</v>
      </c>
      <c r="H349" s="15" t="str">
        <f t="shared" si="37"/>
        <v>14:20</v>
      </c>
      <c r="I349" t="s">
        <v>1155</v>
      </c>
      <c r="J349" t="s">
        <v>26</v>
      </c>
      <c r="K349" t="str">
        <f t="shared" si="38"/>
        <v>Instagram</v>
      </c>
      <c r="L349" t="s">
        <v>1156</v>
      </c>
      <c r="M349">
        <v>35</v>
      </c>
      <c r="N349">
        <v>70</v>
      </c>
      <c r="O349">
        <f t="shared" si="39"/>
        <v>105</v>
      </c>
      <c r="P349" t="s">
        <v>1091</v>
      </c>
      <c r="Q349" t="str">
        <f t="shared" si="40"/>
        <v>USA</v>
      </c>
      <c r="R349">
        <v>2018</v>
      </c>
      <c r="S349">
        <v>9</v>
      </c>
      <c r="T349">
        <v>5</v>
      </c>
      <c r="U349">
        <v>14</v>
      </c>
      <c r="Y349" s="4">
        <f t="shared" si="41"/>
        <v>14</v>
      </c>
    </row>
    <row r="350" spans="1:25" ht="18" x14ac:dyDescent="0.25">
      <c r="A350" t="s">
        <v>1157</v>
      </c>
      <c r="B350" t="s">
        <v>1158</v>
      </c>
      <c r="C350" s="12" t="str">
        <f t="shared" si="35"/>
        <v>Positive</v>
      </c>
      <c r="D350" s="18">
        <f t="shared" si="36"/>
        <v>1</v>
      </c>
      <c r="E350" s="1">
        <v>44856.53125</v>
      </c>
      <c r="F350" s="10">
        <f>INT(E350)</f>
        <v>44856</v>
      </c>
      <c r="G350" s="15">
        <f>MOD(E350,2)</f>
        <v>0.53125</v>
      </c>
      <c r="H350" s="15" t="str">
        <f t="shared" si="37"/>
        <v>12:45</v>
      </c>
      <c r="I350" t="s">
        <v>1159</v>
      </c>
      <c r="J350" t="s">
        <v>31</v>
      </c>
      <c r="K350" t="str">
        <f t="shared" si="38"/>
        <v>Facebook</v>
      </c>
      <c r="L350" t="s">
        <v>1160</v>
      </c>
      <c r="M350">
        <v>15</v>
      </c>
      <c r="N350">
        <v>30</v>
      </c>
      <c r="O350">
        <f t="shared" si="39"/>
        <v>45</v>
      </c>
      <c r="P350" t="s">
        <v>1096</v>
      </c>
      <c r="Q350" t="str">
        <f t="shared" si="40"/>
        <v>Canada</v>
      </c>
      <c r="R350">
        <v>2022</v>
      </c>
      <c r="S350">
        <v>10</v>
      </c>
      <c r="T350">
        <v>22</v>
      </c>
      <c r="U350">
        <v>12</v>
      </c>
      <c r="Y350" s="4">
        <f t="shared" si="41"/>
        <v>12</v>
      </c>
    </row>
    <row r="351" spans="1:25" ht="18" x14ac:dyDescent="0.25">
      <c r="A351" t="s">
        <v>1161</v>
      </c>
      <c r="B351" t="s">
        <v>1162</v>
      </c>
      <c r="C351" s="12" t="str">
        <f t="shared" si="35"/>
        <v>Neutral</v>
      </c>
      <c r="D351" s="18">
        <f t="shared" si="36"/>
        <v>0</v>
      </c>
      <c r="E351" s="1">
        <v>42553.979166666664</v>
      </c>
      <c r="F351" s="10">
        <f>INT(E351)</f>
        <v>42553</v>
      </c>
      <c r="G351" s="15">
        <f>MOD(E351,2)</f>
        <v>1.9791666666642413</v>
      </c>
      <c r="H351" s="15" t="str">
        <f t="shared" si="37"/>
        <v>23:30</v>
      </c>
      <c r="I351" t="s">
        <v>332</v>
      </c>
      <c r="J351" t="s">
        <v>16</v>
      </c>
      <c r="K351" t="str">
        <f t="shared" si="38"/>
        <v>Twitter</v>
      </c>
      <c r="L351" t="s">
        <v>1163</v>
      </c>
      <c r="M351">
        <v>28</v>
      </c>
      <c r="N351">
        <v>55</v>
      </c>
      <c r="O351">
        <f t="shared" si="39"/>
        <v>83</v>
      </c>
      <c r="P351" t="s">
        <v>1101</v>
      </c>
      <c r="Q351" t="str">
        <f t="shared" si="40"/>
        <v>UK</v>
      </c>
      <c r="R351">
        <v>2016</v>
      </c>
      <c r="S351">
        <v>7</v>
      </c>
      <c r="T351">
        <v>2</v>
      </c>
      <c r="U351">
        <v>23</v>
      </c>
      <c r="Y351" s="4">
        <f t="shared" si="41"/>
        <v>23</v>
      </c>
    </row>
    <row r="352" spans="1:25" ht="18" x14ac:dyDescent="0.25">
      <c r="A352" t="s">
        <v>1164</v>
      </c>
      <c r="B352" t="s">
        <v>1165</v>
      </c>
      <c r="C352" s="12" t="str">
        <f t="shared" si="35"/>
        <v>Positive</v>
      </c>
      <c r="D352" s="18">
        <f t="shared" si="36"/>
        <v>1</v>
      </c>
      <c r="E352" s="1">
        <v>44153.715277777781</v>
      </c>
      <c r="F352" s="10">
        <f>INT(E352)</f>
        <v>44153</v>
      </c>
      <c r="G352" s="15">
        <f>MOD(E352,2)</f>
        <v>1.7152777777810115</v>
      </c>
      <c r="H352" s="15" t="str">
        <f t="shared" si="37"/>
        <v>17:10</v>
      </c>
      <c r="I352" t="s">
        <v>1166</v>
      </c>
      <c r="J352" t="s">
        <v>26</v>
      </c>
      <c r="K352" t="str">
        <f t="shared" si="38"/>
        <v>Instagram</v>
      </c>
      <c r="L352" t="s">
        <v>1167</v>
      </c>
      <c r="M352">
        <v>20</v>
      </c>
      <c r="N352">
        <v>40</v>
      </c>
      <c r="O352">
        <f t="shared" si="39"/>
        <v>60</v>
      </c>
      <c r="P352" t="s">
        <v>1153</v>
      </c>
      <c r="Q352" t="str">
        <f t="shared" si="40"/>
        <v>India</v>
      </c>
      <c r="R352">
        <v>2020</v>
      </c>
      <c r="S352">
        <v>11</v>
      </c>
      <c r="T352">
        <v>18</v>
      </c>
      <c r="U352">
        <v>17</v>
      </c>
      <c r="Y352" s="4">
        <f t="shared" si="41"/>
        <v>17</v>
      </c>
    </row>
    <row r="353" spans="1:25" ht="18" x14ac:dyDescent="0.25">
      <c r="A353" t="s">
        <v>1168</v>
      </c>
      <c r="B353" t="s">
        <v>1169</v>
      </c>
      <c r="C353" s="12" t="str">
        <f t="shared" si="35"/>
        <v>Positive</v>
      </c>
      <c r="D353" s="18">
        <f t="shared" si="36"/>
        <v>1</v>
      </c>
      <c r="E353" s="1">
        <v>44990.625</v>
      </c>
      <c r="F353" s="10">
        <f>INT(E353)</f>
        <v>44990</v>
      </c>
      <c r="G353" s="15">
        <f>MOD(E353,2)</f>
        <v>0.625</v>
      </c>
      <c r="H353" s="15" t="str">
        <f t="shared" si="37"/>
        <v>15:00</v>
      </c>
      <c r="I353" t="s">
        <v>1170</v>
      </c>
      <c r="J353" t="s">
        <v>31</v>
      </c>
      <c r="K353" t="str">
        <f t="shared" si="38"/>
        <v>Facebook</v>
      </c>
      <c r="L353" t="s">
        <v>1171</v>
      </c>
      <c r="M353">
        <v>30</v>
      </c>
      <c r="N353">
        <v>60</v>
      </c>
      <c r="O353">
        <f t="shared" si="39"/>
        <v>90</v>
      </c>
      <c r="P353" t="s">
        <v>1111</v>
      </c>
      <c r="Q353" t="str">
        <f t="shared" si="40"/>
        <v>Australia</v>
      </c>
      <c r="R353">
        <v>2023</v>
      </c>
      <c r="S353">
        <v>3</v>
      </c>
      <c r="T353">
        <v>5</v>
      </c>
      <c r="U353">
        <v>15</v>
      </c>
      <c r="Y353" s="4">
        <f t="shared" si="41"/>
        <v>15</v>
      </c>
    </row>
    <row r="354" spans="1:25" ht="18" x14ac:dyDescent="0.25">
      <c r="A354" t="s">
        <v>1172</v>
      </c>
      <c r="B354" t="s">
        <v>1173</v>
      </c>
      <c r="C354" s="12" t="str">
        <f t="shared" si="35"/>
        <v>Positive</v>
      </c>
      <c r="D354" s="18">
        <f t="shared" si="36"/>
        <v>1</v>
      </c>
      <c r="E354" s="1">
        <v>42339.479166666664</v>
      </c>
      <c r="F354" s="10">
        <f>INT(E354)</f>
        <v>42339</v>
      </c>
      <c r="G354" s="15">
        <f>MOD(E354,2)</f>
        <v>1.4791666666642413</v>
      </c>
      <c r="H354" s="15" t="str">
        <f t="shared" si="37"/>
        <v>11:30</v>
      </c>
      <c r="I354" t="s">
        <v>574</v>
      </c>
      <c r="J354" t="s">
        <v>16</v>
      </c>
      <c r="K354" t="str">
        <f t="shared" si="38"/>
        <v>Twitter</v>
      </c>
      <c r="L354" t="s">
        <v>1174</v>
      </c>
      <c r="M354">
        <v>25</v>
      </c>
      <c r="N354">
        <v>50</v>
      </c>
      <c r="O354">
        <f t="shared" si="39"/>
        <v>75</v>
      </c>
      <c r="P354" t="s">
        <v>1091</v>
      </c>
      <c r="Q354" t="str">
        <f t="shared" si="40"/>
        <v>USA</v>
      </c>
      <c r="R354">
        <v>2015</v>
      </c>
      <c r="S354">
        <v>12</v>
      </c>
      <c r="T354">
        <v>1</v>
      </c>
      <c r="U354">
        <v>11</v>
      </c>
      <c r="Y354" s="4">
        <f t="shared" si="41"/>
        <v>11</v>
      </c>
    </row>
    <row r="355" spans="1:25" ht="18" x14ac:dyDescent="0.25">
      <c r="A355" t="s">
        <v>1175</v>
      </c>
      <c r="B355" t="s">
        <v>1176</v>
      </c>
      <c r="C355" s="12" t="str">
        <f t="shared" si="35"/>
        <v>Positive</v>
      </c>
      <c r="D355" s="18">
        <f t="shared" si="36"/>
        <v>1</v>
      </c>
      <c r="E355" s="1">
        <v>44449.40625</v>
      </c>
      <c r="F355" s="10">
        <f>INT(E355)</f>
        <v>44449</v>
      </c>
      <c r="G355" s="15">
        <f>MOD(E355,2)</f>
        <v>1.40625</v>
      </c>
      <c r="H355" s="15" t="str">
        <f t="shared" si="37"/>
        <v>09:45</v>
      </c>
      <c r="I355" t="s">
        <v>1177</v>
      </c>
      <c r="J355" t="s">
        <v>26</v>
      </c>
      <c r="K355" t="str">
        <f t="shared" si="38"/>
        <v>Instagram</v>
      </c>
      <c r="L355" t="s">
        <v>1178</v>
      </c>
      <c r="M355">
        <v>18</v>
      </c>
      <c r="N355">
        <v>35</v>
      </c>
      <c r="O355">
        <f t="shared" si="39"/>
        <v>53</v>
      </c>
      <c r="P355" t="s">
        <v>1101</v>
      </c>
      <c r="Q355" t="str">
        <f t="shared" si="40"/>
        <v>UK</v>
      </c>
      <c r="R355">
        <v>2021</v>
      </c>
      <c r="S355">
        <v>9</v>
      </c>
      <c r="T355">
        <v>10</v>
      </c>
      <c r="U355">
        <v>9</v>
      </c>
      <c r="Y355" s="4">
        <f t="shared" si="41"/>
        <v>9</v>
      </c>
    </row>
    <row r="356" spans="1:25" ht="18" x14ac:dyDescent="0.25">
      <c r="A356" t="s">
        <v>1179</v>
      </c>
      <c r="B356" t="s">
        <v>415</v>
      </c>
      <c r="C356" s="12" t="str">
        <f t="shared" si="35"/>
        <v>Positive</v>
      </c>
      <c r="D356" s="18">
        <f t="shared" si="36"/>
        <v>1</v>
      </c>
      <c r="E356" s="1">
        <v>43232.597222222219</v>
      </c>
      <c r="F356" s="10">
        <f>INT(E356)</f>
        <v>43232</v>
      </c>
      <c r="G356" s="15">
        <f>MOD(E356,2)</f>
        <v>0.59722222221898846</v>
      </c>
      <c r="H356" s="15" t="str">
        <f t="shared" si="37"/>
        <v>14:20</v>
      </c>
      <c r="I356" t="s">
        <v>1180</v>
      </c>
      <c r="J356" t="s">
        <v>31</v>
      </c>
      <c r="K356" t="str">
        <f t="shared" si="38"/>
        <v>Facebook</v>
      </c>
      <c r="L356" t="s">
        <v>1181</v>
      </c>
      <c r="M356">
        <v>22</v>
      </c>
      <c r="N356">
        <v>45</v>
      </c>
      <c r="O356">
        <f t="shared" si="39"/>
        <v>67</v>
      </c>
      <c r="P356" t="s">
        <v>1096</v>
      </c>
      <c r="Q356" t="str">
        <f t="shared" si="40"/>
        <v>Canada</v>
      </c>
      <c r="R356">
        <v>2018</v>
      </c>
      <c r="S356">
        <v>5</v>
      </c>
      <c r="T356">
        <v>12</v>
      </c>
      <c r="U356">
        <v>14</v>
      </c>
      <c r="Y356" s="4">
        <f t="shared" si="41"/>
        <v>14</v>
      </c>
    </row>
    <row r="357" spans="1:25" ht="18" x14ac:dyDescent="0.25">
      <c r="A357" t="s">
        <v>1182</v>
      </c>
      <c r="B357" t="s">
        <v>1183</v>
      </c>
      <c r="C357" s="12" t="str">
        <f t="shared" si="35"/>
        <v>Neutral</v>
      </c>
      <c r="D357" s="18">
        <f t="shared" si="36"/>
        <v>0</v>
      </c>
      <c r="E357" s="1">
        <v>44767.416666666664</v>
      </c>
      <c r="F357" s="10">
        <f>INT(E357)</f>
        <v>44767</v>
      </c>
      <c r="G357" s="15">
        <f>MOD(E357,2)</f>
        <v>1.4166666666642413</v>
      </c>
      <c r="H357" s="15" t="str">
        <f t="shared" si="37"/>
        <v>10:00</v>
      </c>
      <c r="I357" t="s">
        <v>1184</v>
      </c>
      <c r="J357" t="s">
        <v>16</v>
      </c>
      <c r="K357" t="str">
        <f t="shared" si="38"/>
        <v>Twitter</v>
      </c>
      <c r="L357" t="s">
        <v>1185</v>
      </c>
      <c r="M357">
        <v>40</v>
      </c>
      <c r="N357">
        <v>80</v>
      </c>
      <c r="O357">
        <f t="shared" si="39"/>
        <v>120</v>
      </c>
      <c r="P357" t="s">
        <v>1153</v>
      </c>
      <c r="Q357" t="str">
        <f t="shared" si="40"/>
        <v>India</v>
      </c>
      <c r="R357">
        <v>2022</v>
      </c>
      <c r="S357">
        <v>7</v>
      </c>
      <c r="T357">
        <v>25</v>
      </c>
      <c r="U357">
        <v>10</v>
      </c>
      <c r="Y357" s="4">
        <f t="shared" si="41"/>
        <v>10</v>
      </c>
    </row>
    <row r="358" spans="1:25" ht="18" x14ac:dyDescent="0.25">
      <c r="A358" t="s">
        <v>1186</v>
      </c>
      <c r="B358" t="s">
        <v>1187</v>
      </c>
      <c r="C358" s="12" t="str">
        <f t="shared" si="35"/>
        <v>Neutral</v>
      </c>
      <c r="D358" s="18">
        <f t="shared" si="36"/>
        <v>0</v>
      </c>
      <c r="E358" s="1">
        <v>43532.770833333336</v>
      </c>
      <c r="F358" s="10">
        <f>INT(E358)</f>
        <v>43532</v>
      </c>
      <c r="G358" s="15">
        <f>MOD(E358,2)</f>
        <v>0.77083333333575865</v>
      </c>
      <c r="H358" s="15" t="str">
        <f t="shared" si="37"/>
        <v>18:30</v>
      </c>
      <c r="I358" t="s">
        <v>477</v>
      </c>
      <c r="J358" t="s">
        <v>26</v>
      </c>
      <c r="K358" t="str">
        <f t="shared" si="38"/>
        <v>Instagram</v>
      </c>
      <c r="L358" t="s">
        <v>1188</v>
      </c>
      <c r="M358">
        <v>35</v>
      </c>
      <c r="N358">
        <v>70</v>
      </c>
      <c r="O358">
        <f t="shared" si="39"/>
        <v>105</v>
      </c>
      <c r="P358" t="s">
        <v>1091</v>
      </c>
      <c r="Q358" t="str">
        <f t="shared" si="40"/>
        <v>USA</v>
      </c>
      <c r="R358">
        <v>2019</v>
      </c>
      <c r="S358">
        <v>3</v>
      </c>
      <c r="T358">
        <v>8</v>
      </c>
      <c r="U358">
        <v>18</v>
      </c>
      <c r="Y358" s="4">
        <f t="shared" si="41"/>
        <v>18</v>
      </c>
    </row>
    <row r="359" spans="1:25" ht="18" x14ac:dyDescent="0.25">
      <c r="A359" t="s">
        <v>1189</v>
      </c>
      <c r="B359" t="s">
        <v>1190</v>
      </c>
      <c r="C359" s="12" t="str">
        <f t="shared" si="35"/>
        <v>Neutral</v>
      </c>
      <c r="D359" s="18">
        <f t="shared" si="36"/>
        <v>0</v>
      </c>
      <c r="E359" s="1">
        <v>42763.885416666664</v>
      </c>
      <c r="F359" s="10">
        <f>INT(E359)</f>
        <v>42763</v>
      </c>
      <c r="G359" s="15">
        <f>MOD(E359,2)</f>
        <v>1.8854166666642413</v>
      </c>
      <c r="H359" s="15" t="str">
        <f t="shared" si="37"/>
        <v>21:15</v>
      </c>
      <c r="I359" t="s">
        <v>1191</v>
      </c>
      <c r="J359" t="s">
        <v>31</v>
      </c>
      <c r="K359" t="str">
        <f t="shared" si="38"/>
        <v>Facebook</v>
      </c>
      <c r="L359" t="s">
        <v>1192</v>
      </c>
      <c r="M359">
        <v>20</v>
      </c>
      <c r="N359">
        <v>40</v>
      </c>
      <c r="O359">
        <f t="shared" si="39"/>
        <v>60</v>
      </c>
      <c r="P359" t="s">
        <v>1111</v>
      </c>
      <c r="Q359" t="str">
        <f t="shared" si="40"/>
        <v>Australia</v>
      </c>
      <c r="R359">
        <v>2017</v>
      </c>
      <c r="S359">
        <v>1</v>
      </c>
      <c r="T359">
        <v>28</v>
      </c>
      <c r="U359">
        <v>21</v>
      </c>
      <c r="Y359" s="4">
        <f t="shared" si="41"/>
        <v>21</v>
      </c>
    </row>
    <row r="360" spans="1:25" ht="18" x14ac:dyDescent="0.25">
      <c r="A360" t="s">
        <v>1193</v>
      </c>
      <c r="B360" t="s">
        <v>1194</v>
      </c>
      <c r="C360" s="12" t="str">
        <f t="shared" si="35"/>
        <v>Positive</v>
      </c>
      <c r="D360" s="18">
        <f t="shared" si="36"/>
        <v>1</v>
      </c>
      <c r="E360" s="1">
        <v>42688.572916666664</v>
      </c>
      <c r="F360" s="10">
        <f>INT(E360)</f>
        <v>42688</v>
      </c>
      <c r="G360" s="15">
        <f>MOD(E360,2)</f>
        <v>0.57291666666424135</v>
      </c>
      <c r="H360" s="15" t="str">
        <f t="shared" si="37"/>
        <v>13:45</v>
      </c>
      <c r="I360" t="s">
        <v>1195</v>
      </c>
      <c r="J360" t="s">
        <v>16</v>
      </c>
      <c r="K360" t="str">
        <f t="shared" si="38"/>
        <v>Twitter</v>
      </c>
      <c r="L360" t="s">
        <v>1196</v>
      </c>
      <c r="M360">
        <v>28</v>
      </c>
      <c r="N360">
        <v>55</v>
      </c>
      <c r="O360">
        <f t="shared" si="39"/>
        <v>83</v>
      </c>
      <c r="P360" t="s">
        <v>1101</v>
      </c>
      <c r="Q360" t="str">
        <f t="shared" si="40"/>
        <v>UK</v>
      </c>
      <c r="R360">
        <v>2016</v>
      </c>
      <c r="S360">
        <v>11</v>
      </c>
      <c r="T360">
        <v>14</v>
      </c>
      <c r="U360">
        <v>13</v>
      </c>
      <c r="Y360" s="4">
        <f t="shared" si="41"/>
        <v>13</v>
      </c>
    </row>
    <row r="361" spans="1:25" ht="18" x14ac:dyDescent="0.25">
      <c r="A361" t="s">
        <v>1197</v>
      </c>
      <c r="B361" t="s">
        <v>1198</v>
      </c>
      <c r="C361" s="12" t="str">
        <f t="shared" si="35"/>
        <v>Positive</v>
      </c>
      <c r="D361" s="18">
        <f t="shared" si="36"/>
        <v>1</v>
      </c>
      <c r="E361" s="1">
        <v>43923.729166666664</v>
      </c>
      <c r="F361" s="10">
        <f>INT(E361)</f>
        <v>43923</v>
      </c>
      <c r="G361" s="15">
        <f>MOD(E361,2)</f>
        <v>1.7291666666642413</v>
      </c>
      <c r="H361" s="15" t="str">
        <f t="shared" si="37"/>
        <v>17:30</v>
      </c>
      <c r="I361" t="s">
        <v>1199</v>
      </c>
      <c r="J361" t="s">
        <v>26</v>
      </c>
      <c r="K361" t="str">
        <f t="shared" si="38"/>
        <v>Instagram</v>
      </c>
      <c r="L361" t="s">
        <v>1200</v>
      </c>
      <c r="M361">
        <v>15</v>
      </c>
      <c r="N361">
        <v>30</v>
      </c>
      <c r="O361">
        <f t="shared" si="39"/>
        <v>45</v>
      </c>
      <c r="P361" t="s">
        <v>1091</v>
      </c>
      <c r="Q361" t="str">
        <f t="shared" si="40"/>
        <v>USA</v>
      </c>
      <c r="R361">
        <v>2020</v>
      </c>
      <c r="S361">
        <v>4</v>
      </c>
      <c r="T361">
        <v>2</v>
      </c>
      <c r="U361">
        <v>17</v>
      </c>
      <c r="Y361" s="4">
        <f t="shared" si="41"/>
        <v>17</v>
      </c>
    </row>
    <row r="362" spans="1:25" ht="18" x14ac:dyDescent="0.25">
      <c r="A362" t="s">
        <v>1201</v>
      </c>
      <c r="B362" t="s">
        <v>410</v>
      </c>
      <c r="C362" s="12" t="str">
        <f t="shared" si="35"/>
        <v>Positive</v>
      </c>
      <c r="D362" s="18">
        <f t="shared" si="36"/>
        <v>1</v>
      </c>
      <c r="E362" s="1">
        <v>44941.791666666664</v>
      </c>
      <c r="F362" s="10">
        <f>INT(E362)</f>
        <v>44941</v>
      </c>
      <c r="G362" s="15">
        <f>MOD(E362,2)</f>
        <v>1.7916666666642413</v>
      </c>
      <c r="H362" s="15" t="str">
        <f t="shared" si="37"/>
        <v>19:00</v>
      </c>
      <c r="I362" t="s">
        <v>1202</v>
      </c>
      <c r="J362" t="s">
        <v>31</v>
      </c>
      <c r="K362" t="str">
        <f t="shared" si="38"/>
        <v>Facebook</v>
      </c>
      <c r="L362" t="s">
        <v>1203</v>
      </c>
      <c r="M362">
        <v>25</v>
      </c>
      <c r="N362">
        <v>50</v>
      </c>
      <c r="O362">
        <f t="shared" si="39"/>
        <v>75</v>
      </c>
      <c r="P362" t="s">
        <v>1096</v>
      </c>
      <c r="Q362" t="str">
        <f t="shared" si="40"/>
        <v>Canada</v>
      </c>
      <c r="R362">
        <v>2023</v>
      </c>
      <c r="S362">
        <v>1</v>
      </c>
      <c r="T362">
        <v>15</v>
      </c>
      <c r="U362">
        <v>19</v>
      </c>
      <c r="Y362" s="4">
        <f t="shared" si="41"/>
        <v>19</v>
      </c>
    </row>
    <row r="363" spans="1:25" ht="18" x14ac:dyDescent="0.25">
      <c r="A363" t="s">
        <v>1204</v>
      </c>
      <c r="B363" t="s">
        <v>444</v>
      </c>
      <c r="C363" s="12" t="str">
        <f t="shared" si="35"/>
        <v>Positive</v>
      </c>
      <c r="D363" s="18">
        <f t="shared" si="36"/>
        <v>1</v>
      </c>
      <c r="E363" s="1">
        <v>43319.510416666664</v>
      </c>
      <c r="F363" s="10">
        <f>INT(E363)</f>
        <v>43319</v>
      </c>
      <c r="G363" s="15">
        <f>MOD(E363,2)</f>
        <v>1.5104166666642413</v>
      </c>
      <c r="H363" s="15" t="str">
        <f t="shared" si="37"/>
        <v>12:15</v>
      </c>
      <c r="I363" t="s">
        <v>1205</v>
      </c>
      <c r="J363" t="s">
        <v>16</v>
      </c>
      <c r="K363" t="str">
        <f t="shared" si="38"/>
        <v>Twitter</v>
      </c>
      <c r="L363" t="s">
        <v>1206</v>
      </c>
      <c r="M363">
        <v>30</v>
      </c>
      <c r="N363">
        <v>60</v>
      </c>
      <c r="O363">
        <f t="shared" si="39"/>
        <v>90</v>
      </c>
      <c r="P363" t="s">
        <v>1153</v>
      </c>
      <c r="Q363" t="str">
        <f t="shared" si="40"/>
        <v>India</v>
      </c>
      <c r="R363">
        <v>2018</v>
      </c>
      <c r="S363">
        <v>8</v>
      </c>
      <c r="T363">
        <v>7</v>
      </c>
      <c r="U363">
        <v>12</v>
      </c>
      <c r="Y363" s="4">
        <f t="shared" si="41"/>
        <v>12</v>
      </c>
    </row>
    <row r="364" spans="1:25" ht="18" x14ac:dyDescent="0.25">
      <c r="A364" t="s">
        <v>1207</v>
      </c>
      <c r="B364" t="s">
        <v>1208</v>
      </c>
      <c r="C364" s="12" t="str">
        <f t="shared" si="35"/>
        <v>Neutral</v>
      </c>
      <c r="D364" s="18">
        <f t="shared" si="36"/>
        <v>0</v>
      </c>
      <c r="E364" s="1">
        <v>43756.697916666664</v>
      </c>
      <c r="F364" s="10">
        <f>INT(E364)</f>
        <v>43756</v>
      </c>
      <c r="G364" s="15">
        <f>MOD(E364,2)</f>
        <v>0.69791666666424135</v>
      </c>
      <c r="H364" s="15" t="str">
        <f t="shared" si="37"/>
        <v>16:45</v>
      </c>
      <c r="I364" t="s">
        <v>1209</v>
      </c>
      <c r="J364" t="s">
        <v>26</v>
      </c>
      <c r="K364" t="str">
        <f t="shared" si="38"/>
        <v>Instagram</v>
      </c>
      <c r="L364" t="s">
        <v>1210</v>
      </c>
      <c r="M364">
        <v>18</v>
      </c>
      <c r="N364">
        <v>35</v>
      </c>
      <c r="O364">
        <f t="shared" si="39"/>
        <v>53</v>
      </c>
      <c r="P364" t="s">
        <v>1101</v>
      </c>
      <c r="Q364" t="str">
        <f t="shared" si="40"/>
        <v>UK</v>
      </c>
      <c r="R364">
        <v>2019</v>
      </c>
      <c r="S364">
        <v>10</v>
      </c>
      <c r="T364">
        <v>18</v>
      </c>
      <c r="U364">
        <v>16</v>
      </c>
      <c r="Y364" s="4">
        <f t="shared" si="41"/>
        <v>16</v>
      </c>
    </row>
    <row r="365" spans="1:25" ht="18" x14ac:dyDescent="0.25">
      <c r="A365" t="s">
        <v>1211</v>
      </c>
      <c r="B365" t="s">
        <v>1212</v>
      </c>
      <c r="C365" s="12" t="str">
        <f t="shared" si="35"/>
        <v>Positive</v>
      </c>
      <c r="D365" s="18">
        <f t="shared" si="36"/>
        <v>1</v>
      </c>
      <c r="E365" s="1">
        <v>44742.291666666664</v>
      </c>
      <c r="F365" s="10">
        <f>INT(E365)</f>
        <v>44742</v>
      </c>
      <c r="G365" s="15">
        <f>MOD(E365,2)</f>
        <v>0.29166666666424135</v>
      </c>
      <c r="H365" s="15" t="str">
        <f t="shared" si="37"/>
        <v>07:00</v>
      </c>
      <c r="I365" t="s">
        <v>492</v>
      </c>
      <c r="J365" t="s">
        <v>31</v>
      </c>
      <c r="K365" t="str">
        <f t="shared" si="38"/>
        <v>Facebook</v>
      </c>
      <c r="L365" t="s">
        <v>1213</v>
      </c>
      <c r="M365">
        <v>22</v>
      </c>
      <c r="N365">
        <v>45</v>
      </c>
      <c r="O365">
        <f t="shared" si="39"/>
        <v>67</v>
      </c>
      <c r="P365" t="s">
        <v>1111</v>
      </c>
      <c r="Q365" t="str">
        <f t="shared" si="40"/>
        <v>Australia</v>
      </c>
      <c r="R365">
        <v>2022</v>
      </c>
      <c r="S365">
        <v>6</v>
      </c>
      <c r="T365">
        <v>30</v>
      </c>
      <c r="U365">
        <v>7</v>
      </c>
      <c r="Y365" s="4">
        <f t="shared" si="41"/>
        <v>7</v>
      </c>
    </row>
    <row r="366" spans="1:25" ht="18" x14ac:dyDescent="0.25">
      <c r="A366" t="s">
        <v>1214</v>
      </c>
      <c r="B366" t="s">
        <v>1215</v>
      </c>
      <c r="C366" s="12" t="str">
        <f t="shared" si="35"/>
        <v>Positive</v>
      </c>
      <c r="D366" s="18">
        <f t="shared" si="36"/>
        <v>1</v>
      </c>
      <c r="E366" s="1">
        <v>42898.763888888891</v>
      </c>
      <c r="F366" s="10">
        <f>INT(E366)</f>
        <v>42898</v>
      </c>
      <c r="G366" s="15">
        <f>MOD(E366,2)</f>
        <v>0.76388888889050577</v>
      </c>
      <c r="H366" s="15" t="str">
        <f t="shared" si="37"/>
        <v>18:20</v>
      </c>
      <c r="I366" t="s">
        <v>1216</v>
      </c>
      <c r="J366" t="s">
        <v>16</v>
      </c>
      <c r="K366" t="str">
        <f t="shared" si="38"/>
        <v>Twitter</v>
      </c>
      <c r="L366" t="s">
        <v>1217</v>
      </c>
      <c r="M366">
        <v>35</v>
      </c>
      <c r="N366">
        <v>70</v>
      </c>
      <c r="O366">
        <f t="shared" si="39"/>
        <v>105</v>
      </c>
      <c r="P366" t="s">
        <v>1091</v>
      </c>
      <c r="Q366" t="str">
        <f t="shared" si="40"/>
        <v>USA</v>
      </c>
      <c r="R366">
        <v>2017</v>
      </c>
      <c r="S366">
        <v>6</v>
      </c>
      <c r="T366">
        <v>12</v>
      </c>
      <c r="U366">
        <v>18</v>
      </c>
      <c r="Y366" s="4">
        <f t="shared" si="41"/>
        <v>18</v>
      </c>
    </row>
    <row r="367" spans="1:25" ht="18" x14ac:dyDescent="0.25">
      <c r="A367" t="s">
        <v>1218</v>
      </c>
      <c r="B367" t="s">
        <v>1219</v>
      </c>
      <c r="C367" s="12" t="str">
        <f t="shared" si="35"/>
        <v>Positive</v>
      </c>
      <c r="D367" s="18">
        <f t="shared" si="36"/>
        <v>1</v>
      </c>
      <c r="E367" s="1">
        <v>44382.395833333336</v>
      </c>
      <c r="F367" s="10">
        <f>INT(E367)</f>
        <v>44382</v>
      </c>
      <c r="G367" s="15">
        <f>MOD(E367,2)</f>
        <v>0.39583333333575865</v>
      </c>
      <c r="H367" s="15" t="str">
        <f t="shared" si="37"/>
        <v>09:30</v>
      </c>
      <c r="I367" t="s">
        <v>1220</v>
      </c>
      <c r="J367" t="s">
        <v>26</v>
      </c>
      <c r="K367" t="str">
        <f t="shared" si="38"/>
        <v>Instagram</v>
      </c>
      <c r="L367" t="s">
        <v>1221</v>
      </c>
      <c r="M367">
        <v>20</v>
      </c>
      <c r="N367">
        <v>40</v>
      </c>
      <c r="O367">
        <f t="shared" si="39"/>
        <v>60</v>
      </c>
      <c r="P367" t="s">
        <v>1096</v>
      </c>
      <c r="Q367" t="str">
        <f t="shared" si="40"/>
        <v>Canada</v>
      </c>
      <c r="R367">
        <v>2021</v>
      </c>
      <c r="S367">
        <v>7</v>
      </c>
      <c r="T367">
        <v>5</v>
      </c>
      <c r="U367">
        <v>9</v>
      </c>
      <c r="Y367" s="4">
        <f t="shared" si="41"/>
        <v>9</v>
      </c>
    </row>
    <row r="368" spans="1:25" ht="18" x14ac:dyDescent="0.25">
      <c r="A368" t="s">
        <v>1222</v>
      </c>
      <c r="B368" t="s">
        <v>1223</v>
      </c>
      <c r="C368" s="12" t="str">
        <f t="shared" si="35"/>
        <v>Positive</v>
      </c>
      <c r="D368" s="18">
        <f t="shared" si="36"/>
        <v>1</v>
      </c>
      <c r="E368" s="1">
        <v>42475.618055555555</v>
      </c>
      <c r="F368" s="10">
        <f>INT(E368)</f>
        <v>42475</v>
      </c>
      <c r="G368" s="15">
        <f>MOD(E368,2)</f>
        <v>1.6180555555547471</v>
      </c>
      <c r="H368" s="15" t="str">
        <f t="shared" si="37"/>
        <v>14:50</v>
      </c>
      <c r="I368" t="s">
        <v>1224</v>
      </c>
      <c r="J368" t="s">
        <v>31</v>
      </c>
      <c r="K368" t="str">
        <f t="shared" si="38"/>
        <v>Facebook</v>
      </c>
      <c r="L368" t="s">
        <v>1225</v>
      </c>
      <c r="M368">
        <v>28</v>
      </c>
      <c r="N368">
        <v>55</v>
      </c>
      <c r="O368">
        <f t="shared" si="39"/>
        <v>83</v>
      </c>
      <c r="P368" t="s">
        <v>1101</v>
      </c>
      <c r="Q368" t="str">
        <f t="shared" si="40"/>
        <v>UK</v>
      </c>
      <c r="R368">
        <v>2016</v>
      </c>
      <c r="S368">
        <v>4</v>
      </c>
      <c r="T368">
        <v>15</v>
      </c>
      <c r="U368">
        <v>14</v>
      </c>
      <c r="Y368" s="4">
        <f t="shared" si="41"/>
        <v>14</v>
      </c>
    </row>
    <row r="369" spans="1:25" ht="18" x14ac:dyDescent="0.25">
      <c r="A369" t="s">
        <v>1226</v>
      </c>
      <c r="B369" t="s">
        <v>1227</v>
      </c>
      <c r="C369" s="12" t="str">
        <f t="shared" si="35"/>
        <v>Positive</v>
      </c>
      <c r="D369" s="18">
        <f t="shared" si="36"/>
        <v>1</v>
      </c>
      <c r="E369" s="1">
        <v>43871.46875</v>
      </c>
      <c r="F369" s="10">
        <f>INT(E369)</f>
        <v>43871</v>
      </c>
      <c r="G369" s="15">
        <f>MOD(E369,2)</f>
        <v>1.46875</v>
      </c>
      <c r="H369" s="15" t="str">
        <f t="shared" si="37"/>
        <v>11:15</v>
      </c>
      <c r="I369" t="s">
        <v>1228</v>
      </c>
      <c r="J369" t="s">
        <v>16</v>
      </c>
      <c r="K369" t="str">
        <f t="shared" si="38"/>
        <v>Twitter</v>
      </c>
      <c r="L369" t="s">
        <v>1229</v>
      </c>
      <c r="M369">
        <v>15</v>
      </c>
      <c r="N369">
        <v>30</v>
      </c>
      <c r="O369">
        <f t="shared" si="39"/>
        <v>45</v>
      </c>
      <c r="P369" t="s">
        <v>1153</v>
      </c>
      <c r="Q369" t="str">
        <f t="shared" si="40"/>
        <v>India</v>
      </c>
      <c r="R369">
        <v>2020</v>
      </c>
      <c r="S369">
        <v>2</v>
      </c>
      <c r="T369">
        <v>10</v>
      </c>
      <c r="U369">
        <v>11</v>
      </c>
      <c r="Y369" s="4">
        <f t="shared" si="41"/>
        <v>11</v>
      </c>
    </row>
    <row r="370" spans="1:25" ht="18" x14ac:dyDescent="0.25">
      <c r="A370" t="s">
        <v>1230</v>
      </c>
      <c r="B370" t="s">
        <v>402</v>
      </c>
      <c r="C370" s="12" t="str">
        <f t="shared" si="35"/>
        <v>Positive</v>
      </c>
      <c r="D370" s="18">
        <f t="shared" si="36"/>
        <v>1</v>
      </c>
      <c r="E370" s="1">
        <v>43365.6875</v>
      </c>
      <c r="F370" s="10">
        <f>INT(E370)</f>
        <v>43365</v>
      </c>
      <c r="G370" s="15">
        <f>MOD(E370,2)</f>
        <v>1.6875</v>
      </c>
      <c r="H370" s="15" t="str">
        <f t="shared" si="37"/>
        <v>16:30</v>
      </c>
      <c r="I370" t="s">
        <v>1231</v>
      </c>
      <c r="J370" t="s">
        <v>26</v>
      </c>
      <c r="K370" t="str">
        <f t="shared" si="38"/>
        <v>Instagram</v>
      </c>
      <c r="L370" t="s">
        <v>1232</v>
      </c>
      <c r="M370">
        <v>40</v>
      </c>
      <c r="N370">
        <v>80</v>
      </c>
      <c r="O370">
        <f t="shared" si="39"/>
        <v>120</v>
      </c>
      <c r="P370" t="s">
        <v>1091</v>
      </c>
      <c r="Q370" t="str">
        <f t="shared" si="40"/>
        <v>USA</v>
      </c>
      <c r="R370">
        <v>2018</v>
      </c>
      <c r="S370">
        <v>9</v>
      </c>
      <c r="T370">
        <v>22</v>
      </c>
      <c r="U370">
        <v>16</v>
      </c>
      <c r="Y370" s="4">
        <f t="shared" si="41"/>
        <v>16</v>
      </c>
    </row>
    <row r="371" spans="1:25" ht="18" x14ac:dyDescent="0.25">
      <c r="A371" t="s">
        <v>1233</v>
      </c>
      <c r="B371" t="s">
        <v>1234</v>
      </c>
      <c r="C371" s="12" t="str">
        <f t="shared" si="35"/>
        <v>Neutral</v>
      </c>
      <c r="D371" s="18">
        <f t="shared" si="36"/>
        <v>0</v>
      </c>
      <c r="E371" s="1">
        <v>42316.416666666664</v>
      </c>
      <c r="F371" s="10">
        <f>INT(E371)</f>
        <v>42316</v>
      </c>
      <c r="G371" s="15">
        <f>MOD(E371,2)</f>
        <v>0.41666666666424135</v>
      </c>
      <c r="H371" s="15" t="str">
        <f t="shared" si="37"/>
        <v>10:00</v>
      </c>
      <c r="I371" t="s">
        <v>1235</v>
      </c>
      <c r="J371" t="s">
        <v>31</v>
      </c>
      <c r="K371" t="str">
        <f t="shared" si="38"/>
        <v>Facebook</v>
      </c>
      <c r="L371" t="s">
        <v>1236</v>
      </c>
      <c r="M371">
        <v>18</v>
      </c>
      <c r="N371">
        <v>35</v>
      </c>
      <c r="O371">
        <f t="shared" si="39"/>
        <v>53</v>
      </c>
      <c r="P371" t="s">
        <v>1111</v>
      </c>
      <c r="Q371" t="str">
        <f t="shared" si="40"/>
        <v>Australia</v>
      </c>
      <c r="R371">
        <v>2015</v>
      </c>
      <c r="S371">
        <v>11</v>
      </c>
      <c r="T371">
        <v>8</v>
      </c>
      <c r="U371">
        <v>10</v>
      </c>
      <c r="Y371" s="4">
        <f t="shared" si="41"/>
        <v>10</v>
      </c>
    </row>
    <row r="372" spans="1:25" ht="18" x14ac:dyDescent="0.25">
      <c r="A372" t="s">
        <v>1237</v>
      </c>
      <c r="B372" t="s">
        <v>1238</v>
      </c>
      <c r="C372" s="12" t="str">
        <f t="shared" si="35"/>
        <v>Positive</v>
      </c>
      <c r="D372" s="18">
        <f t="shared" si="36"/>
        <v>1</v>
      </c>
      <c r="E372" s="1">
        <v>44783.916666666664</v>
      </c>
      <c r="F372" s="10">
        <f>INT(E372)</f>
        <v>44783</v>
      </c>
      <c r="G372" s="15">
        <f>MOD(E372,2)</f>
        <v>1.9166666666642413</v>
      </c>
      <c r="H372" s="15" t="str">
        <f t="shared" si="37"/>
        <v>22:00</v>
      </c>
      <c r="I372" t="s">
        <v>1239</v>
      </c>
      <c r="J372" t="s">
        <v>26</v>
      </c>
      <c r="K372" t="str">
        <f t="shared" si="38"/>
        <v>Instagram</v>
      </c>
      <c r="L372" t="s">
        <v>1240</v>
      </c>
      <c r="M372">
        <v>25</v>
      </c>
      <c r="N372">
        <v>50</v>
      </c>
      <c r="O372">
        <f t="shared" si="39"/>
        <v>75</v>
      </c>
      <c r="P372" t="s">
        <v>1241</v>
      </c>
      <c r="Q372" t="str">
        <f t="shared" si="40"/>
        <v>Brazil</v>
      </c>
      <c r="R372">
        <v>2022</v>
      </c>
      <c r="S372">
        <v>8</v>
      </c>
      <c r="T372">
        <v>10</v>
      </c>
      <c r="U372">
        <v>22</v>
      </c>
      <c r="Y372" s="4">
        <f t="shared" si="41"/>
        <v>22</v>
      </c>
    </row>
    <row r="373" spans="1:25" ht="18" x14ac:dyDescent="0.25">
      <c r="A373" t="s">
        <v>1242</v>
      </c>
      <c r="B373" t="s">
        <v>1243</v>
      </c>
      <c r="C373" s="12" t="str">
        <f t="shared" si="35"/>
        <v>Positive</v>
      </c>
      <c r="D373" s="18">
        <f t="shared" si="36"/>
        <v>1</v>
      </c>
      <c r="E373" s="1">
        <v>43560.729166666664</v>
      </c>
      <c r="F373" s="10">
        <f>INT(E373)</f>
        <v>43560</v>
      </c>
      <c r="G373" s="15">
        <f>MOD(E373,2)</f>
        <v>0.72916666666424135</v>
      </c>
      <c r="H373" s="15" t="str">
        <f t="shared" si="37"/>
        <v>17:30</v>
      </c>
      <c r="I373" t="s">
        <v>1244</v>
      </c>
      <c r="J373" t="s">
        <v>16</v>
      </c>
      <c r="K373" t="str">
        <f t="shared" si="38"/>
        <v>Twitter</v>
      </c>
      <c r="L373" t="s">
        <v>1245</v>
      </c>
      <c r="M373">
        <v>18</v>
      </c>
      <c r="N373">
        <v>35</v>
      </c>
      <c r="O373">
        <f t="shared" si="39"/>
        <v>53</v>
      </c>
      <c r="P373" t="s">
        <v>1246</v>
      </c>
      <c r="Q373" t="str">
        <f t="shared" si="40"/>
        <v>France</v>
      </c>
      <c r="R373">
        <v>2019</v>
      </c>
      <c r="S373">
        <v>4</v>
      </c>
      <c r="T373">
        <v>5</v>
      </c>
      <c r="U373">
        <v>17</v>
      </c>
      <c r="Y373" s="4">
        <f t="shared" si="41"/>
        <v>17</v>
      </c>
    </row>
    <row r="374" spans="1:25" ht="18" x14ac:dyDescent="0.25">
      <c r="A374" t="s">
        <v>1247</v>
      </c>
      <c r="B374" t="s">
        <v>1248</v>
      </c>
      <c r="C374" s="12" t="str">
        <f t="shared" si="35"/>
        <v>Positive</v>
      </c>
      <c r="D374" s="18">
        <f t="shared" si="36"/>
        <v>1</v>
      </c>
      <c r="E374" s="1">
        <v>44180.65625</v>
      </c>
      <c r="F374" s="10">
        <f>INT(E374)</f>
        <v>44180</v>
      </c>
      <c r="G374" s="15">
        <f>MOD(E374,2)</f>
        <v>0.65625</v>
      </c>
      <c r="H374" s="15" t="str">
        <f t="shared" si="37"/>
        <v>15:45</v>
      </c>
      <c r="I374" t="s">
        <v>1249</v>
      </c>
      <c r="J374" t="s">
        <v>31</v>
      </c>
      <c r="K374" t="str">
        <f t="shared" si="38"/>
        <v>Facebook</v>
      </c>
      <c r="L374" t="s">
        <v>1250</v>
      </c>
      <c r="M374">
        <v>22</v>
      </c>
      <c r="N374">
        <v>45</v>
      </c>
      <c r="O374">
        <f t="shared" si="39"/>
        <v>67</v>
      </c>
      <c r="P374" t="s">
        <v>1251</v>
      </c>
      <c r="Q374" t="str">
        <f t="shared" si="40"/>
        <v>Japan</v>
      </c>
      <c r="R374">
        <v>2020</v>
      </c>
      <c r="S374">
        <v>12</v>
      </c>
      <c r="T374">
        <v>15</v>
      </c>
      <c r="U374">
        <v>15</v>
      </c>
      <c r="Y374" s="4">
        <f t="shared" si="41"/>
        <v>15</v>
      </c>
    </row>
    <row r="375" spans="1:25" ht="18" x14ac:dyDescent="0.25">
      <c r="A375" t="s">
        <v>1252</v>
      </c>
      <c r="B375" t="s">
        <v>1253</v>
      </c>
      <c r="C375" s="12" t="str">
        <f t="shared" si="35"/>
        <v>Positive</v>
      </c>
      <c r="D375" s="18">
        <f t="shared" si="36"/>
        <v>1</v>
      </c>
      <c r="E375" s="1">
        <v>43028.34375</v>
      </c>
      <c r="F375" s="10">
        <f>INT(E375)</f>
        <v>43028</v>
      </c>
      <c r="G375" s="15">
        <f>MOD(E375,2)</f>
        <v>0.34375</v>
      </c>
      <c r="H375" s="15" t="str">
        <f t="shared" si="37"/>
        <v>08:15</v>
      </c>
      <c r="I375" t="s">
        <v>1254</v>
      </c>
      <c r="J375" t="s">
        <v>26</v>
      </c>
      <c r="K375" t="str">
        <f t="shared" si="38"/>
        <v>Instagram</v>
      </c>
      <c r="L375" t="s">
        <v>1255</v>
      </c>
      <c r="M375">
        <v>35</v>
      </c>
      <c r="N375">
        <v>70</v>
      </c>
      <c r="O375">
        <f t="shared" si="39"/>
        <v>105</v>
      </c>
      <c r="P375" t="s">
        <v>1256</v>
      </c>
      <c r="Q375" t="str">
        <f t="shared" si="40"/>
        <v>Canada</v>
      </c>
      <c r="R375">
        <v>2017</v>
      </c>
      <c r="S375">
        <v>10</v>
      </c>
      <c r="T375">
        <v>20</v>
      </c>
      <c r="U375">
        <v>8</v>
      </c>
      <c r="Y375" s="4">
        <f t="shared" si="41"/>
        <v>8</v>
      </c>
    </row>
    <row r="376" spans="1:25" ht="18" x14ac:dyDescent="0.25">
      <c r="A376" t="s">
        <v>1257</v>
      </c>
      <c r="B376" t="s">
        <v>1258</v>
      </c>
      <c r="C376" s="12" t="str">
        <f t="shared" si="35"/>
        <v>Neutral</v>
      </c>
      <c r="D376" s="18">
        <f t="shared" si="36"/>
        <v>0</v>
      </c>
      <c r="E376" s="1">
        <v>44255.541666666664</v>
      </c>
      <c r="F376" s="10">
        <f>INT(E376)</f>
        <v>44255</v>
      </c>
      <c r="G376" s="15">
        <f>MOD(E376,2)</f>
        <v>1.5416666666642413</v>
      </c>
      <c r="H376" s="15" t="str">
        <f t="shared" si="37"/>
        <v>13:00</v>
      </c>
      <c r="I376" t="s">
        <v>1259</v>
      </c>
      <c r="J376" t="s">
        <v>16</v>
      </c>
      <c r="K376" t="str">
        <f t="shared" si="38"/>
        <v>Twitter</v>
      </c>
      <c r="L376" t="s">
        <v>1260</v>
      </c>
      <c r="M376">
        <v>30</v>
      </c>
      <c r="N376">
        <v>60</v>
      </c>
      <c r="O376">
        <f t="shared" si="39"/>
        <v>90</v>
      </c>
      <c r="P376" t="s">
        <v>1261</v>
      </c>
      <c r="Q376" t="str">
        <f t="shared" si="40"/>
        <v>Australia</v>
      </c>
      <c r="R376">
        <v>2021</v>
      </c>
      <c r="S376">
        <v>2</v>
      </c>
      <c r="T376">
        <v>28</v>
      </c>
      <c r="U376">
        <v>13</v>
      </c>
      <c r="Y376" s="4">
        <f t="shared" si="41"/>
        <v>13</v>
      </c>
    </row>
    <row r="377" spans="1:25" ht="18" x14ac:dyDescent="0.25">
      <c r="A377" t="s">
        <v>1262</v>
      </c>
      <c r="B377" t="s">
        <v>1263</v>
      </c>
      <c r="C377" s="12" t="str">
        <f t="shared" si="35"/>
        <v>Positive</v>
      </c>
      <c r="D377" s="18">
        <f t="shared" si="36"/>
        <v>1</v>
      </c>
      <c r="E377" s="1">
        <v>43263.854166666664</v>
      </c>
      <c r="F377" s="10">
        <f>INT(E377)</f>
        <v>43263</v>
      </c>
      <c r="G377" s="15">
        <f>MOD(E377,2)</f>
        <v>1.8541666666642413</v>
      </c>
      <c r="H377" s="15" t="str">
        <f t="shared" si="37"/>
        <v>20:30</v>
      </c>
      <c r="I377" t="s">
        <v>1264</v>
      </c>
      <c r="J377" t="s">
        <v>31</v>
      </c>
      <c r="K377" t="str">
        <f t="shared" si="38"/>
        <v>Facebook</v>
      </c>
      <c r="L377" t="s">
        <v>1265</v>
      </c>
      <c r="M377">
        <v>28</v>
      </c>
      <c r="N377">
        <v>55</v>
      </c>
      <c r="O377">
        <f t="shared" si="39"/>
        <v>83</v>
      </c>
      <c r="P377" t="s">
        <v>1266</v>
      </c>
      <c r="Q377" t="str">
        <f t="shared" si="40"/>
        <v>UK</v>
      </c>
      <c r="R377">
        <v>2018</v>
      </c>
      <c r="S377">
        <v>6</v>
      </c>
      <c r="T377">
        <v>12</v>
      </c>
      <c r="U377">
        <v>20</v>
      </c>
      <c r="Y377" s="4">
        <f t="shared" si="41"/>
        <v>20</v>
      </c>
    </row>
    <row r="378" spans="1:25" ht="18" x14ac:dyDescent="0.25">
      <c r="A378" t="s">
        <v>1267</v>
      </c>
      <c r="B378" t="s">
        <v>1268</v>
      </c>
      <c r="C378" s="12" t="str">
        <f t="shared" si="35"/>
        <v>Positive</v>
      </c>
      <c r="D378" s="18">
        <f t="shared" si="36"/>
        <v>1</v>
      </c>
      <c r="E378" s="1">
        <v>42437.597222222219</v>
      </c>
      <c r="F378" s="10">
        <f>INT(E378)</f>
        <v>42437</v>
      </c>
      <c r="G378" s="15">
        <f>MOD(E378,2)</f>
        <v>1.5972222222189885</v>
      </c>
      <c r="H378" s="15" t="str">
        <f t="shared" si="37"/>
        <v>14:20</v>
      </c>
      <c r="I378" t="s">
        <v>1269</v>
      </c>
      <c r="J378" t="s">
        <v>26</v>
      </c>
      <c r="K378" t="str">
        <f t="shared" si="38"/>
        <v>Instagram</v>
      </c>
      <c r="L378" t="s">
        <v>1270</v>
      </c>
      <c r="M378">
        <v>20</v>
      </c>
      <c r="N378">
        <v>40</v>
      </c>
      <c r="O378">
        <f t="shared" si="39"/>
        <v>60</v>
      </c>
      <c r="P378" t="s">
        <v>1271</v>
      </c>
      <c r="Q378" t="str">
        <f t="shared" si="40"/>
        <v>USA</v>
      </c>
      <c r="R378">
        <v>2016</v>
      </c>
      <c r="S378">
        <v>3</v>
      </c>
      <c r="T378">
        <v>8</v>
      </c>
      <c r="U378">
        <v>14</v>
      </c>
      <c r="Y378" s="4">
        <f t="shared" si="41"/>
        <v>14</v>
      </c>
    </row>
    <row r="379" spans="1:25" ht="18" x14ac:dyDescent="0.25">
      <c r="A379" t="s">
        <v>1272</v>
      </c>
      <c r="B379" t="s">
        <v>1273</v>
      </c>
      <c r="C379" s="12" t="str">
        <f t="shared" si="35"/>
        <v>Neutral</v>
      </c>
      <c r="D379" s="18">
        <f t="shared" si="36"/>
        <v>0</v>
      </c>
      <c r="E379" s="1">
        <v>45034.715277777781</v>
      </c>
      <c r="F379" s="10">
        <f>INT(E379)</f>
        <v>45034</v>
      </c>
      <c r="G379" s="15">
        <f>MOD(E379,2)</f>
        <v>0.71527777778101154</v>
      </c>
      <c r="H379" s="15" t="str">
        <f t="shared" si="37"/>
        <v>17:10</v>
      </c>
      <c r="I379" t="s">
        <v>1274</v>
      </c>
      <c r="J379" t="s">
        <v>16</v>
      </c>
      <c r="K379" t="str">
        <f t="shared" si="38"/>
        <v>Twitter</v>
      </c>
      <c r="L379" t="s">
        <v>1275</v>
      </c>
      <c r="M379">
        <v>18</v>
      </c>
      <c r="N379">
        <v>35</v>
      </c>
      <c r="O379">
        <f t="shared" si="39"/>
        <v>53</v>
      </c>
      <c r="P379" t="s">
        <v>1276</v>
      </c>
      <c r="Q379" t="str">
        <f t="shared" si="40"/>
        <v>Greece</v>
      </c>
      <c r="R379">
        <v>2023</v>
      </c>
      <c r="S379">
        <v>4</v>
      </c>
      <c r="T379">
        <v>18</v>
      </c>
      <c r="U379">
        <v>17</v>
      </c>
      <c r="Y379" s="4">
        <f t="shared" si="41"/>
        <v>17</v>
      </c>
    </row>
    <row r="380" spans="1:25" ht="18" x14ac:dyDescent="0.25">
      <c r="A380" t="s">
        <v>1277</v>
      </c>
      <c r="B380" t="s">
        <v>1278</v>
      </c>
      <c r="C380" s="12" t="str">
        <f t="shared" si="35"/>
        <v>Positive</v>
      </c>
      <c r="D380" s="18">
        <f t="shared" si="36"/>
        <v>1</v>
      </c>
      <c r="E380" s="1">
        <v>44037.53125</v>
      </c>
      <c r="F380" s="10">
        <f>INT(E380)</f>
        <v>44037</v>
      </c>
      <c r="G380" s="15">
        <f>MOD(E380,2)</f>
        <v>1.53125</v>
      </c>
      <c r="H380" s="15" t="str">
        <f t="shared" si="37"/>
        <v>12:45</v>
      </c>
      <c r="I380" t="s">
        <v>1279</v>
      </c>
      <c r="J380" t="s">
        <v>31</v>
      </c>
      <c r="K380" t="str">
        <f t="shared" si="38"/>
        <v>Facebook</v>
      </c>
      <c r="L380" t="s">
        <v>1280</v>
      </c>
      <c r="M380">
        <v>22</v>
      </c>
      <c r="N380">
        <v>45</v>
      </c>
      <c r="O380">
        <f t="shared" si="39"/>
        <v>67</v>
      </c>
      <c r="P380" t="s">
        <v>1281</v>
      </c>
      <c r="Q380" t="str">
        <f t="shared" si="40"/>
        <v>Germany</v>
      </c>
      <c r="R380">
        <v>2020</v>
      </c>
      <c r="S380">
        <v>7</v>
      </c>
      <c r="T380">
        <v>25</v>
      </c>
      <c r="U380">
        <v>12</v>
      </c>
      <c r="Y380" s="4">
        <f t="shared" si="41"/>
        <v>12</v>
      </c>
    </row>
    <row r="381" spans="1:25" ht="18" x14ac:dyDescent="0.25">
      <c r="A381" t="s">
        <v>1282</v>
      </c>
      <c r="B381" t="s">
        <v>1283</v>
      </c>
      <c r="C381" s="12" t="str">
        <f t="shared" si="35"/>
        <v>Positive</v>
      </c>
      <c r="D381" s="18">
        <f t="shared" si="36"/>
        <v>1</v>
      </c>
      <c r="E381" s="1">
        <v>43799.8125</v>
      </c>
      <c r="F381" s="10">
        <f>INT(E381)</f>
        <v>43799</v>
      </c>
      <c r="G381" s="15">
        <f>MOD(E381,2)</f>
        <v>1.8125</v>
      </c>
      <c r="H381" s="15" t="str">
        <f t="shared" si="37"/>
        <v>19:30</v>
      </c>
      <c r="I381" t="s">
        <v>1284</v>
      </c>
      <c r="J381" t="s">
        <v>26</v>
      </c>
      <c r="K381" t="str">
        <f t="shared" si="38"/>
        <v>Instagram</v>
      </c>
      <c r="L381" t="s">
        <v>1285</v>
      </c>
      <c r="M381">
        <v>35</v>
      </c>
      <c r="N381">
        <v>70</v>
      </c>
      <c r="O381">
        <f t="shared" si="39"/>
        <v>105</v>
      </c>
      <c r="P381" t="s">
        <v>1286</v>
      </c>
      <c r="Q381" t="str">
        <f t="shared" si="40"/>
        <v>Sweden</v>
      </c>
      <c r="R381">
        <v>2019</v>
      </c>
      <c r="S381">
        <v>11</v>
      </c>
      <c r="T381">
        <v>30</v>
      </c>
      <c r="U381">
        <v>19</v>
      </c>
      <c r="Y381" s="4">
        <f t="shared" si="41"/>
        <v>19</v>
      </c>
    </row>
    <row r="382" spans="1:25" ht="18" x14ac:dyDescent="0.25">
      <c r="A382" t="s">
        <v>1287</v>
      </c>
      <c r="B382" t="s">
        <v>1288</v>
      </c>
      <c r="C382" s="12" t="str">
        <f t="shared" si="35"/>
        <v>Positive</v>
      </c>
      <c r="D382" s="18">
        <f t="shared" si="36"/>
        <v>1</v>
      </c>
      <c r="E382" s="1">
        <v>42248.666666666664</v>
      </c>
      <c r="F382" s="10">
        <f>INT(E382)</f>
        <v>42248</v>
      </c>
      <c r="G382" s="15">
        <f>MOD(E382,2)</f>
        <v>0.66666666666424135</v>
      </c>
      <c r="H382" s="15" t="str">
        <f t="shared" si="37"/>
        <v>16:00</v>
      </c>
      <c r="I382" t="s">
        <v>1289</v>
      </c>
      <c r="J382" t="s">
        <v>16</v>
      </c>
      <c r="K382" t="str">
        <f t="shared" si="38"/>
        <v>Twitter</v>
      </c>
      <c r="L382" t="s">
        <v>1290</v>
      </c>
      <c r="M382">
        <v>15</v>
      </c>
      <c r="N382">
        <v>30</v>
      </c>
      <c r="O382">
        <f t="shared" si="39"/>
        <v>45</v>
      </c>
      <c r="P382" t="s">
        <v>1291</v>
      </c>
      <c r="Q382" t="str">
        <f t="shared" si="40"/>
        <v>Italy</v>
      </c>
      <c r="R382">
        <v>2015</v>
      </c>
      <c r="S382">
        <v>9</v>
      </c>
      <c r="T382">
        <v>1</v>
      </c>
      <c r="U382">
        <v>16</v>
      </c>
      <c r="Y382" s="4">
        <f t="shared" si="41"/>
        <v>16</v>
      </c>
    </row>
    <row r="383" spans="1:25" ht="18" x14ac:dyDescent="0.25">
      <c r="A383" t="s">
        <v>1292</v>
      </c>
      <c r="B383" t="s">
        <v>1293</v>
      </c>
      <c r="C383" s="12" t="str">
        <f t="shared" si="35"/>
        <v>Positive</v>
      </c>
      <c r="D383" s="18">
        <f t="shared" si="36"/>
        <v>1</v>
      </c>
      <c r="E383" s="1">
        <v>44686.427083333336</v>
      </c>
      <c r="F383" s="10">
        <f>INT(E383)</f>
        <v>44686</v>
      </c>
      <c r="G383" s="15">
        <f>MOD(E383,2)</f>
        <v>0.42708333333575865</v>
      </c>
      <c r="H383" s="15" t="str">
        <f t="shared" si="37"/>
        <v>10:15</v>
      </c>
      <c r="I383" t="s">
        <v>1294</v>
      </c>
      <c r="J383" t="s">
        <v>31</v>
      </c>
      <c r="K383" t="str">
        <f t="shared" si="38"/>
        <v>Facebook</v>
      </c>
      <c r="L383" t="s">
        <v>1295</v>
      </c>
      <c r="M383">
        <v>25</v>
      </c>
      <c r="N383">
        <v>50</v>
      </c>
      <c r="O383">
        <f t="shared" si="39"/>
        <v>75</v>
      </c>
      <c r="P383" t="s">
        <v>1296</v>
      </c>
      <c r="Q383" t="str">
        <f t="shared" si="40"/>
        <v>Netherlands</v>
      </c>
      <c r="R383">
        <v>2022</v>
      </c>
      <c r="S383">
        <v>5</v>
      </c>
      <c r="T383">
        <v>5</v>
      </c>
      <c r="U383">
        <v>10</v>
      </c>
      <c r="Y383" s="4">
        <f t="shared" si="41"/>
        <v>10</v>
      </c>
    </row>
    <row r="384" spans="1:25" ht="18" x14ac:dyDescent="0.25">
      <c r="A384" t="s">
        <v>1297</v>
      </c>
      <c r="B384" t="s">
        <v>1298</v>
      </c>
      <c r="C384" s="12" t="str">
        <f t="shared" si="35"/>
        <v>Positive</v>
      </c>
      <c r="D384" s="18">
        <f t="shared" si="36"/>
        <v>1</v>
      </c>
      <c r="E384" s="1">
        <v>43289.958333333336</v>
      </c>
      <c r="F384" s="10">
        <f>INT(E384)</f>
        <v>43289</v>
      </c>
      <c r="G384" s="15">
        <f>MOD(E384,2)</f>
        <v>1.9583333333357587</v>
      </c>
      <c r="H384" s="15" t="str">
        <f t="shared" si="37"/>
        <v>23:00</v>
      </c>
      <c r="I384" t="s">
        <v>1299</v>
      </c>
      <c r="J384" t="s">
        <v>26</v>
      </c>
      <c r="K384" t="str">
        <f t="shared" si="38"/>
        <v>Instagram</v>
      </c>
      <c r="L384" t="s">
        <v>1300</v>
      </c>
      <c r="M384">
        <v>40</v>
      </c>
      <c r="N384">
        <v>80</v>
      </c>
      <c r="O384">
        <f t="shared" si="39"/>
        <v>120</v>
      </c>
      <c r="P384" t="s">
        <v>1301</v>
      </c>
      <c r="Q384" t="str">
        <f t="shared" si="40"/>
        <v>South Africa</v>
      </c>
      <c r="R384">
        <v>2018</v>
      </c>
      <c r="S384">
        <v>7</v>
      </c>
      <c r="T384">
        <v>8</v>
      </c>
      <c r="U384">
        <v>23</v>
      </c>
      <c r="Y384" s="4">
        <f t="shared" si="41"/>
        <v>23</v>
      </c>
    </row>
    <row r="385" spans="1:25" ht="18" x14ac:dyDescent="0.25">
      <c r="A385" t="s">
        <v>1302</v>
      </c>
      <c r="B385" t="s">
        <v>1303</v>
      </c>
      <c r="C385" s="12" t="str">
        <f t="shared" si="35"/>
        <v>Positive</v>
      </c>
      <c r="D385" s="18">
        <f t="shared" si="36"/>
        <v>1</v>
      </c>
      <c r="E385" s="1">
        <v>44459.604166666664</v>
      </c>
      <c r="F385" s="10">
        <f>INT(E385)</f>
        <v>44459</v>
      </c>
      <c r="G385" s="15">
        <f>MOD(E385,2)</f>
        <v>1.6041666666642413</v>
      </c>
      <c r="H385" s="15" t="str">
        <f t="shared" si="37"/>
        <v>14:30</v>
      </c>
      <c r="I385" t="s">
        <v>1304</v>
      </c>
      <c r="J385" t="s">
        <v>16</v>
      </c>
      <c r="K385" t="str">
        <f t="shared" si="38"/>
        <v>Twitter</v>
      </c>
      <c r="L385" t="s">
        <v>1305</v>
      </c>
      <c r="M385">
        <v>18</v>
      </c>
      <c r="N385">
        <v>35</v>
      </c>
      <c r="O385">
        <f t="shared" si="39"/>
        <v>53</v>
      </c>
      <c r="P385" t="s">
        <v>1306</v>
      </c>
      <c r="Q385" t="str">
        <f t="shared" si="40"/>
        <v>Spain</v>
      </c>
      <c r="R385">
        <v>2021</v>
      </c>
      <c r="S385">
        <v>9</v>
      </c>
      <c r="T385">
        <v>20</v>
      </c>
      <c r="U385">
        <v>14</v>
      </c>
      <c r="Y385" s="4">
        <f t="shared" si="41"/>
        <v>14</v>
      </c>
    </row>
    <row r="386" spans="1:25" ht="18" x14ac:dyDescent="0.25">
      <c r="A386" t="s">
        <v>1307</v>
      </c>
      <c r="B386" t="s">
        <v>1308</v>
      </c>
      <c r="C386" s="12" t="str">
        <f t="shared" si="35"/>
        <v>Positive</v>
      </c>
      <c r="D386" s="18">
        <f t="shared" si="36"/>
        <v>1</v>
      </c>
      <c r="E386" s="1">
        <v>42689.489583333336</v>
      </c>
      <c r="F386" s="10">
        <f>INT(E386)</f>
        <v>42689</v>
      </c>
      <c r="G386" s="15">
        <f>MOD(E386,2)</f>
        <v>1.4895833333357587</v>
      </c>
      <c r="H386" s="15" t="str">
        <f t="shared" si="37"/>
        <v>11:45</v>
      </c>
      <c r="I386" t="s">
        <v>1309</v>
      </c>
      <c r="J386" t="s">
        <v>31</v>
      </c>
      <c r="K386" t="str">
        <f t="shared" si="38"/>
        <v>Facebook</v>
      </c>
      <c r="L386" t="s">
        <v>1310</v>
      </c>
      <c r="M386">
        <v>28</v>
      </c>
      <c r="N386">
        <v>55</v>
      </c>
      <c r="O386">
        <f t="shared" si="39"/>
        <v>83</v>
      </c>
      <c r="P386" t="s">
        <v>1311</v>
      </c>
      <c r="Q386" t="str">
        <f t="shared" si="40"/>
        <v>Portugal</v>
      </c>
      <c r="R386">
        <v>2016</v>
      </c>
      <c r="S386">
        <v>11</v>
      </c>
      <c r="T386">
        <v>15</v>
      </c>
      <c r="U386">
        <v>11</v>
      </c>
      <c r="Y386" s="4">
        <f t="shared" si="41"/>
        <v>11</v>
      </c>
    </row>
    <row r="387" spans="1:25" ht="18" x14ac:dyDescent="0.25">
      <c r="A387" t="s">
        <v>1312</v>
      </c>
      <c r="B387" t="s">
        <v>1313</v>
      </c>
      <c r="C387" s="12" t="str">
        <f t="shared" ref="C387:C450" si="42">IF(OR(ISNUMBER(SEARCH("happ",B387)),ISNUMBER(SEARCH("joy",B387)),ISNUMBER(SEARCH("love",B387)),ISNUMBER(SEARCH("amuse",B387)),ISNUMBER(SEARCH("enjoy",B387)),ISNUMBER(SEARCH("admire",B387)),ISNUMBER(SEARCH("affection",B387)),ISNUMBER(SEARCH("awe",B387)),ISNUMBER(SEARCH("accept",B387)),ISNUMBER(SEARCH("ador",B387)),ISNUMBER(SEARCH("calm",B387)),ISNUMBER(SEARCH("excit",B387)),ISNUMBER(SEARCH("kind",B387)),ISNUMBER(SEARCH("pride",B387)),ISNUMBER(SEARCH("elat",B387)),ISNUMBER(SEARCH("euphor",B387)),ISNUMBER(SEARCH("content",B387)),ISNUMBER(SEARCH("seren",B387)),ISNUMBER(SEARCH("grat",B387)),ISNUMBER(SEARCH("hope",B387)),ISNUMBER(SEARCH("empower",B387)),ISNUMBER(SEARCH("compass",B387)),ISNUMBER(SEARCH("tender",B387)),ISNUMBER(SEARCH("enthus",B387)),ISNUMBER(SEARCH("fulfill",B387)),ISNUMBER(SEARCH("rever",B387)),ISNUMBER(SEARCH("zest",B387)),ISNUMBER(SEARCH("play",B387)),ISNUMBER(SEARCH("inspir",B387)),ISNUMBER(SEARCH("confid",B387)),ISNUMBER(SEARCH("determin",B387)),ISNUMBER(SEARCH("thrill",B387)),ISNUMBER(SEARCH("overjoy",B387)),ISNUMBER(SEARCH("motiv",B387)),ISNUMBER(SEARCH("satisf",B387)),ISNUMBER(SEARCH("bless",B387)),ISNUMBER(SEARCH("appreci",B387)),ISNUMBER(SEARCH("accomplish",B387)),ISNUMBER(SEARCH("wonder",B387)),ISNUMBER(SEARCH("optim",B387)),ISNUMBER(SEARCH("enchant",B387)),ISNUMBER(SEARCH("intrigu",B387)),ISNUMBER(SEARCH("mindful",B387)),ISNUMBER(SEARCH("eleg",B387)),ISNUMBER(SEARCH("whims",B387)),ISNUMBER(SEARCH("harmon",B387)),ISNUMBER(SEARCH("creativ",B387)),ISNUMBER(SEARCH("radian",B387)),ISNUMBER(SEARCH("rejuven",B387)),ISNUMBER(SEARCH("cozy",B387)),ISNUMBER(SEARCH("adventur",B387)),ISNUMBER(SEARCH("melod",B387)),ISNUMBER(SEARCH("festiv",B387)),ISNUMBER(SEARCH("free",B387)),ISNUMBER(SEARCH("dazzl",B387)),ISNUMBER(SEARCH("adrenal",B387)),ISNUMBER(SEARCH("artistic",B387)),ISNUMBER(SEARCH("resil",B387)),ISNUMBER(SEARCH("immers",B387)),ISNUMBER(SEARCH("spark",B387)),ISNUMBER(SEARCH("marvel",B387)),ISNUMBER(SEARCH("friend",B387)),ISNUMBER(SEARCH("success",B387)),ISNUMBER(SEARCH("explor",B387)),ISNUMBER(SEARCH("amaz",B387)),ISNUMBER(SEARCH("romanc",B387)),ISNUMBER(SEARCH("captiv",B387)),ISNUMBER(SEARCH("tranquil",B387)),ISNUMBER(SEARCH("grand",B387)),ISNUMBER(SEARCH("energ",B387)),ISNUMBER(SEARCH("celebr",B387)),ISNUMBER(SEARCH("charm",B387)),ISNUMBER(SEARCH("ecstasy",B387)),ISNUMBER(SEARCH("color",B387)),ISNUMBER(SEARCH("hypnot",B387)),ISNUMBER(SEARCH("connect",B387)),ISNUMBER(SEARCH("icon",B387)),ISNUMBER(SEARCH("engag",B387)),ISNUMBER(SEARCH("triumph",B387)),ISNUMBER(SEARCH("heartwarm",B387)),ISNUMBER(SEARCH("solac",B387)),ISNUMBER(SEARCH("breakthrough",B387)),ISNUMBER(SEARCH("imagin",B387)),ISNUMBER(SEARCH("vibran",B387)),ISNUMBER(SEARCH("mesmer",B387)),ISNUMBER(SEARCH("winter magic",B387)),ISNUMBER(SEARCH("nature",B387)),ISNUMBER(SEARCH("celestial",B387)),ISNUMBER(SEARCH("positive",B387)),ISNUMBER(SEARCH("arous",B387))),"Positive",IF(OR(ISNUMBER(SEARCH("anger",B387)),ISNUMBER(SEARCH("fear",B387)),ISNUMBER(SEARCH("sad",B387)),ISNUMBER(SEARCH("disgust",B387)),ISNUMBER(SEARCH("disappoint",B387)),ISNUMBER(SEARCH("bitter",B387)),ISNUMBER(SEARCH("shame",B387)),ISNUMBER(SEARCH("despair",B387)),ISNUMBER(SEARCH("grief",B387)),ISNUMBER(SEARCH("lonel",B387)),ISNUMBER(SEARCH("jealous",B387)),ISNUMBER(SEARCH("resent",B387)),ISNUMBER(SEARCH("frustrat",B387)),ISNUMBER(SEARCH("bored",B387)),ISNUMBER(SEARCH("anxi",B387)),ISNUMBER(SEARCH("intimid",B387)),ISNUMBER(SEARCH("helpless",B387)),ISNUMBER(SEARCH("envy",B387)),ISNUMBER(SEARCH("regret",B387)),ISNUMBER(SEARCH("melanchol",B387)),ISNUMBER(SEARCH("yearn",B387)),ISNUMBER(SEARCH("apprehens",B387)),ISNUMBER(SEARCH("overwhelm",B387)),ISNUMBER(SEARCH("devastat",B387)),ISNUMBER(SEARCH("dismiss",B387)),ISNUMBER(SEARCH("heartbreak",B387)),ISNUMBER(SEARCH("betray",B387)),ISNUMBER(SEARCH("suffer",B387)),ISNUMBER(SEARCH("isolat",B387)),ISNUMBER(SEARCH("lost",B387)),ISNUMBER(SEARCH("exhaust",B387)),ISNUMBER(SEARCH("sorrow",B387)),ISNUMBER(SEARCH("darkness",B387)),ISNUMBER(SEARCH("desperat",B387)),ISNUMBER(SEARCH("ruins",B387)),ISNUMBER(SEARCH("desolat",B387)),ISNUMBER(SEARCH("heartache",B387)),ISNUMBER(SEARCH("solitude",B387)),ISNUMBER(SEARCH("obstacle",B387)),ISNUMBER(SEARCH("pressure",B387)),ISNUMBER(SEARCH("miscalcul",B387)),ISNUMBER(SEARCH("challenge",B387)),ISNUMBER(SEARCH("embarrass",B387)),ISNUMBER(SEARCH("hate",B387)),ISNUMBER(SEARCH("bad",B387)),ISNUMBER(SEARCH("negative",B387))),"Negative","Neutral"))</f>
        <v>Neutral</v>
      </c>
      <c r="D387" s="18">
        <f t="shared" ref="D387:D450" si="43">IF(C387="Positive", 1, IF(C387="Negative", -1, 0))</f>
        <v>0</v>
      </c>
      <c r="E387" s="1">
        <v>43842.75</v>
      </c>
      <c r="F387" s="10">
        <f>INT(E387)</f>
        <v>43842</v>
      </c>
      <c r="G387" s="15">
        <f>MOD(E387,2)</f>
        <v>0.75</v>
      </c>
      <c r="H387" s="15" t="str">
        <f t="shared" ref="H387:H450" si="44">TEXT(G387, "hh:mm")</f>
        <v>18:00</v>
      </c>
      <c r="I387" t="s">
        <v>483</v>
      </c>
      <c r="J387" t="s">
        <v>26</v>
      </c>
      <c r="K387" t="str">
        <f t="shared" ref="K387:K450" si="45">TRIM(CLEAN(J387))</f>
        <v>Instagram</v>
      </c>
      <c r="L387" t="s">
        <v>1314</v>
      </c>
      <c r="M387">
        <v>30</v>
      </c>
      <c r="N387">
        <v>60</v>
      </c>
      <c r="O387">
        <f t="shared" ref="O387:O450" si="46">M387+N387</f>
        <v>90</v>
      </c>
      <c r="P387" t="s">
        <v>1315</v>
      </c>
      <c r="Q387" t="str">
        <f t="shared" ref="Q387:Q450" si="47">TRIM(CLEAN(P387))</f>
        <v>Switzerland</v>
      </c>
      <c r="R387">
        <v>2020</v>
      </c>
      <c r="S387">
        <v>1</v>
      </c>
      <c r="T387">
        <v>12</v>
      </c>
      <c r="U387">
        <v>18</v>
      </c>
      <c r="Y387" s="4">
        <f t="shared" ref="Y387:Y450" si="48">HOUR(H387)</f>
        <v>18</v>
      </c>
    </row>
    <row r="388" spans="1:25" ht="18" x14ac:dyDescent="0.25">
      <c r="A388" t="s">
        <v>1316</v>
      </c>
      <c r="B388" t="s">
        <v>1317</v>
      </c>
      <c r="C388" s="12" t="str">
        <f t="shared" si="42"/>
        <v>Positive</v>
      </c>
      <c r="D388" s="18">
        <f t="shared" si="43"/>
        <v>1</v>
      </c>
      <c r="E388" s="1">
        <v>43097.802083333336</v>
      </c>
      <c r="F388" s="10">
        <f>INT(E388)</f>
        <v>43097</v>
      </c>
      <c r="G388" s="15">
        <f>MOD(E388,2)</f>
        <v>1.8020833333357587</v>
      </c>
      <c r="H388" s="15" t="str">
        <f t="shared" si="44"/>
        <v>19:15</v>
      </c>
      <c r="I388" t="s">
        <v>1318</v>
      </c>
      <c r="J388" t="s">
        <v>31</v>
      </c>
      <c r="K388" t="str">
        <f t="shared" si="45"/>
        <v>Facebook</v>
      </c>
      <c r="L388" t="s">
        <v>1319</v>
      </c>
      <c r="M388">
        <v>22</v>
      </c>
      <c r="N388">
        <v>45</v>
      </c>
      <c r="O388">
        <f t="shared" si="46"/>
        <v>67</v>
      </c>
      <c r="P388" t="s">
        <v>1320</v>
      </c>
      <c r="Q388" t="str">
        <f t="shared" si="47"/>
        <v>Austria</v>
      </c>
      <c r="R388">
        <v>2017</v>
      </c>
      <c r="S388">
        <v>12</v>
      </c>
      <c r="T388">
        <v>28</v>
      </c>
      <c r="U388">
        <v>19</v>
      </c>
      <c r="Y388" s="4">
        <f t="shared" si="48"/>
        <v>19</v>
      </c>
    </row>
    <row r="389" spans="1:25" ht="18" x14ac:dyDescent="0.25">
      <c r="A389" t="s">
        <v>1321</v>
      </c>
      <c r="B389" t="s">
        <v>1322</v>
      </c>
      <c r="C389" s="12" t="str">
        <f t="shared" si="42"/>
        <v>Positive</v>
      </c>
      <c r="D389" s="18">
        <f t="shared" si="43"/>
        <v>1</v>
      </c>
      <c r="E389" s="1">
        <v>43526.847222222219</v>
      </c>
      <c r="F389" s="10">
        <f>INT(E389)</f>
        <v>43526</v>
      </c>
      <c r="G389" s="15">
        <f>MOD(E389,2)</f>
        <v>0.84722222221898846</v>
      </c>
      <c r="H389" s="15" t="str">
        <f t="shared" si="44"/>
        <v>20:20</v>
      </c>
      <c r="I389" t="s">
        <v>1323</v>
      </c>
      <c r="J389" t="s">
        <v>16</v>
      </c>
      <c r="K389" t="str">
        <f t="shared" si="45"/>
        <v>Twitter</v>
      </c>
      <c r="L389" t="s">
        <v>1324</v>
      </c>
      <c r="M389">
        <v>35</v>
      </c>
      <c r="N389">
        <v>70</v>
      </c>
      <c r="O389">
        <f t="shared" si="46"/>
        <v>105</v>
      </c>
      <c r="P389" t="s">
        <v>1325</v>
      </c>
      <c r="Q389" t="str">
        <f t="shared" si="47"/>
        <v>Belgium</v>
      </c>
      <c r="R389">
        <v>2019</v>
      </c>
      <c r="S389">
        <v>3</v>
      </c>
      <c r="T389">
        <v>2</v>
      </c>
      <c r="U389">
        <v>20</v>
      </c>
      <c r="Y389" s="4">
        <f t="shared" si="48"/>
        <v>20</v>
      </c>
    </row>
    <row r="390" spans="1:25" ht="18" x14ac:dyDescent="0.25">
      <c r="A390" t="s">
        <v>1326</v>
      </c>
      <c r="B390" t="s">
        <v>1327</v>
      </c>
      <c r="C390" s="12" t="str">
        <f t="shared" si="42"/>
        <v>Positive</v>
      </c>
      <c r="D390" s="18">
        <f t="shared" si="43"/>
        <v>1</v>
      </c>
      <c r="E390" s="1">
        <v>44720.645833333336</v>
      </c>
      <c r="F390" s="10">
        <f>INT(E390)</f>
        <v>44720</v>
      </c>
      <c r="G390" s="15">
        <f>MOD(E390,2)</f>
        <v>0.64583333333575865</v>
      </c>
      <c r="H390" s="15" t="str">
        <f t="shared" si="44"/>
        <v>15:30</v>
      </c>
      <c r="I390" t="s">
        <v>1328</v>
      </c>
      <c r="J390" t="s">
        <v>26</v>
      </c>
      <c r="K390" t="str">
        <f t="shared" si="45"/>
        <v>Instagram</v>
      </c>
      <c r="L390" t="s">
        <v>1329</v>
      </c>
      <c r="M390">
        <v>20</v>
      </c>
      <c r="N390">
        <v>40</v>
      </c>
      <c r="O390">
        <f t="shared" si="46"/>
        <v>60</v>
      </c>
      <c r="P390" t="s">
        <v>1330</v>
      </c>
      <c r="Q390" t="str">
        <f t="shared" si="47"/>
        <v>Denmark</v>
      </c>
      <c r="R390">
        <v>2022</v>
      </c>
      <c r="S390">
        <v>6</v>
      </c>
      <c r="T390">
        <v>8</v>
      </c>
      <c r="U390">
        <v>15</v>
      </c>
      <c r="Y390" s="4">
        <f t="shared" si="48"/>
        <v>15</v>
      </c>
    </row>
    <row r="391" spans="1:25" ht="18" x14ac:dyDescent="0.25">
      <c r="A391" t="s">
        <v>1331</v>
      </c>
      <c r="B391" t="s">
        <v>1332</v>
      </c>
      <c r="C391" s="12" t="str">
        <f t="shared" si="42"/>
        <v>Positive</v>
      </c>
      <c r="D391" s="18">
        <f t="shared" si="43"/>
        <v>1</v>
      </c>
      <c r="E391" s="1">
        <v>43330.614583333336</v>
      </c>
      <c r="F391" s="10">
        <f>INT(E391)</f>
        <v>43330</v>
      </c>
      <c r="G391" s="15">
        <f>MOD(E391,2)</f>
        <v>0.61458333333575865</v>
      </c>
      <c r="H391" s="15" t="str">
        <f t="shared" si="44"/>
        <v>14:45</v>
      </c>
      <c r="I391" t="s">
        <v>1333</v>
      </c>
      <c r="J391" t="s">
        <v>31</v>
      </c>
      <c r="K391" t="str">
        <f t="shared" si="45"/>
        <v>Facebook</v>
      </c>
      <c r="L391" t="s">
        <v>1334</v>
      </c>
      <c r="M391">
        <v>18</v>
      </c>
      <c r="N391">
        <v>35</v>
      </c>
      <c r="O391">
        <f t="shared" si="46"/>
        <v>53</v>
      </c>
      <c r="P391" t="s">
        <v>1335</v>
      </c>
      <c r="Q391" t="str">
        <f t="shared" si="47"/>
        <v>Czech Republic</v>
      </c>
      <c r="R391">
        <v>2018</v>
      </c>
      <c r="S391">
        <v>8</v>
      </c>
      <c r="T391">
        <v>18</v>
      </c>
      <c r="U391">
        <v>14</v>
      </c>
      <c r="Y391" s="4">
        <f t="shared" si="48"/>
        <v>14</v>
      </c>
    </row>
    <row r="392" spans="1:25" ht="18" x14ac:dyDescent="0.25">
      <c r="A392" t="s">
        <v>1336</v>
      </c>
      <c r="B392" t="s">
        <v>1238</v>
      </c>
      <c r="C392" s="12" t="str">
        <f t="shared" si="42"/>
        <v>Positive</v>
      </c>
      <c r="D392" s="18">
        <f t="shared" si="43"/>
        <v>1</v>
      </c>
      <c r="E392" s="1">
        <v>44783.916666666664</v>
      </c>
      <c r="F392" s="10">
        <f>INT(E392)</f>
        <v>44783</v>
      </c>
      <c r="G392" s="15">
        <f>MOD(E392,2)</f>
        <v>1.9166666666642413</v>
      </c>
      <c r="H392" s="15" t="str">
        <f t="shared" si="44"/>
        <v>22:00</v>
      </c>
      <c r="I392" t="s">
        <v>1239</v>
      </c>
      <c r="J392" t="s">
        <v>26</v>
      </c>
      <c r="K392" t="str">
        <f t="shared" si="45"/>
        <v>Instagram</v>
      </c>
      <c r="L392" t="s">
        <v>1337</v>
      </c>
      <c r="M392">
        <v>25</v>
      </c>
      <c r="N392">
        <v>50</v>
      </c>
      <c r="O392">
        <f t="shared" si="46"/>
        <v>75</v>
      </c>
      <c r="P392" t="s">
        <v>1241</v>
      </c>
      <c r="Q392" t="str">
        <f t="shared" si="47"/>
        <v>Brazil</v>
      </c>
      <c r="R392">
        <v>2022</v>
      </c>
      <c r="S392">
        <v>8</v>
      </c>
      <c r="T392">
        <v>10</v>
      </c>
      <c r="U392">
        <v>22</v>
      </c>
      <c r="Y392" s="4">
        <f t="shared" si="48"/>
        <v>22</v>
      </c>
    </row>
    <row r="393" spans="1:25" ht="18" x14ac:dyDescent="0.25">
      <c r="A393" t="s">
        <v>1338</v>
      </c>
      <c r="B393" t="s">
        <v>1339</v>
      </c>
      <c r="C393" s="12" t="str">
        <f t="shared" si="42"/>
        <v>Positive</v>
      </c>
      <c r="D393" s="18">
        <f t="shared" si="43"/>
        <v>1</v>
      </c>
      <c r="E393" s="1">
        <v>43560.729166666664</v>
      </c>
      <c r="F393" s="10">
        <f>INT(E393)</f>
        <v>43560</v>
      </c>
      <c r="G393" s="15">
        <f>MOD(E393,2)</f>
        <v>0.72916666666424135</v>
      </c>
      <c r="H393" s="15" t="str">
        <f t="shared" si="44"/>
        <v>17:30</v>
      </c>
      <c r="I393" t="s">
        <v>1340</v>
      </c>
      <c r="J393" t="s">
        <v>16</v>
      </c>
      <c r="K393" t="str">
        <f t="shared" si="45"/>
        <v>Twitter</v>
      </c>
      <c r="L393" t="s">
        <v>1341</v>
      </c>
      <c r="M393">
        <v>18</v>
      </c>
      <c r="N393">
        <v>35</v>
      </c>
      <c r="O393">
        <f t="shared" si="46"/>
        <v>53</v>
      </c>
      <c r="P393" t="s">
        <v>1246</v>
      </c>
      <c r="Q393" t="str">
        <f t="shared" si="47"/>
        <v>France</v>
      </c>
      <c r="R393">
        <v>2019</v>
      </c>
      <c r="S393">
        <v>4</v>
      </c>
      <c r="T393">
        <v>5</v>
      </c>
      <c r="U393">
        <v>17</v>
      </c>
      <c r="Y393" s="4">
        <f t="shared" si="48"/>
        <v>17</v>
      </c>
    </row>
    <row r="394" spans="1:25" ht="18" x14ac:dyDescent="0.25">
      <c r="A394" t="s">
        <v>1342</v>
      </c>
      <c r="B394" t="s">
        <v>1343</v>
      </c>
      <c r="C394" s="12" t="str">
        <f t="shared" si="42"/>
        <v>Positive</v>
      </c>
      <c r="D394" s="18">
        <f t="shared" si="43"/>
        <v>1</v>
      </c>
      <c r="E394" s="1">
        <v>44180.65625</v>
      </c>
      <c r="F394" s="10">
        <f>INT(E394)</f>
        <v>44180</v>
      </c>
      <c r="G394" s="15">
        <f>MOD(E394,2)</f>
        <v>0.65625</v>
      </c>
      <c r="H394" s="15" t="str">
        <f t="shared" si="44"/>
        <v>15:45</v>
      </c>
      <c r="I394" t="s">
        <v>1344</v>
      </c>
      <c r="J394" t="s">
        <v>31</v>
      </c>
      <c r="K394" t="str">
        <f t="shared" si="45"/>
        <v>Facebook</v>
      </c>
      <c r="L394" t="s">
        <v>1345</v>
      </c>
      <c r="M394">
        <v>22</v>
      </c>
      <c r="N394">
        <v>45</v>
      </c>
      <c r="O394">
        <f t="shared" si="46"/>
        <v>67</v>
      </c>
      <c r="P394" t="s">
        <v>1251</v>
      </c>
      <c r="Q394" t="str">
        <f t="shared" si="47"/>
        <v>Japan</v>
      </c>
      <c r="R394">
        <v>2020</v>
      </c>
      <c r="S394">
        <v>12</v>
      </c>
      <c r="T394">
        <v>15</v>
      </c>
      <c r="U394">
        <v>15</v>
      </c>
      <c r="Y394" s="4">
        <f t="shared" si="48"/>
        <v>15</v>
      </c>
    </row>
    <row r="395" spans="1:25" ht="18" x14ac:dyDescent="0.25">
      <c r="A395" t="s">
        <v>1346</v>
      </c>
      <c r="B395" t="s">
        <v>1347</v>
      </c>
      <c r="C395" s="12" t="str">
        <f t="shared" si="42"/>
        <v>Neutral</v>
      </c>
      <c r="D395" s="18">
        <f t="shared" si="43"/>
        <v>0</v>
      </c>
      <c r="E395" s="1">
        <v>43028.34375</v>
      </c>
      <c r="F395" s="10">
        <f>INT(E395)</f>
        <v>43028</v>
      </c>
      <c r="G395" s="15">
        <f>MOD(E395,2)</f>
        <v>0.34375</v>
      </c>
      <c r="H395" s="15" t="str">
        <f t="shared" si="44"/>
        <v>08:15</v>
      </c>
      <c r="I395" t="s">
        <v>1348</v>
      </c>
      <c r="J395" t="s">
        <v>26</v>
      </c>
      <c r="K395" t="str">
        <f t="shared" si="45"/>
        <v>Instagram</v>
      </c>
      <c r="L395" t="s">
        <v>1349</v>
      </c>
      <c r="M395">
        <v>35</v>
      </c>
      <c r="N395">
        <v>70</v>
      </c>
      <c r="O395">
        <f t="shared" si="46"/>
        <v>105</v>
      </c>
      <c r="P395" t="s">
        <v>1256</v>
      </c>
      <c r="Q395" t="str">
        <f t="shared" si="47"/>
        <v>Canada</v>
      </c>
      <c r="R395">
        <v>2017</v>
      </c>
      <c r="S395">
        <v>10</v>
      </c>
      <c r="T395">
        <v>20</v>
      </c>
      <c r="U395">
        <v>8</v>
      </c>
      <c r="Y395" s="4">
        <f t="shared" si="48"/>
        <v>8</v>
      </c>
    </row>
    <row r="396" spans="1:25" ht="18" x14ac:dyDescent="0.25">
      <c r="A396" t="s">
        <v>1350</v>
      </c>
      <c r="B396" t="s">
        <v>1351</v>
      </c>
      <c r="C396" s="12" t="str">
        <f t="shared" si="42"/>
        <v>Positive</v>
      </c>
      <c r="D396" s="18">
        <f t="shared" si="43"/>
        <v>1</v>
      </c>
      <c r="E396" s="1">
        <v>44255.541666666664</v>
      </c>
      <c r="F396" s="10">
        <f>INT(E396)</f>
        <v>44255</v>
      </c>
      <c r="G396" s="15">
        <f>MOD(E396,2)</f>
        <v>1.5416666666642413</v>
      </c>
      <c r="H396" s="15" t="str">
        <f t="shared" si="44"/>
        <v>13:00</v>
      </c>
      <c r="I396" t="s">
        <v>1352</v>
      </c>
      <c r="J396" t="s">
        <v>16</v>
      </c>
      <c r="K396" t="str">
        <f t="shared" si="45"/>
        <v>Twitter</v>
      </c>
      <c r="L396" t="s">
        <v>1353</v>
      </c>
      <c r="M396">
        <v>30</v>
      </c>
      <c r="N396">
        <v>60</v>
      </c>
      <c r="O396">
        <f t="shared" si="46"/>
        <v>90</v>
      </c>
      <c r="P396" t="s">
        <v>1261</v>
      </c>
      <c r="Q396" t="str">
        <f t="shared" si="47"/>
        <v>Australia</v>
      </c>
      <c r="R396">
        <v>2021</v>
      </c>
      <c r="S396">
        <v>2</v>
      </c>
      <c r="T396">
        <v>28</v>
      </c>
      <c r="U396">
        <v>13</v>
      </c>
      <c r="Y396" s="4">
        <f t="shared" si="48"/>
        <v>13</v>
      </c>
    </row>
    <row r="397" spans="1:25" ht="18" x14ac:dyDescent="0.25">
      <c r="A397" t="s">
        <v>1354</v>
      </c>
      <c r="B397" t="s">
        <v>1355</v>
      </c>
      <c r="C397" s="12" t="str">
        <f t="shared" si="42"/>
        <v>Positive</v>
      </c>
      <c r="D397" s="18">
        <f t="shared" si="43"/>
        <v>1</v>
      </c>
      <c r="E397" s="1">
        <v>43263.854166666664</v>
      </c>
      <c r="F397" s="10">
        <f>INT(E397)</f>
        <v>43263</v>
      </c>
      <c r="G397" s="15">
        <f>MOD(E397,2)</f>
        <v>1.8541666666642413</v>
      </c>
      <c r="H397" s="15" t="str">
        <f t="shared" si="44"/>
        <v>20:30</v>
      </c>
      <c r="I397" t="s">
        <v>1356</v>
      </c>
      <c r="J397" t="s">
        <v>31</v>
      </c>
      <c r="K397" t="str">
        <f t="shared" si="45"/>
        <v>Facebook</v>
      </c>
      <c r="L397" t="s">
        <v>1357</v>
      </c>
      <c r="M397">
        <v>28</v>
      </c>
      <c r="N397">
        <v>55</v>
      </c>
      <c r="O397">
        <f t="shared" si="46"/>
        <v>83</v>
      </c>
      <c r="P397" t="s">
        <v>1266</v>
      </c>
      <c r="Q397" t="str">
        <f t="shared" si="47"/>
        <v>UK</v>
      </c>
      <c r="R397">
        <v>2018</v>
      </c>
      <c r="S397">
        <v>6</v>
      </c>
      <c r="T397">
        <v>12</v>
      </c>
      <c r="U397">
        <v>20</v>
      </c>
      <c r="Y397" s="4">
        <f t="shared" si="48"/>
        <v>20</v>
      </c>
    </row>
    <row r="398" spans="1:25" ht="18" x14ac:dyDescent="0.25">
      <c r="A398" t="s">
        <v>1358</v>
      </c>
      <c r="B398" t="s">
        <v>1268</v>
      </c>
      <c r="C398" s="12" t="str">
        <f t="shared" si="42"/>
        <v>Positive</v>
      </c>
      <c r="D398" s="18">
        <f t="shared" si="43"/>
        <v>1</v>
      </c>
      <c r="E398" s="1">
        <v>42437.597222222219</v>
      </c>
      <c r="F398" s="10">
        <f>INT(E398)</f>
        <v>42437</v>
      </c>
      <c r="G398" s="15">
        <f>MOD(E398,2)</f>
        <v>1.5972222222189885</v>
      </c>
      <c r="H398" s="15" t="str">
        <f t="shared" si="44"/>
        <v>14:20</v>
      </c>
      <c r="I398" t="s">
        <v>1359</v>
      </c>
      <c r="J398" t="s">
        <v>26</v>
      </c>
      <c r="K398" t="str">
        <f t="shared" si="45"/>
        <v>Instagram</v>
      </c>
      <c r="L398" t="s">
        <v>1360</v>
      </c>
      <c r="M398">
        <v>20</v>
      </c>
      <c r="N398">
        <v>40</v>
      </c>
      <c r="O398">
        <f t="shared" si="46"/>
        <v>60</v>
      </c>
      <c r="P398" t="s">
        <v>1271</v>
      </c>
      <c r="Q398" t="str">
        <f t="shared" si="47"/>
        <v>USA</v>
      </c>
      <c r="R398">
        <v>2016</v>
      </c>
      <c r="S398">
        <v>3</v>
      </c>
      <c r="T398">
        <v>8</v>
      </c>
      <c r="U398">
        <v>14</v>
      </c>
      <c r="Y398" s="4">
        <f t="shared" si="48"/>
        <v>14</v>
      </c>
    </row>
    <row r="399" spans="1:25" ht="18" x14ac:dyDescent="0.25">
      <c r="A399" t="s">
        <v>1361</v>
      </c>
      <c r="B399" t="s">
        <v>1187</v>
      </c>
      <c r="C399" s="12" t="str">
        <f t="shared" si="42"/>
        <v>Neutral</v>
      </c>
      <c r="D399" s="18">
        <f t="shared" si="43"/>
        <v>0</v>
      </c>
      <c r="E399" s="1">
        <v>45034.715277777781</v>
      </c>
      <c r="F399" s="10">
        <f>INT(E399)</f>
        <v>45034</v>
      </c>
      <c r="G399" s="15">
        <f>MOD(E399,2)</f>
        <v>0.71527777778101154</v>
      </c>
      <c r="H399" s="15" t="str">
        <f t="shared" si="44"/>
        <v>17:10</v>
      </c>
      <c r="I399" t="s">
        <v>1274</v>
      </c>
      <c r="J399" t="s">
        <v>16</v>
      </c>
      <c r="K399" t="str">
        <f t="shared" si="45"/>
        <v>Twitter</v>
      </c>
      <c r="L399" t="s">
        <v>1362</v>
      </c>
      <c r="M399">
        <v>18</v>
      </c>
      <c r="N399">
        <v>35</v>
      </c>
      <c r="O399">
        <f t="shared" si="46"/>
        <v>53</v>
      </c>
      <c r="P399" t="s">
        <v>1276</v>
      </c>
      <c r="Q399" t="str">
        <f t="shared" si="47"/>
        <v>Greece</v>
      </c>
      <c r="R399">
        <v>2023</v>
      </c>
      <c r="S399">
        <v>4</v>
      </c>
      <c r="T399">
        <v>18</v>
      </c>
      <c r="U399">
        <v>17</v>
      </c>
      <c r="Y399" s="4">
        <f t="shared" si="48"/>
        <v>17</v>
      </c>
    </row>
    <row r="400" spans="1:25" ht="18" x14ac:dyDescent="0.25">
      <c r="A400" t="s">
        <v>1363</v>
      </c>
      <c r="B400" t="s">
        <v>1364</v>
      </c>
      <c r="C400" s="12" t="str">
        <f t="shared" si="42"/>
        <v>Positive</v>
      </c>
      <c r="D400" s="18">
        <f t="shared" si="43"/>
        <v>1</v>
      </c>
      <c r="E400" s="1">
        <v>44037.53125</v>
      </c>
      <c r="F400" s="10">
        <f>INT(E400)</f>
        <v>44037</v>
      </c>
      <c r="G400" s="15">
        <f>MOD(E400,2)</f>
        <v>1.53125</v>
      </c>
      <c r="H400" s="15" t="str">
        <f t="shared" si="44"/>
        <v>12:45</v>
      </c>
      <c r="I400" t="s">
        <v>1365</v>
      </c>
      <c r="J400" t="s">
        <v>31</v>
      </c>
      <c r="K400" t="str">
        <f t="shared" si="45"/>
        <v>Facebook</v>
      </c>
      <c r="L400" t="s">
        <v>1366</v>
      </c>
      <c r="M400">
        <v>22</v>
      </c>
      <c r="N400">
        <v>45</v>
      </c>
      <c r="O400">
        <f t="shared" si="46"/>
        <v>67</v>
      </c>
      <c r="P400" t="s">
        <v>1281</v>
      </c>
      <c r="Q400" t="str">
        <f t="shared" si="47"/>
        <v>Germany</v>
      </c>
      <c r="R400">
        <v>2020</v>
      </c>
      <c r="S400">
        <v>7</v>
      </c>
      <c r="T400">
        <v>25</v>
      </c>
      <c r="U400">
        <v>12</v>
      </c>
      <c r="Y400" s="4">
        <f t="shared" si="48"/>
        <v>12</v>
      </c>
    </row>
    <row r="401" spans="1:25" ht="18" x14ac:dyDescent="0.25">
      <c r="A401" t="s">
        <v>1367</v>
      </c>
      <c r="B401" t="s">
        <v>1368</v>
      </c>
      <c r="C401" s="12" t="str">
        <f t="shared" si="42"/>
        <v>Positive</v>
      </c>
      <c r="D401" s="18">
        <f t="shared" si="43"/>
        <v>1</v>
      </c>
      <c r="E401" s="1">
        <v>43799.8125</v>
      </c>
      <c r="F401" s="10">
        <f>INT(E401)</f>
        <v>43799</v>
      </c>
      <c r="G401" s="15">
        <f>MOD(E401,2)</f>
        <v>1.8125</v>
      </c>
      <c r="H401" s="15" t="str">
        <f t="shared" si="44"/>
        <v>19:30</v>
      </c>
      <c r="I401" t="s">
        <v>1284</v>
      </c>
      <c r="J401" t="s">
        <v>26</v>
      </c>
      <c r="K401" t="str">
        <f t="shared" si="45"/>
        <v>Instagram</v>
      </c>
      <c r="L401" t="s">
        <v>1285</v>
      </c>
      <c r="M401">
        <v>35</v>
      </c>
      <c r="N401">
        <v>70</v>
      </c>
      <c r="O401">
        <f t="shared" si="46"/>
        <v>105</v>
      </c>
      <c r="P401" t="s">
        <v>1286</v>
      </c>
      <c r="Q401" t="str">
        <f t="shared" si="47"/>
        <v>Sweden</v>
      </c>
      <c r="R401">
        <v>2019</v>
      </c>
      <c r="S401">
        <v>11</v>
      </c>
      <c r="T401">
        <v>30</v>
      </c>
      <c r="U401">
        <v>19</v>
      </c>
      <c r="Y401" s="4">
        <f t="shared" si="48"/>
        <v>19</v>
      </c>
    </row>
    <row r="402" spans="1:25" ht="18" x14ac:dyDescent="0.25">
      <c r="A402" t="s">
        <v>1369</v>
      </c>
      <c r="B402" t="s">
        <v>1370</v>
      </c>
      <c r="C402" s="12" t="str">
        <f t="shared" si="42"/>
        <v>Positive</v>
      </c>
      <c r="D402" s="18">
        <f t="shared" si="43"/>
        <v>1</v>
      </c>
      <c r="E402" s="1">
        <v>42248.666666666664</v>
      </c>
      <c r="F402" s="10">
        <f>INT(E402)</f>
        <v>42248</v>
      </c>
      <c r="G402" s="15">
        <f>MOD(E402,2)</f>
        <v>0.66666666666424135</v>
      </c>
      <c r="H402" s="15" t="str">
        <f t="shared" si="44"/>
        <v>16:00</v>
      </c>
      <c r="I402" t="s">
        <v>1289</v>
      </c>
      <c r="J402" t="s">
        <v>16</v>
      </c>
      <c r="K402" t="str">
        <f t="shared" si="45"/>
        <v>Twitter</v>
      </c>
      <c r="L402" t="s">
        <v>1371</v>
      </c>
      <c r="M402">
        <v>15</v>
      </c>
      <c r="N402">
        <v>30</v>
      </c>
      <c r="O402">
        <f t="shared" si="46"/>
        <v>45</v>
      </c>
      <c r="P402" t="s">
        <v>1291</v>
      </c>
      <c r="Q402" t="str">
        <f t="shared" si="47"/>
        <v>Italy</v>
      </c>
      <c r="R402">
        <v>2015</v>
      </c>
      <c r="S402">
        <v>9</v>
      </c>
      <c r="T402">
        <v>1</v>
      </c>
      <c r="U402">
        <v>16</v>
      </c>
      <c r="Y402" s="4">
        <f t="shared" si="48"/>
        <v>16</v>
      </c>
    </row>
    <row r="403" spans="1:25" ht="18" x14ac:dyDescent="0.25">
      <c r="A403" t="s">
        <v>1372</v>
      </c>
      <c r="B403" t="s">
        <v>1373</v>
      </c>
      <c r="C403" s="12" t="str">
        <f t="shared" si="42"/>
        <v>Positive</v>
      </c>
      <c r="D403" s="18">
        <f t="shared" si="43"/>
        <v>1</v>
      </c>
      <c r="E403" s="1">
        <v>44686.427083333336</v>
      </c>
      <c r="F403" s="10">
        <f>INT(E403)</f>
        <v>44686</v>
      </c>
      <c r="G403" s="15">
        <f>MOD(E403,2)</f>
        <v>0.42708333333575865</v>
      </c>
      <c r="H403" s="15" t="str">
        <f t="shared" si="44"/>
        <v>10:15</v>
      </c>
      <c r="I403" t="s">
        <v>1294</v>
      </c>
      <c r="J403" t="s">
        <v>31</v>
      </c>
      <c r="K403" t="str">
        <f t="shared" si="45"/>
        <v>Facebook</v>
      </c>
      <c r="L403" t="s">
        <v>1295</v>
      </c>
      <c r="M403">
        <v>25</v>
      </c>
      <c r="N403">
        <v>50</v>
      </c>
      <c r="O403">
        <f t="shared" si="46"/>
        <v>75</v>
      </c>
      <c r="P403" t="s">
        <v>1296</v>
      </c>
      <c r="Q403" t="str">
        <f t="shared" si="47"/>
        <v>Netherlands</v>
      </c>
      <c r="R403">
        <v>2022</v>
      </c>
      <c r="S403">
        <v>5</v>
      </c>
      <c r="T403">
        <v>5</v>
      </c>
      <c r="U403">
        <v>10</v>
      </c>
      <c r="Y403" s="4">
        <f t="shared" si="48"/>
        <v>10</v>
      </c>
    </row>
    <row r="404" spans="1:25" ht="18" x14ac:dyDescent="0.25">
      <c r="A404" t="s">
        <v>1374</v>
      </c>
      <c r="B404" t="s">
        <v>1375</v>
      </c>
      <c r="C404" s="12" t="str">
        <f t="shared" si="42"/>
        <v>Positive</v>
      </c>
      <c r="D404" s="18">
        <f t="shared" si="43"/>
        <v>1</v>
      </c>
      <c r="E404" s="1">
        <v>43289.958333333336</v>
      </c>
      <c r="F404" s="10">
        <f>INT(E404)</f>
        <v>43289</v>
      </c>
      <c r="G404" s="15">
        <f>MOD(E404,2)</f>
        <v>1.9583333333357587</v>
      </c>
      <c r="H404" s="15" t="str">
        <f t="shared" si="44"/>
        <v>23:00</v>
      </c>
      <c r="I404" t="s">
        <v>1299</v>
      </c>
      <c r="J404" t="s">
        <v>26</v>
      </c>
      <c r="K404" t="str">
        <f t="shared" si="45"/>
        <v>Instagram</v>
      </c>
      <c r="L404" t="s">
        <v>1300</v>
      </c>
      <c r="M404">
        <v>40</v>
      </c>
      <c r="N404">
        <v>80</v>
      </c>
      <c r="O404">
        <f t="shared" si="46"/>
        <v>120</v>
      </c>
      <c r="P404" t="s">
        <v>1301</v>
      </c>
      <c r="Q404" t="str">
        <f t="shared" si="47"/>
        <v>South Africa</v>
      </c>
      <c r="R404">
        <v>2018</v>
      </c>
      <c r="S404">
        <v>7</v>
      </c>
      <c r="T404">
        <v>8</v>
      </c>
      <c r="U404">
        <v>23</v>
      </c>
      <c r="Y404" s="4">
        <f t="shared" si="48"/>
        <v>23</v>
      </c>
    </row>
    <row r="405" spans="1:25" ht="18" x14ac:dyDescent="0.25">
      <c r="A405" t="s">
        <v>1302</v>
      </c>
      <c r="B405" t="s">
        <v>1303</v>
      </c>
      <c r="C405" s="12" t="str">
        <f t="shared" si="42"/>
        <v>Positive</v>
      </c>
      <c r="D405" s="18">
        <f t="shared" si="43"/>
        <v>1</v>
      </c>
      <c r="E405" s="1">
        <v>44459.604166666664</v>
      </c>
      <c r="F405" s="10">
        <f>INT(E405)</f>
        <v>44459</v>
      </c>
      <c r="G405" s="15">
        <f>MOD(E405,2)</f>
        <v>1.6041666666642413</v>
      </c>
      <c r="H405" s="15" t="str">
        <f t="shared" si="44"/>
        <v>14:30</v>
      </c>
      <c r="I405" t="s">
        <v>1304</v>
      </c>
      <c r="J405" t="s">
        <v>16</v>
      </c>
      <c r="K405" t="str">
        <f t="shared" si="45"/>
        <v>Twitter</v>
      </c>
      <c r="L405" t="s">
        <v>1305</v>
      </c>
      <c r="M405">
        <v>18</v>
      </c>
      <c r="N405">
        <v>35</v>
      </c>
      <c r="O405">
        <f t="shared" si="46"/>
        <v>53</v>
      </c>
      <c r="P405" t="s">
        <v>1306</v>
      </c>
      <c r="Q405" t="str">
        <f t="shared" si="47"/>
        <v>Spain</v>
      </c>
      <c r="R405">
        <v>2021</v>
      </c>
      <c r="S405">
        <v>9</v>
      </c>
      <c r="T405">
        <v>20</v>
      </c>
      <c r="U405">
        <v>14</v>
      </c>
      <c r="Y405" s="4">
        <f t="shared" si="48"/>
        <v>14</v>
      </c>
    </row>
    <row r="406" spans="1:25" ht="18" x14ac:dyDescent="0.25">
      <c r="A406" t="s">
        <v>1307</v>
      </c>
      <c r="B406" t="s">
        <v>1376</v>
      </c>
      <c r="C406" s="12" t="str">
        <f t="shared" si="42"/>
        <v>Positive</v>
      </c>
      <c r="D406" s="18">
        <f t="shared" si="43"/>
        <v>1</v>
      </c>
      <c r="E406" s="1">
        <v>42689.489583333336</v>
      </c>
      <c r="F406" s="10">
        <f>INT(E406)</f>
        <v>42689</v>
      </c>
      <c r="G406" s="15">
        <f>MOD(E406,2)</f>
        <v>1.4895833333357587</v>
      </c>
      <c r="H406" s="15" t="str">
        <f t="shared" si="44"/>
        <v>11:45</v>
      </c>
      <c r="I406" t="s">
        <v>1309</v>
      </c>
      <c r="J406" t="s">
        <v>31</v>
      </c>
      <c r="K406" t="str">
        <f t="shared" si="45"/>
        <v>Facebook</v>
      </c>
      <c r="L406" t="s">
        <v>1310</v>
      </c>
      <c r="M406">
        <v>28</v>
      </c>
      <c r="N406">
        <v>55</v>
      </c>
      <c r="O406">
        <f t="shared" si="46"/>
        <v>83</v>
      </c>
      <c r="P406" t="s">
        <v>1311</v>
      </c>
      <c r="Q406" t="str">
        <f t="shared" si="47"/>
        <v>Portugal</v>
      </c>
      <c r="R406">
        <v>2016</v>
      </c>
      <c r="S406">
        <v>11</v>
      </c>
      <c r="T406">
        <v>15</v>
      </c>
      <c r="U406">
        <v>11</v>
      </c>
      <c r="Y406" s="4">
        <f t="shared" si="48"/>
        <v>11</v>
      </c>
    </row>
    <row r="407" spans="1:25" ht="18" x14ac:dyDescent="0.25">
      <c r="A407" t="s">
        <v>1312</v>
      </c>
      <c r="B407" t="s">
        <v>1313</v>
      </c>
      <c r="C407" s="12" t="str">
        <f t="shared" si="42"/>
        <v>Neutral</v>
      </c>
      <c r="D407" s="18">
        <f t="shared" si="43"/>
        <v>0</v>
      </c>
      <c r="E407" s="1">
        <v>43842.75</v>
      </c>
      <c r="F407" s="10">
        <f>INT(E407)</f>
        <v>43842</v>
      </c>
      <c r="G407" s="15">
        <f>MOD(E407,2)</f>
        <v>0.75</v>
      </c>
      <c r="H407" s="15" t="str">
        <f t="shared" si="44"/>
        <v>18:00</v>
      </c>
      <c r="I407" t="s">
        <v>483</v>
      </c>
      <c r="J407" t="s">
        <v>26</v>
      </c>
      <c r="K407" t="str">
        <f t="shared" si="45"/>
        <v>Instagram</v>
      </c>
      <c r="L407" t="s">
        <v>1314</v>
      </c>
      <c r="M407">
        <v>30</v>
      </c>
      <c r="N407">
        <v>60</v>
      </c>
      <c r="O407">
        <f t="shared" si="46"/>
        <v>90</v>
      </c>
      <c r="P407" t="s">
        <v>1315</v>
      </c>
      <c r="Q407" t="str">
        <f t="shared" si="47"/>
        <v>Switzerland</v>
      </c>
      <c r="R407">
        <v>2020</v>
      </c>
      <c r="S407">
        <v>1</v>
      </c>
      <c r="T407">
        <v>12</v>
      </c>
      <c r="U407">
        <v>18</v>
      </c>
      <c r="Y407" s="4">
        <f t="shared" si="48"/>
        <v>18</v>
      </c>
    </row>
    <row r="408" spans="1:25" ht="18" x14ac:dyDescent="0.25">
      <c r="A408" t="s">
        <v>1316</v>
      </c>
      <c r="B408" t="s">
        <v>1317</v>
      </c>
      <c r="C408" s="12" t="str">
        <f t="shared" si="42"/>
        <v>Positive</v>
      </c>
      <c r="D408" s="18">
        <f t="shared" si="43"/>
        <v>1</v>
      </c>
      <c r="E408" s="1">
        <v>43097.802083333336</v>
      </c>
      <c r="F408" s="10">
        <f>INT(E408)</f>
        <v>43097</v>
      </c>
      <c r="G408" s="15">
        <f>MOD(E408,2)</f>
        <v>1.8020833333357587</v>
      </c>
      <c r="H408" s="15" t="str">
        <f t="shared" si="44"/>
        <v>19:15</v>
      </c>
      <c r="I408" t="s">
        <v>1318</v>
      </c>
      <c r="J408" t="s">
        <v>31</v>
      </c>
      <c r="K408" t="str">
        <f t="shared" si="45"/>
        <v>Facebook</v>
      </c>
      <c r="L408" t="s">
        <v>1319</v>
      </c>
      <c r="M408">
        <v>22</v>
      </c>
      <c r="N408">
        <v>45</v>
      </c>
      <c r="O408">
        <f t="shared" si="46"/>
        <v>67</v>
      </c>
      <c r="P408" t="s">
        <v>1320</v>
      </c>
      <c r="Q408" t="str">
        <f t="shared" si="47"/>
        <v>Austria</v>
      </c>
      <c r="R408">
        <v>2017</v>
      </c>
      <c r="S408">
        <v>12</v>
      </c>
      <c r="T408">
        <v>28</v>
      </c>
      <c r="U408">
        <v>19</v>
      </c>
      <c r="Y408" s="4">
        <f t="shared" si="48"/>
        <v>19</v>
      </c>
    </row>
    <row r="409" spans="1:25" ht="18" x14ac:dyDescent="0.25">
      <c r="A409" t="s">
        <v>1377</v>
      </c>
      <c r="B409" t="s">
        <v>1378</v>
      </c>
      <c r="C409" s="12" t="str">
        <f t="shared" si="42"/>
        <v>Neutral</v>
      </c>
      <c r="D409" s="18">
        <f t="shared" si="43"/>
        <v>0</v>
      </c>
      <c r="E409" s="1">
        <v>43526.847222222219</v>
      </c>
      <c r="F409" s="10">
        <f>INT(E409)</f>
        <v>43526</v>
      </c>
      <c r="G409" s="15">
        <f>MOD(E409,2)</f>
        <v>0.84722222221898846</v>
      </c>
      <c r="H409" s="15" t="str">
        <f t="shared" si="44"/>
        <v>20:20</v>
      </c>
      <c r="I409" t="s">
        <v>1323</v>
      </c>
      <c r="J409" t="s">
        <v>16</v>
      </c>
      <c r="K409" t="str">
        <f t="shared" si="45"/>
        <v>Twitter</v>
      </c>
      <c r="L409" t="s">
        <v>1379</v>
      </c>
      <c r="M409">
        <v>35</v>
      </c>
      <c r="N409">
        <v>70</v>
      </c>
      <c r="O409">
        <f t="shared" si="46"/>
        <v>105</v>
      </c>
      <c r="P409" t="s">
        <v>1325</v>
      </c>
      <c r="Q409" t="str">
        <f t="shared" si="47"/>
        <v>Belgium</v>
      </c>
      <c r="R409">
        <v>2019</v>
      </c>
      <c r="S409">
        <v>3</v>
      </c>
      <c r="T409">
        <v>2</v>
      </c>
      <c r="U409">
        <v>20</v>
      </c>
      <c r="Y409" s="4">
        <f t="shared" si="48"/>
        <v>20</v>
      </c>
    </row>
    <row r="410" spans="1:25" ht="18" x14ac:dyDescent="0.25">
      <c r="A410" t="s">
        <v>1380</v>
      </c>
      <c r="B410" t="s">
        <v>1381</v>
      </c>
      <c r="C410" s="12" t="str">
        <f t="shared" si="42"/>
        <v>Positive</v>
      </c>
      <c r="D410" s="18">
        <f t="shared" si="43"/>
        <v>1</v>
      </c>
      <c r="E410" s="1">
        <v>44720.645833333336</v>
      </c>
      <c r="F410" s="10">
        <f>INT(E410)</f>
        <v>44720</v>
      </c>
      <c r="G410" s="15">
        <f>MOD(E410,2)</f>
        <v>0.64583333333575865</v>
      </c>
      <c r="H410" s="15" t="str">
        <f t="shared" si="44"/>
        <v>15:30</v>
      </c>
      <c r="I410" t="s">
        <v>1328</v>
      </c>
      <c r="J410" t="s">
        <v>26</v>
      </c>
      <c r="K410" t="str">
        <f t="shared" si="45"/>
        <v>Instagram</v>
      </c>
      <c r="L410" t="s">
        <v>1382</v>
      </c>
      <c r="M410">
        <v>20</v>
      </c>
      <c r="N410">
        <v>40</v>
      </c>
      <c r="O410">
        <f t="shared" si="46"/>
        <v>60</v>
      </c>
      <c r="P410" t="s">
        <v>1330</v>
      </c>
      <c r="Q410" t="str">
        <f t="shared" si="47"/>
        <v>Denmark</v>
      </c>
      <c r="R410">
        <v>2022</v>
      </c>
      <c r="S410">
        <v>6</v>
      </c>
      <c r="T410">
        <v>8</v>
      </c>
      <c r="U410">
        <v>15</v>
      </c>
      <c r="Y410" s="4">
        <f t="shared" si="48"/>
        <v>15</v>
      </c>
    </row>
    <row r="411" spans="1:25" ht="18" x14ac:dyDescent="0.25">
      <c r="A411" t="s">
        <v>1383</v>
      </c>
      <c r="B411" t="s">
        <v>1332</v>
      </c>
      <c r="C411" s="12" t="str">
        <f t="shared" si="42"/>
        <v>Positive</v>
      </c>
      <c r="D411" s="18">
        <f t="shared" si="43"/>
        <v>1</v>
      </c>
      <c r="E411" s="1">
        <v>43330.614583333336</v>
      </c>
      <c r="F411" s="10">
        <f>INT(E411)</f>
        <v>43330</v>
      </c>
      <c r="G411" s="15">
        <f>MOD(E411,2)</f>
        <v>0.61458333333575865</v>
      </c>
      <c r="H411" s="15" t="str">
        <f t="shared" si="44"/>
        <v>14:45</v>
      </c>
      <c r="I411" t="s">
        <v>1333</v>
      </c>
      <c r="J411" t="s">
        <v>31</v>
      </c>
      <c r="K411" t="str">
        <f t="shared" si="45"/>
        <v>Facebook</v>
      </c>
      <c r="L411" t="s">
        <v>1334</v>
      </c>
      <c r="M411">
        <v>18</v>
      </c>
      <c r="N411">
        <v>35</v>
      </c>
      <c r="O411">
        <f t="shared" si="46"/>
        <v>53</v>
      </c>
      <c r="P411" t="s">
        <v>1335</v>
      </c>
      <c r="Q411" t="str">
        <f t="shared" si="47"/>
        <v>Czech Republic</v>
      </c>
      <c r="R411">
        <v>2018</v>
      </c>
      <c r="S411">
        <v>8</v>
      </c>
      <c r="T411">
        <v>18</v>
      </c>
      <c r="U411">
        <v>14</v>
      </c>
      <c r="Y411" s="4">
        <f t="shared" si="48"/>
        <v>14</v>
      </c>
    </row>
    <row r="412" spans="1:25" ht="18" x14ac:dyDescent="0.25">
      <c r="A412" t="s">
        <v>1384</v>
      </c>
      <c r="B412" t="s">
        <v>1385</v>
      </c>
      <c r="C412" s="12" t="str">
        <f t="shared" si="42"/>
        <v>Neutral</v>
      </c>
      <c r="D412" s="18">
        <f t="shared" si="43"/>
        <v>0</v>
      </c>
      <c r="E412" s="1">
        <v>42316.416666666664</v>
      </c>
      <c r="F412" s="10">
        <f>INT(E412)</f>
        <v>42316</v>
      </c>
      <c r="G412" s="15">
        <f>MOD(E412,2)</f>
        <v>0.41666666666424135</v>
      </c>
      <c r="H412" s="15" t="str">
        <f t="shared" si="44"/>
        <v>10:00</v>
      </c>
      <c r="I412" t="s">
        <v>1235</v>
      </c>
      <c r="J412" t="s">
        <v>26</v>
      </c>
      <c r="K412" t="str">
        <f t="shared" si="45"/>
        <v>Instagram</v>
      </c>
      <c r="L412" t="s">
        <v>1386</v>
      </c>
      <c r="M412">
        <v>18</v>
      </c>
      <c r="N412">
        <v>35</v>
      </c>
      <c r="O412">
        <f t="shared" si="46"/>
        <v>53</v>
      </c>
      <c r="P412" t="s">
        <v>38</v>
      </c>
      <c r="Q412" t="str">
        <f t="shared" si="47"/>
        <v>Australia</v>
      </c>
      <c r="R412">
        <v>2015</v>
      </c>
      <c r="S412">
        <v>11</v>
      </c>
      <c r="T412">
        <v>8</v>
      </c>
      <c r="U412">
        <v>10</v>
      </c>
      <c r="Y412" s="4">
        <f t="shared" si="48"/>
        <v>10</v>
      </c>
    </row>
    <row r="413" spans="1:25" ht="18" x14ac:dyDescent="0.25">
      <c r="A413" t="s">
        <v>1387</v>
      </c>
      <c r="B413" t="s">
        <v>283</v>
      </c>
      <c r="C413" s="12" t="str">
        <f t="shared" si="42"/>
        <v>Positive</v>
      </c>
      <c r="D413" s="18">
        <f t="shared" si="43"/>
        <v>1</v>
      </c>
      <c r="E413" s="1">
        <v>44167.729166666664</v>
      </c>
      <c r="F413" s="10">
        <f>INT(E413)</f>
        <v>44167</v>
      </c>
      <c r="G413" s="15">
        <f>MOD(E413,2)</f>
        <v>1.7291666666642413</v>
      </c>
      <c r="H413" s="15" t="str">
        <f t="shared" si="44"/>
        <v>17:30</v>
      </c>
      <c r="I413" t="s">
        <v>1388</v>
      </c>
      <c r="J413" t="s">
        <v>16</v>
      </c>
      <c r="K413" t="str">
        <f t="shared" si="45"/>
        <v>Twitter</v>
      </c>
      <c r="L413" t="s">
        <v>1389</v>
      </c>
      <c r="M413">
        <v>22</v>
      </c>
      <c r="N413">
        <v>45</v>
      </c>
      <c r="O413">
        <f t="shared" si="46"/>
        <v>67</v>
      </c>
      <c r="P413" t="s">
        <v>1390</v>
      </c>
      <c r="Q413" t="str">
        <f t="shared" si="47"/>
        <v>Canada</v>
      </c>
      <c r="R413">
        <v>2020</v>
      </c>
      <c r="S413">
        <v>12</v>
      </c>
      <c r="T413">
        <v>2</v>
      </c>
      <c r="U413">
        <v>17</v>
      </c>
      <c r="Y413" s="4">
        <f t="shared" si="48"/>
        <v>17</v>
      </c>
    </row>
    <row r="414" spans="1:25" ht="18" x14ac:dyDescent="0.25">
      <c r="A414" t="s">
        <v>1391</v>
      </c>
      <c r="B414" t="s">
        <v>877</v>
      </c>
      <c r="C414" s="12" t="str">
        <f t="shared" si="42"/>
        <v>Positive</v>
      </c>
      <c r="D414" s="18">
        <f t="shared" si="43"/>
        <v>1</v>
      </c>
      <c r="E414" s="1">
        <v>42896.510416666664</v>
      </c>
      <c r="F414" s="10">
        <f>INT(E414)</f>
        <v>42896</v>
      </c>
      <c r="G414" s="15">
        <f>MOD(E414,2)</f>
        <v>0.51041666666424135</v>
      </c>
      <c r="H414" s="15" t="str">
        <f t="shared" si="44"/>
        <v>12:15</v>
      </c>
      <c r="I414" t="s">
        <v>1392</v>
      </c>
      <c r="J414" t="s">
        <v>26</v>
      </c>
      <c r="K414" t="str">
        <f t="shared" si="45"/>
        <v>Instagram</v>
      </c>
      <c r="L414" t="s">
        <v>1393</v>
      </c>
      <c r="M414">
        <v>28</v>
      </c>
      <c r="N414">
        <v>55</v>
      </c>
      <c r="O414">
        <f t="shared" si="46"/>
        <v>83</v>
      </c>
      <c r="P414" t="s">
        <v>1394</v>
      </c>
      <c r="Q414" t="str">
        <f t="shared" si="47"/>
        <v>France</v>
      </c>
      <c r="R414">
        <v>2017</v>
      </c>
      <c r="S414">
        <v>6</v>
      </c>
      <c r="T414">
        <v>10</v>
      </c>
      <c r="U414">
        <v>12</v>
      </c>
      <c r="Y414" s="4">
        <f t="shared" si="48"/>
        <v>12</v>
      </c>
    </row>
    <row r="415" spans="1:25" ht="18" x14ac:dyDescent="0.25">
      <c r="A415" t="s">
        <v>1395</v>
      </c>
      <c r="B415" t="s">
        <v>1396</v>
      </c>
      <c r="C415" s="12" t="str">
        <f t="shared" si="42"/>
        <v>Positive</v>
      </c>
      <c r="D415" s="18">
        <f t="shared" si="43"/>
        <v>1</v>
      </c>
      <c r="E415" s="1">
        <v>44301.597222222219</v>
      </c>
      <c r="F415" s="10">
        <f>INT(E415)</f>
        <v>44301</v>
      </c>
      <c r="G415" s="15">
        <f>MOD(E415,2)</f>
        <v>1.5972222222189885</v>
      </c>
      <c r="H415" s="15" t="str">
        <f t="shared" si="44"/>
        <v>14:20</v>
      </c>
      <c r="I415" t="s">
        <v>1397</v>
      </c>
      <c r="J415" t="s">
        <v>31</v>
      </c>
      <c r="K415" t="str">
        <f t="shared" si="45"/>
        <v>Facebook</v>
      </c>
      <c r="L415" t="s">
        <v>1398</v>
      </c>
      <c r="M415">
        <v>35</v>
      </c>
      <c r="N415">
        <v>70</v>
      </c>
      <c r="O415">
        <f t="shared" si="46"/>
        <v>105</v>
      </c>
      <c r="P415" t="s">
        <v>1271</v>
      </c>
      <c r="Q415" t="str">
        <f t="shared" si="47"/>
        <v>USA</v>
      </c>
      <c r="R415">
        <v>2021</v>
      </c>
      <c r="S415">
        <v>4</v>
      </c>
      <c r="T415">
        <v>15</v>
      </c>
      <c r="U415">
        <v>14</v>
      </c>
      <c r="Y415" s="4">
        <f t="shared" si="48"/>
        <v>14</v>
      </c>
    </row>
    <row r="416" spans="1:25" ht="18" x14ac:dyDescent="0.25">
      <c r="A416" t="s">
        <v>1399</v>
      </c>
      <c r="B416" t="s">
        <v>1400</v>
      </c>
      <c r="C416" s="12" t="str">
        <f t="shared" si="42"/>
        <v>Positive</v>
      </c>
      <c r="D416" s="18">
        <f t="shared" si="43"/>
        <v>1</v>
      </c>
      <c r="E416" s="1">
        <v>43736.822916666664</v>
      </c>
      <c r="F416" s="10">
        <f>INT(E416)</f>
        <v>43736</v>
      </c>
      <c r="G416" s="15">
        <f>MOD(E416,2)</f>
        <v>0.82291666666424135</v>
      </c>
      <c r="H416" s="15" t="str">
        <f t="shared" si="44"/>
        <v>19:45</v>
      </c>
      <c r="I416" t="s">
        <v>1401</v>
      </c>
      <c r="J416" t="s">
        <v>16</v>
      </c>
      <c r="K416" t="str">
        <f t="shared" si="45"/>
        <v>Twitter</v>
      </c>
      <c r="L416" t="s">
        <v>1402</v>
      </c>
      <c r="M416">
        <v>20</v>
      </c>
      <c r="N416">
        <v>40</v>
      </c>
      <c r="O416">
        <f t="shared" si="46"/>
        <v>60</v>
      </c>
      <c r="P416" t="s">
        <v>1403</v>
      </c>
      <c r="Q416" t="str">
        <f t="shared" si="47"/>
        <v>UK</v>
      </c>
      <c r="R416">
        <v>2019</v>
      </c>
      <c r="S416">
        <v>9</v>
      </c>
      <c r="T416">
        <v>28</v>
      </c>
      <c r="U416">
        <v>19</v>
      </c>
      <c r="Y416" s="4">
        <f t="shared" si="48"/>
        <v>19</v>
      </c>
    </row>
    <row r="417" spans="1:25" ht="18" x14ac:dyDescent="0.25">
      <c r="A417" t="s">
        <v>1404</v>
      </c>
      <c r="B417" t="s">
        <v>1405</v>
      </c>
      <c r="C417" s="12" t="str">
        <f t="shared" si="42"/>
        <v>Neutral</v>
      </c>
      <c r="D417" s="18">
        <f t="shared" si="43"/>
        <v>0</v>
      </c>
      <c r="E417" s="1">
        <v>42709.875</v>
      </c>
      <c r="F417" s="10">
        <f>INT(E417)</f>
        <v>42709</v>
      </c>
      <c r="G417" s="15">
        <f>MOD(E417,2)</f>
        <v>1.875</v>
      </c>
      <c r="H417" s="15" t="str">
        <f t="shared" si="44"/>
        <v>21:00</v>
      </c>
      <c r="I417" t="s">
        <v>1406</v>
      </c>
      <c r="J417" t="s">
        <v>26</v>
      </c>
      <c r="K417" t="str">
        <f t="shared" si="45"/>
        <v>Instagram</v>
      </c>
      <c r="L417" t="s">
        <v>1407</v>
      </c>
      <c r="M417">
        <v>25</v>
      </c>
      <c r="N417">
        <v>50</v>
      </c>
      <c r="O417">
        <f t="shared" si="46"/>
        <v>75</v>
      </c>
      <c r="P417" t="s">
        <v>1408</v>
      </c>
      <c r="Q417" t="str">
        <f t="shared" si="47"/>
        <v>India</v>
      </c>
      <c r="R417">
        <v>2016</v>
      </c>
      <c r="S417">
        <v>12</v>
      </c>
      <c r="T417">
        <v>5</v>
      </c>
      <c r="U417">
        <v>21</v>
      </c>
      <c r="Y417" s="4">
        <f t="shared" si="48"/>
        <v>21</v>
      </c>
    </row>
    <row r="418" spans="1:25" ht="18" x14ac:dyDescent="0.25">
      <c r="A418" t="s">
        <v>1409</v>
      </c>
      <c r="B418" t="s">
        <v>1410</v>
      </c>
      <c r="C418" s="12" t="str">
        <f t="shared" si="42"/>
        <v>Positive</v>
      </c>
      <c r="D418" s="18">
        <f t="shared" si="43"/>
        <v>1</v>
      </c>
      <c r="E418" s="1">
        <v>43141.979166666664</v>
      </c>
      <c r="F418" s="10">
        <f>INT(E418)</f>
        <v>43141</v>
      </c>
      <c r="G418" s="15">
        <f>MOD(E418,2)</f>
        <v>1.9791666666642413</v>
      </c>
      <c r="H418" s="15" t="str">
        <f t="shared" si="44"/>
        <v>23:30</v>
      </c>
      <c r="I418" t="s">
        <v>1411</v>
      </c>
      <c r="J418" t="s">
        <v>31</v>
      </c>
      <c r="K418" t="str">
        <f t="shared" si="45"/>
        <v>Facebook</v>
      </c>
      <c r="L418" t="s">
        <v>1412</v>
      </c>
      <c r="M418">
        <v>30</v>
      </c>
      <c r="N418">
        <v>60</v>
      </c>
      <c r="O418">
        <f t="shared" si="46"/>
        <v>90</v>
      </c>
      <c r="P418" t="s">
        <v>1413</v>
      </c>
      <c r="Q418" t="str">
        <f t="shared" si="47"/>
        <v>Australia</v>
      </c>
      <c r="R418">
        <v>2018</v>
      </c>
      <c r="S418">
        <v>2</v>
      </c>
      <c r="T418">
        <v>10</v>
      </c>
      <c r="U418">
        <v>23</v>
      </c>
      <c r="Y418" s="4">
        <f t="shared" si="48"/>
        <v>23</v>
      </c>
    </row>
    <row r="419" spans="1:25" ht="18" x14ac:dyDescent="0.25">
      <c r="A419" t="s">
        <v>1414</v>
      </c>
      <c r="B419" t="s">
        <v>1415</v>
      </c>
      <c r="C419" s="12" t="str">
        <f t="shared" si="42"/>
        <v>Positive</v>
      </c>
      <c r="D419" s="18">
        <f t="shared" si="43"/>
        <v>1</v>
      </c>
      <c r="E419" s="1">
        <v>44972.354166666664</v>
      </c>
      <c r="F419" s="10">
        <f>INT(E419)</f>
        <v>44972</v>
      </c>
      <c r="G419" s="15">
        <f>MOD(E419,2)</f>
        <v>0.35416666666424135</v>
      </c>
      <c r="H419" s="15" t="str">
        <f t="shared" si="44"/>
        <v>08:30</v>
      </c>
      <c r="I419" t="s">
        <v>1416</v>
      </c>
      <c r="J419" t="s">
        <v>16</v>
      </c>
      <c r="K419" t="str">
        <f t="shared" si="45"/>
        <v>Twitter</v>
      </c>
      <c r="L419" t="s">
        <v>1417</v>
      </c>
      <c r="M419">
        <v>18</v>
      </c>
      <c r="N419">
        <v>35</v>
      </c>
      <c r="O419">
        <f t="shared" si="46"/>
        <v>53</v>
      </c>
      <c r="P419" t="s">
        <v>1418</v>
      </c>
      <c r="Q419" t="str">
        <f t="shared" si="47"/>
        <v>Japan</v>
      </c>
      <c r="R419">
        <v>2023</v>
      </c>
      <c r="S419">
        <v>2</v>
      </c>
      <c r="T419">
        <v>15</v>
      </c>
      <c r="U419">
        <v>8</v>
      </c>
      <c r="Y419" s="4">
        <f t="shared" si="48"/>
        <v>8</v>
      </c>
    </row>
    <row r="420" spans="1:25" ht="18" x14ac:dyDescent="0.25">
      <c r="A420" t="s">
        <v>1419</v>
      </c>
      <c r="B420" t="s">
        <v>1420</v>
      </c>
      <c r="C420" s="12" t="str">
        <f t="shared" si="42"/>
        <v>Positive</v>
      </c>
      <c r="D420" s="18">
        <f t="shared" si="43"/>
        <v>1</v>
      </c>
      <c r="E420" s="1">
        <v>42238.625</v>
      </c>
      <c r="F420" s="10">
        <f>INT(E420)</f>
        <v>42238</v>
      </c>
      <c r="G420" s="15">
        <f>MOD(E420,2)</f>
        <v>0.625</v>
      </c>
      <c r="H420" s="15" t="str">
        <f t="shared" si="44"/>
        <v>15:00</v>
      </c>
      <c r="I420" t="s">
        <v>1421</v>
      </c>
      <c r="J420" t="s">
        <v>26</v>
      </c>
      <c r="K420" t="str">
        <f t="shared" si="45"/>
        <v>Instagram</v>
      </c>
      <c r="L420" t="s">
        <v>1422</v>
      </c>
      <c r="M420">
        <v>22</v>
      </c>
      <c r="N420">
        <v>45</v>
      </c>
      <c r="O420">
        <f t="shared" si="46"/>
        <v>67</v>
      </c>
      <c r="P420" t="s">
        <v>1423</v>
      </c>
      <c r="Q420" t="str">
        <f t="shared" si="47"/>
        <v>Brazil</v>
      </c>
      <c r="R420">
        <v>2015</v>
      </c>
      <c r="S420">
        <v>8</v>
      </c>
      <c r="T420">
        <v>22</v>
      </c>
      <c r="U420">
        <v>15</v>
      </c>
      <c r="Y420" s="4">
        <f t="shared" si="48"/>
        <v>15</v>
      </c>
    </row>
    <row r="421" spans="1:25" ht="18" x14ac:dyDescent="0.25">
      <c r="A421" t="s">
        <v>1424</v>
      </c>
      <c r="B421" t="s">
        <v>1425</v>
      </c>
      <c r="C421" s="12" t="str">
        <f t="shared" si="42"/>
        <v>Positive</v>
      </c>
      <c r="D421" s="18">
        <f t="shared" si="43"/>
        <v>1</v>
      </c>
      <c r="E421" s="1">
        <v>44155.78125</v>
      </c>
      <c r="F421" s="10">
        <f>INT(E421)</f>
        <v>44155</v>
      </c>
      <c r="G421" s="15">
        <f>MOD(E421,2)</f>
        <v>1.78125</v>
      </c>
      <c r="H421" s="15" t="str">
        <f t="shared" si="44"/>
        <v>18:45</v>
      </c>
      <c r="I421" t="s">
        <v>1426</v>
      </c>
      <c r="J421" t="s">
        <v>31</v>
      </c>
      <c r="K421" t="str">
        <f t="shared" si="45"/>
        <v>Facebook</v>
      </c>
      <c r="L421" t="s">
        <v>1427</v>
      </c>
      <c r="M421">
        <v>28</v>
      </c>
      <c r="N421">
        <v>55</v>
      </c>
      <c r="O421">
        <f t="shared" si="46"/>
        <v>83</v>
      </c>
      <c r="P421" t="s">
        <v>1428</v>
      </c>
      <c r="Q421" t="str">
        <f t="shared" si="47"/>
        <v>Germany</v>
      </c>
      <c r="R421">
        <v>2020</v>
      </c>
      <c r="S421">
        <v>11</v>
      </c>
      <c r="T421">
        <v>20</v>
      </c>
      <c r="U421">
        <v>18</v>
      </c>
      <c r="Y421" s="4">
        <f t="shared" si="48"/>
        <v>18</v>
      </c>
    </row>
    <row r="422" spans="1:25" ht="18" x14ac:dyDescent="0.25">
      <c r="A422" t="s">
        <v>1429</v>
      </c>
      <c r="B422" t="s">
        <v>1430</v>
      </c>
      <c r="C422" s="12" t="str">
        <f t="shared" si="42"/>
        <v>Negative</v>
      </c>
      <c r="D422" s="18">
        <f t="shared" si="43"/>
        <v>-1</v>
      </c>
      <c r="E422" s="1">
        <v>43682.875</v>
      </c>
      <c r="F422" s="10">
        <f>INT(E422)</f>
        <v>43682</v>
      </c>
      <c r="G422" s="15">
        <f>MOD(E422,2)</f>
        <v>0.875</v>
      </c>
      <c r="H422" s="15" t="str">
        <f t="shared" si="44"/>
        <v>21:00</v>
      </c>
      <c r="I422" t="s">
        <v>1431</v>
      </c>
      <c r="J422" t="s">
        <v>26</v>
      </c>
      <c r="K422" t="str">
        <f t="shared" si="45"/>
        <v>Instagram</v>
      </c>
      <c r="L422" t="s">
        <v>1432</v>
      </c>
      <c r="M422">
        <v>15</v>
      </c>
      <c r="N422">
        <v>30</v>
      </c>
      <c r="O422">
        <f t="shared" si="46"/>
        <v>45</v>
      </c>
      <c r="P422" t="s">
        <v>1271</v>
      </c>
      <c r="Q422" t="str">
        <f t="shared" si="47"/>
        <v>USA</v>
      </c>
      <c r="R422">
        <v>2019</v>
      </c>
      <c r="S422">
        <v>8</v>
      </c>
      <c r="T422">
        <v>5</v>
      </c>
      <c r="U422">
        <v>21</v>
      </c>
      <c r="Y422" s="4">
        <f t="shared" si="48"/>
        <v>21</v>
      </c>
    </row>
    <row r="423" spans="1:25" ht="18" x14ac:dyDescent="0.25">
      <c r="A423" t="s">
        <v>1433</v>
      </c>
      <c r="B423" t="s">
        <v>1434</v>
      </c>
      <c r="C423" s="12" t="str">
        <f t="shared" si="42"/>
        <v>Negative</v>
      </c>
      <c r="D423" s="18">
        <f t="shared" si="43"/>
        <v>-1</v>
      </c>
      <c r="E423" s="1">
        <v>44239.697916666664</v>
      </c>
      <c r="F423" s="10">
        <f>INT(E423)</f>
        <v>44239</v>
      </c>
      <c r="G423" s="15">
        <f>MOD(E423,2)</f>
        <v>1.6979166666642413</v>
      </c>
      <c r="H423" s="15" t="str">
        <f t="shared" si="44"/>
        <v>16:45</v>
      </c>
      <c r="I423" t="s">
        <v>1435</v>
      </c>
      <c r="J423" t="s">
        <v>16</v>
      </c>
      <c r="K423" t="str">
        <f t="shared" si="45"/>
        <v>Twitter</v>
      </c>
      <c r="L423" t="s">
        <v>1436</v>
      </c>
      <c r="M423">
        <v>18</v>
      </c>
      <c r="N423">
        <v>35</v>
      </c>
      <c r="O423">
        <f t="shared" si="46"/>
        <v>53</v>
      </c>
      <c r="P423" t="s">
        <v>593</v>
      </c>
      <c r="Q423" t="str">
        <f t="shared" si="47"/>
        <v>Canada</v>
      </c>
      <c r="R423">
        <v>2021</v>
      </c>
      <c r="S423">
        <v>2</v>
      </c>
      <c r="T423">
        <v>12</v>
      </c>
      <c r="U423">
        <v>16</v>
      </c>
      <c r="Y423" s="4">
        <f t="shared" si="48"/>
        <v>16</v>
      </c>
    </row>
    <row r="424" spans="1:25" ht="18" x14ac:dyDescent="0.25">
      <c r="A424" t="s">
        <v>1437</v>
      </c>
      <c r="B424" t="s">
        <v>1438</v>
      </c>
      <c r="C424" s="12" t="str">
        <f t="shared" si="42"/>
        <v>Negative</v>
      </c>
      <c r="D424" s="18">
        <f t="shared" si="43"/>
        <v>-1</v>
      </c>
      <c r="E424" s="1">
        <v>44163.597222222219</v>
      </c>
      <c r="F424" s="10">
        <f>INT(E424)</f>
        <v>44163</v>
      </c>
      <c r="G424" s="15">
        <f>MOD(E424,2)</f>
        <v>1.5972222222189885</v>
      </c>
      <c r="H424" s="15" t="str">
        <f t="shared" si="44"/>
        <v>14:20</v>
      </c>
      <c r="I424" t="s">
        <v>1439</v>
      </c>
      <c r="J424" t="s">
        <v>31</v>
      </c>
      <c r="K424" t="str">
        <f t="shared" si="45"/>
        <v>Facebook</v>
      </c>
      <c r="L424" t="s">
        <v>1440</v>
      </c>
      <c r="M424">
        <v>22</v>
      </c>
      <c r="N424">
        <v>45</v>
      </c>
      <c r="O424">
        <f t="shared" si="46"/>
        <v>67</v>
      </c>
      <c r="P424" t="s">
        <v>1403</v>
      </c>
      <c r="Q424" t="str">
        <f t="shared" si="47"/>
        <v>UK</v>
      </c>
      <c r="R424">
        <v>2020</v>
      </c>
      <c r="S424">
        <v>11</v>
      </c>
      <c r="T424">
        <v>28</v>
      </c>
      <c r="U424">
        <v>14</v>
      </c>
      <c r="Y424" s="4">
        <f t="shared" si="48"/>
        <v>14</v>
      </c>
    </row>
    <row r="425" spans="1:25" ht="18" x14ac:dyDescent="0.25">
      <c r="A425" t="s">
        <v>1441</v>
      </c>
      <c r="B425" t="s">
        <v>1442</v>
      </c>
      <c r="C425" s="12" t="str">
        <f t="shared" si="42"/>
        <v>Negative</v>
      </c>
      <c r="D425" s="18">
        <f t="shared" si="43"/>
        <v>-1</v>
      </c>
      <c r="E425" s="1">
        <v>42505.9375</v>
      </c>
      <c r="F425" s="10">
        <f>INT(E425)</f>
        <v>42505</v>
      </c>
      <c r="G425" s="15">
        <f>MOD(E425,2)</f>
        <v>1.9375</v>
      </c>
      <c r="H425" s="15" t="str">
        <f t="shared" si="44"/>
        <v>22:30</v>
      </c>
      <c r="I425" t="s">
        <v>1443</v>
      </c>
      <c r="J425" t="s">
        <v>26</v>
      </c>
      <c r="K425" t="str">
        <f t="shared" si="45"/>
        <v>Instagram</v>
      </c>
      <c r="L425" t="s">
        <v>1444</v>
      </c>
      <c r="M425">
        <v>28</v>
      </c>
      <c r="N425">
        <v>55</v>
      </c>
      <c r="O425">
        <f t="shared" si="46"/>
        <v>83</v>
      </c>
      <c r="P425" t="s">
        <v>1445</v>
      </c>
      <c r="Q425" t="str">
        <f t="shared" si="47"/>
        <v>Australia</v>
      </c>
      <c r="R425">
        <v>2016</v>
      </c>
      <c r="S425">
        <v>5</v>
      </c>
      <c r="T425">
        <v>15</v>
      </c>
      <c r="U425">
        <v>22</v>
      </c>
      <c r="Y425" s="4">
        <f t="shared" si="48"/>
        <v>22</v>
      </c>
    </row>
    <row r="426" spans="1:25" ht="18" x14ac:dyDescent="0.25">
      <c r="A426" t="s">
        <v>1446</v>
      </c>
      <c r="B426" t="s">
        <v>1447</v>
      </c>
      <c r="C426" s="12" t="str">
        <f t="shared" si="42"/>
        <v>Negative</v>
      </c>
      <c r="D426" s="18">
        <f t="shared" si="43"/>
        <v>-1</v>
      </c>
      <c r="E426" s="1">
        <v>43353.552083333336</v>
      </c>
      <c r="F426" s="10">
        <f>INT(E426)</f>
        <v>43353</v>
      </c>
      <c r="G426" s="15">
        <f>MOD(E426,2)</f>
        <v>1.5520833333357587</v>
      </c>
      <c r="H426" s="15" t="str">
        <f t="shared" si="44"/>
        <v>13:15</v>
      </c>
      <c r="I426" t="s">
        <v>1448</v>
      </c>
      <c r="J426" t="s">
        <v>16</v>
      </c>
      <c r="K426" t="str">
        <f t="shared" si="45"/>
        <v>Twitter</v>
      </c>
      <c r="L426" t="s">
        <v>1449</v>
      </c>
      <c r="M426">
        <v>22</v>
      </c>
      <c r="N426">
        <v>45</v>
      </c>
      <c r="O426">
        <f t="shared" si="46"/>
        <v>67</v>
      </c>
      <c r="P426" t="s">
        <v>1281</v>
      </c>
      <c r="Q426" t="str">
        <f t="shared" si="47"/>
        <v>Germany</v>
      </c>
      <c r="R426">
        <v>2018</v>
      </c>
      <c r="S426">
        <v>9</v>
      </c>
      <c r="T426">
        <v>10</v>
      </c>
      <c r="U426">
        <v>13</v>
      </c>
      <c r="Y426" s="4">
        <f t="shared" si="48"/>
        <v>13</v>
      </c>
    </row>
    <row r="427" spans="1:25" ht="18" x14ac:dyDescent="0.25">
      <c r="A427" t="s">
        <v>1450</v>
      </c>
      <c r="B427" t="s">
        <v>1451</v>
      </c>
      <c r="C427" s="12" t="str">
        <f t="shared" si="42"/>
        <v>Negative</v>
      </c>
      <c r="D427" s="18">
        <f t="shared" si="43"/>
        <v>-1</v>
      </c>
      <c r="E427" s="1">
        <v>44640.8125</v>
      </c>
      <c r="F427" s="10">
        <f>INT(E427)</f>
        <v>44640</v>
      </c>
      <c r="G427" s="15">
        <f>MOD(E427,2)</f>
        <v>0.8125</v>
      </c>
      <c r="H427" s="15" t="str">
        <f t="shared" si="44"/>
        <v>19:30</v>
      </c>
      <c r="I427" t="s">
        <v>1452</v>
      </c>
      <c r="J427" t="s">
        <v>31</v>
      </c>
      <c r="K427" t="str">
        <f t="shared" si="45"/>
        <v>Facebook</v>
      </c>
      <c r="L427" t="s">
        <v>1453</v>
      </c>
      <c r="M427">
        <v>25</v>
      </c>
      <c r="N427">
        <v>50</v>
      </c>
      <c r="O427">
        <f t="shared" si="46"/>
        <v>75</v>
      </c>
      <c r="P427" t="s">
        <v>1423</v>
      </c>
      <c r="Q427" t="str">
        <f t="shared" si="47"/>
        <v>Brazil</v>
      </c>
      <c r="R427">
        <v>2022</v>
      </c>
      <c r="S427">
        <v>3</v>
      </c>
      <c r="T427">
        <v>20</v>
      </c>
      <c r="U427">
        <v>19</v>
      </c>
      <c r="Y427" s="4">
        <f t="shared" si="48"/>
        <v>19</v>
      </c>
    </row>
    <row r="428" spans="1:25" ht="18" x14ac:dyDescent="0.25">
      <c r="A428" t="s">
        <v>1454</v>
      </c>
      <c r="B428" t="s">
        <v>1455</v>
      </c>
      <c r="C428" s="12" t="str">
        <f t="shared" si="42"/>
        <v>Neutral</v>
      </c>
      <c r="D428" s="18">
        <f t="shared" si="43"/>
        <v>0</v>
      </c>
      <c r="E428" s="1">
        <v>42934.739583333336</v>
      </c>
      <c r="F428" s="10">
        <f>INT(E428)</f>
        <v>42934</v>
      </c>
      <c r="G428" s="15">
        <f>MOD(E428,2)</f>
        <v>0.73958333333575865</v>
      </c>
      <c r="H428" s="15" t="str">
        <f t="shared" si="44"/>
        <v>17:45</v>
      </c>
      <c r="I428" t="s">
        <v>1456</v>
      </c>
      <c r="J428" t="s">
        <v>26</v>
      </c>
      <c r="K428" t="str">
        <f t="shared" si="45"/>
        <v>Instagram</v>
      </c>
      <c r="L428" t="s">
        <v>1457</v>
      </c>
      <c r="M428">
        <v>30</v>
      </c>
      <c r="N428">
        <v>60</v>
      </c>
      <c r="O428">
        <f t="shared" si="46"/>
        <v>90</v>
      </c>
      <c r="P428" t="s">
        <v>1408</v>
      </c>
      <c r="Q428" t="str">
        <f t="shared" si="47"/>
        <v>India</v>
      </c>
      <c r="R428">
        <v>2017</v>
      </c>
      <c r="S428">
        <v>7</v>
      </c>
      <c r="T428">
        <v>18</v>
      </c>
      <c r="U428">
        <v>17</v>
      </c>
      <c r="Y428" s="4">
        <f t="shared" si="48"/>
        <v>17</v>
      </c>
    </row>
    <row r="429" spans="1:25" ht="18" x14ac:dyDescent="0.25">
      <c r="A429" t="s">
        <v>1458</v>
      </c>
      <c r="B429" t="s">
        <v>1459</v>
      </c>
      <c r="C429" s="12" t="str">
        <f t="shared" si="42"/>
        <v>Negative</v>
      </c>
      <c r="D429" s="18">
        <f t="shared" si="43"/>
        <v>-1</v>
      </c>
      <c r="E429" s="1">
        <v>43449.416666666664</v>
      </c>
      <c r="F429" s="10">
        <f>INT(E429)</f>
        <v>43449</v>
      </c>
      <c r="G429" s="15">
        <f>MOD(E429,2)</f>
        <v>1.4166666666642413</v>
      </c>
      <c r="H429" s="15" t="str">
        <f t="shared" si="44"/>
        <v>10:00</v>
      </c>
      <c r="I429" t="s">
        <v>1460</v>
      </c>
      <c r="J429" t="s">
        <v>16</v>
      </c>
      <c r="K429" t="str">
        <f t="shared" si="45"/>
        <v>Twitter</v>
      </c>
      <c r="L429" t="s">
        <v>1461</v>
      </c>
      <c r="M429">
        <v>18</v>
      </c>
      <c r="N429">
        <v>35</v>
      </c>
      <c r="O429">
        <f t="shared" si="46"/>
        <v>53</v>
      </c>
      <c r="P429" t="s">
        <v>1462</v>
      </c>
      <c r="Q429" t="str">
        <f t="shared" si="47"/>
        <v>France</v>
      </c>
      <c r="R429">
        <v>2018</v>
      </c>
      <c r="S429">
        <v>12</v>
      </c>
      <c r="T429">
        <v>15</v>
      </c>
      <c r="U429">
        <v>10</v>
      </c>
      <c r="Y429" s="4">
        <f t="shared" si="48"/>
        <v>10</v>
      </c>
    </row>
    <row r="430" spans="1:25" ht="18" x14ac:dyDescent="0.25">
      <c r="A430" t="s">
        <v>1463</v>
      </c>
      <c r="B430" t="s">
        <v>1438</v>
      </c>
      <c r="C430" s="12" t="str">
        <f t="shared" si="42"/>
        <v>Negative</v>
      </c>
      <c r="D430" s="18">
        <f t="shared" si="43"/>
        <v>-1</v>
      </c>
      <c r="E430" s="1">
        <v>42183.885416666664</v>
      </c>
      <c r="F430" s="10">
        <f>INT(E430)</f>
        <v>42183</v>
      </c>
      <c r="G430" s="15">
        <f>MOD(E430,2)</f>
        <v>1.8854166666642413</v>
      </c>
      <c r="H430" s="15" t="str">
        <f t="shared" si="44"/>
        <v>21:15</v>
      </c>
      <c r="I430" t="s">
        <v>1464</v>
      </c>
      <c r="J430" t="s">
        <v>31</v>
      </c>
      <c r="K430" t="str">
        <f t="shared" si="45"/>
        <v>Facebook</v>
      </c>
      <c r="L430" t="s">
        <v>1465</v>
      </c>
      <c r="M430">
        <v>28</v>
      </c>
      <c r="N430">
        <v>55</v>
      </c>
      <c r="O430">
        <f t="shared" si="46"/>
        <v>83</v>
      </c>
      <c r="P430" t="s">
        <v>1466</v>
      </c>
      <c r="Q430" t="str">
        <f t="shared" si="47"/>
        <v>Italy</v>
      </c>
      <c r="R430">
        <v>2015</v>
      </c>
      <c r="S430">
        <v>6</v>
      </c>
      <c r="T430">
        <v>28</v>
      </c>
      <c r="U430">
        <v>21</v>
      </c>
      <c r="Y430" s="4">
        <f t="shared" si="48"/>
        <v>21</v>
      </c>
    </row>
    <row r="431" spans="1:25" ht="18" x14ac:dyDescent="0.25">
      <c r="A431" t="s">
        <v>1467</v>
      </c>
      <c r="B431" t="s">
        <v>1468</v>
      </c>
      <c r="C431" s="12" t="str">
        <f t="shared" si="42"/>
        <v>Negative</v>
      </c>
      <c r="D431" s="18">
        <f t="shared" si="43"/>
        <v>-1</v>
      </c>
      <c r="E431" s="1">
        <v>43923.597222222219</v>
      </c>
      <c r="F431" s="10">
        <f>INT(E431)</f>
        <v>43923</v>
      </c>
      <c r="G431" s="15">
        <f>MOD(E431,2)</f>
        <v>1.5972222222189885</v>
      </c>
      <c r="H431" s="15" t="str">
        <f t="shared" si="44"/>
        <v>14:20</v>
      </c>
      <c r="I431" t="s">
        <v>1469</v>
      </c>
      <c r="J431" t="s">
        <v>26</v>
      </c>
      <c r="K431" t="str">
        <f t="shared" si="45"/>
        <v>Instagram</v>
      </c>
      <c r="L431" t="s">
        <v>1470</v>
      </c>
      <c r="M431">
        <v>35</v>
      </c>
      <c r="N431">
        <v>70</v>
      </c>
      <c r="O431">
        <f t="shared" si="46"/>
        <v>105</v>
      </c>
      <c r="P431" t="s">
        <v>1471</v>
      </c>
      <c r="Q431" t="str">
        <f t="shared" si="47"/>
        <v>Japan</v>
      </c>
      <c r="R431">
        <v>2020</v>
      </c>
      <c r="S431">
        <v>4</v>
      </c>
      <c r="T431">
        <v>2</v>
      </c>
      <c r="U431">
        <v>14</v>
      </c>
      <c r="Y431" s="4">
        <f t="shared" si="48"/>
        <v>14</v>
      </c>
    </row>
    <row r="432" spans="1:25" ht="18" x14ac:dyDescent="0.25">
      <c r="A432" t="s">
        <v>1472</v>
      </c>
      <c r="B432" t="s">
        <v>1473</v>
      </c>
      <c r="C432" s="12" t="str">
        <f t="shared" si="42"/>
        <v>Negative</v>
      </c>
      <c r="D432" s="18">
        <f t="shared" si="43"/>
        <v>-1</v>
      </c>
      <c r="E432" s="1">
        <v>43746.770833333336</v>
      </c>
      <c r="F432" s="10">
        <f>INT(E432)</f>
        <v>43746</v>
      </c>
      <c r="G432" s="15">
        <f>MOD(E432,2)</f>
        <v>0.77083333333575865</v>
      </c>
      <c r="H432" s="15" t="str">
        <f t="shared" si="44"/>
        <v>18:30</v>
      </c>
      <c r="I432" t="s">
        <v>1474</v>
      </c>
      <c r="J432" t="s">
        <v>16</v>
      </c>
      <c r="K432" t="str">
        <f t="shared" si="45"/>
        <v>Twitter</v>
      </c>
      <c r="L432" t="s">
        <v>1475</v>
      </c>
      <c r="M432">
        <v>20</v>
      </c>
      <c r="N432">
        <v>40</v>
      </c>
      <c r="O432">
        <f t="shared" si="46"/>
        <v>60</v>
      </c>
      <c r="P432" t="s">
        <v>1476</v>
      </c>
      <c r="Q432" t="str">
        <f t="shared" si="47"/>
        <v>Spain</v>
      </c>
      <c r="R432">
        <v>2019</v>
      </c>
      <c r="S432">
        <v>10</v>
      </c>
      <c r="T432">
        <v>8</v>
      </c>
      <c r="U432">
        <v>18</v>
      </c>
      <c r="Y432" s="4">
        <f t="shared" si="48"/>
        <v>18</v>
      </c>
    </row>
    <row r="433" spans="1:25" ht="18" x14ac:dyDescent="0.25">
      <c r="A433" t="s">
        <v>1477</v>
      </c>
      <c r="B433" t="s">
        <v>1478</v>
      </c>
      <c r="C433" s="12" t="str">
        <f t="shared" si="42"/>
        <v>Positive</v>
      </c>
      <c r="D433" s="18">
        <f t="shared" si="43"/>
        <v>1</v>
      </c>
      <c r="E433" s="1">
        <v>42696.40625</v>
      </c>
      <c r="F433" s="10">
        <f>INT(E433)</f>
        <v>42696</v>
      </c>
      <c r="G433" s="15">
        <f>MOD(E433,2)</f>
        <v>0.40625</v>
      </c>
      <c r="H433" s="15" t="str">
        <f t="shared" si="44"/>
        <v>09:45</v>
      </c>
      <c r="I433" t="s">
        <v>1479</v>
      </c>
      <c r="J433" t="s">
        <v>31</v>
      </c>
      <c r="K433" t="str">
        <f t="shared" si="45"/>
        <v>Facebook</v>
      </c>
      <c r="L433" t="s">
        <v>1480</v>
      </c>
      <c r="M433">
        <v>22</v>
      </c>
      <c r="N433">
        <v>45</v>
      </c>
      <c r="O433">
        <f t="shared" si="46"/>
        <v>67</v>
      </c>
      <c r="P433" t="s">
        <v>1481</v>
      </c>
      <c r="Q433" t="str">
        <f t="shared" si="47"/>
        <v>Netherlands</v>
      </c>
      <c r="R433">
        <v>2016</v>
      </c>
      <c r="S433">
        <v>11</v>
      </c>
      <c r="T433">
        <v>22</v>
      </c>
      <c r="U433">
        <v>9</v>
      </c>
      <c r="Y433" s="4">
        <f t="shared" si="48"/>
        <v>9</v>
      </c>
    </row>
    <row r="434" spans="1:25" ht="18" x14ac:dyDescent="0.25">
      <c r="A434" t="s">
        <v>1482</v>
      </c>
      <c r="B434" t="s">
        <v>1442</v>
      </c>
      <c r="C434" s="12" t="str">
        <f t="shared" si="42"/>
        <v>Negative</v>
      </c>
      <c r="D434" s="18">
        <f t="shared" si="43"/>
        <v>-1</v>
      </c>
      <c r="E434" s="1">
        <v>44791.916666666664</v>
      </c>
      <c r="F434" s="10">
        <f>INT(E434)</f>
        <v>44791</v>
      </c>
      <c r="G434" s="15">
        <f>MOD(E434,2)</f>
        <v>1.9166666666642413</v>
      </c>
      <c r="H434" s="15" t="str">
        <f t="shared" si="44"/>
        <v>22:00</v>
      </c>
      <c r="I434" t="s">
        <v>1483</v>
      </c>
      <c r="J434" t="s">
        <v>26</v>
      </c>
      <c r="K434" t="str">
        <f t="shared" si="45"/>
        <v>Instagram</v>
      </c>
      <c r="L434" t="s">
        <v>1484</v>
      </c>
      <c r="M434">
        <v>40</v>
      </c>
      <c r="N434">
        <v>80</v>
      </c>
      <c r="O434">
        <f t="shared" si="46"/>
        <v>120</v>
      </c>
      <c r="P434" t="s">
        <v>1485</v>
      </c>
      <c r="Q434" t="str">
        <f t="shared" si="47"/>
        <v>South Africa</v>
      </c>
      <c r="R434">
        <v>2022</v>
      </c>
      <c r="S434">
        <v>8</v>
      </c>
      <c r="T434">
        <v>18</v>
      </c>
      <c r="U434">
        <v>22</v>
      </c>
      <c r="Y434" s="4">
        <f t="shared" si="48"/>
        <v>22</v>
      </c>
    </row>
    <row r="435" spans="1:25" ht="18" x14ac:dyDescent="0.25">
      <c r="A435" t="s">
        <v>1486</v>
      </c>
      <c r="B435" t="s">
        <v>1487</v>
      </c>
      <c r="C435" s="12" t="str">
        <f t="shared" si="42"/>
        <v>Negative</v>
      </c>
      <c r="D435" s="18">
        <f t="shared" si="43"/>
        <v>-1</v>
      </c>
      <c r="E435" s="1">
        <v>42806.979166666664</v>
      </c>
      <c r="F435" s="10">
        <f>INT(E435)</f>
        <v>42806</v>
      </c>
      <c r="G435" s="15">
        <f>MOD(E435,2)</f>
        <v>0.97916666666424135</v>
      </c>
      <c r="H435" s="15" t="str">
        <f t="shared" si="44"/>
        <v>23:30</v>
      </c>
      <c r="I435" t="s">
        <v>1488</v>
      </c>
      <c r="J435" t="s">
        <v>874</v>
      </c>
      <c r="K435" t="str">
        <f t="shared" si="45"/>
        <v>Twitter</v>
      </c>
      <c r="L435" t="s">
        <v>1489</v>
      </c>
      <c r="M435">
        <v>18</v>
      </c>
      <c r="N435">
        <v>35</v>
      </c>
      <c r="O435">
        <f t="shared" si="46"/>
        <v>53</v>
      </c>
      <c r="P435" t="s">
        <v>190</v>
      </c>
      <c r="Q435" t="str">
        <f t="shared" si="47"/>
        <v>UK</v>
      </c>
      <c r="R435">
        <v>2017</v>
      </c>
      <c r="S435">
        <v>3</v>
      </c>
      <c r="T435">
        <v>12</v>
      </c>
      <c r="U435">
        <v>23</v>
      </c>
      <c r="Y435" s="4">
        <f t="shared" si="48"/>
        <v>23</v>
      </c>
    </row>
    <row r="436" spans="1:25" ht="18" x14ac:dyDescent="0.25">
      <c r="A436" t="s">
        <v>1490</v>
      </c>
      <c r="B436" t="s">
        <v>984</v>
      </c>
      <c r="C436" s="12" t="str">
        <f t="shared" si="42"/>
        <v>Negative</v>
      </c>
      <c r="D436" s="18">
        <f t="shared" si="43"/>
        <v>-1</v>
      </c>
      <c r="E436" s="1">
        <v>42353.677083333336</v>
      </c>
      <c r="F436" s="10">
        <f>INT(E436)</f>
        <v>42353</v>
      </c>
      <c r="G436" s="15">
        <f>MOD(E436,2)</f>
        <v>1.6770833333357587</v>
      </c>
      <c r="H436" s="15" t="str">
        <f t="shared" si="44"/>
        <v>16:15</v>
      </c>
      <c r="I436" t="s">
        <v>1491</v>
      </c>
      <c r="J436" t="s">
        <v>31</v>
      </c>
      <c r="K436" t="str">
        <f t="shared" si="45"/>
        <v>Facebook</v>
      </c>
      <c r="L436" t="s">
        <v>1492</v>
      </c>
      <c r="M436">
        <v>25</v>
      </c>
      <c r="N436">
        <v>50</v>
      </c>
      <c r="O436">
        <f t="shared" si="46"/>
        <v>75</v>
      </c>
      <c r="P436" t="s">
        <v>249</v>
      </c>
      <c r="Q436" t="str">
        <f t="shared" si="47"/>
        <v>Australia</v>
      </c>
      <c r="R436">
        <v>2015</v>
      </c>
      <c r="S436">
        <v>12</v>
      </c>
      <c r="T436">
        <v>15</v>
      </c>
      <c r="U436">
        <v>16</v>
      </c>
      <c r="Y436" s="4">
        <f t="shared" si="48"/>
        <v>16</v>
      </c>
    </row>
    <row r="437" spans="1:25" ht="18" x14ac:dyDescent="0.25">
      <c r="A437" t="s">
        <v>1493</v>
      </c>
      <c r="B437" t="s">
        <v>1494</v>
      </c>
      <c r="C437" s="12" t="str">
        <f t="shared" si="42"/>
        <v>Negative</v>
      </c>
      <c r="D437" s="18">
        <f t="shared" si="43"/>
        <v>-1</v>
      </c>
      <c r="E437" s="1">
        <v>44444.5625</v>
      </c>
      <c r="F437" s="10">
        <f>INT(E437)</f>
        <v>44444</v>
      </c>
      <c r="G437" s="15">
        <f>MOD(E437,2)</f>
        <v>0.5625</v>
      </c>
      <c r="H437" s="15" t="str">
        <f t="shared" si="44"/>
        <v>13:30</v>
      </c>
      <c r="I437" t="s">
        <v>1495</v>
      </c>
      <c r="J437" t="s">
        <v>26</v>
      </c>
      <c r="K437" t="str">
        <f t="shared" si="45"/>
        <v>Instagram</v>
      </c>
      <c r="L437" t="s">
        <v>1496</v>
      </c>
      <c r="M437">
        <v>35</v>
      </c>
      <c r="N437">
        <v>70</v>
      </c>
      <c r="O437">
        <f t="shared" si="46"/>
        <v>105</v>
      </c>
      <c r="P437" t="s">
        <v>199</v>
      </c>
      <c r="Q437" t="str">
        <f t="shared" si="47"/>
        <v>Canada</v>
      </c>
      <c r="R437">
        <v>2021</v>
      </c>
      <c r="S437">
        <v>9</v>
      </c>
      <c r="T437">
        <v>5</v>
      </c>
      <c r="U437">
        <v>13</v>
      </c>
      <c r="Y437" s="4">
        <f t="shared" si="48"/>
        <v>13</v>
      </c>
    </row>
    <row r="438" spans="1:25" ht="18" x14ac:dyDescent="0.25">
      <c r="A438" t="s">
        <v>1497</v>
      </c>
      <c r="B438" t="s">
        <v>1498</v>
      </c>
      <c r="C438" s="12" t="str">
        <f t="shared" si="42"/>
        <v>Negative</v>
      </c>
      <c r="D438" s="18">
        <f t="shared" si="43"/>
        <v>-1</v>
      </c>
      <c r="E438" s="1">
        <v>43242.864583333336</v>
      </c>
      <c r="F438" s="10">
        <f>INT(E438)</f>
        <v>43242</v>
      </c>
      <c r="G438" s="15">
        <f>MOD(E438,2)</f>
        <v>0.86458333333575865</v>
      </c>
      <c r="H438" s="15" t="str">
        <f t="shared" si="44"/>
        <v>20:45</v>
      </c>
      <c r="I438" t="s">
        <v>1499</v>
      </c>
      <c r="J438" t="s">
        <v>16</v>
      </c>
      <c r="K438" t="str">
        <f t="shared" si="45"/>
        <v>Twitter</v>
      </c>
      <c r="L438" t="s">
        <v>1500</v>
      </c>
      <c r="M438">
        <v>18</v>
      </c>
      <c r="N438">
        <v>35</v>
      </c>
      <c r="O438">
        <f t="shared" si="46"/>
        <v>53</v>
      </c>
      <c r="P438" t="s">
        <v>1501</v>
      </c>
      <c r="Q438" t="str">
        <f t="shared" si="47"/>
        <v>Germany</v>
      </c>
      <c r="R438">
        <v>2018</v>
      </c>
      <c r="S438">
        <v>5</v>
      </c>
      <c r="T438">
        <v>22</v>
      </c>
      <c r="U438">
        <v>20</v>
      </c>
      <c r="Y438" s="4">
        <f t="shared" si="48"/>
        <v>20</v>
      </c>
    </row>
    <row r="439" spans="1:25" ht="18" x14ac:dyDescent="0.25">
      <c r="A439" t="s">
        <v>1502</v>
      </c>
      <c r="B439" t="s">
        <v>1503</v>
      </c>
      <c r="C439" s="12" t="str">
        <f t="shared" si="42"/>
        <v>Negative</v>
      </c>
      <c r="D439" s="18">
        <f t="shared" si="43"/>
        <v>-1</v>
      </c>
      <c r="E439" s="1">
        <v>42561.763888888891</v>
      </c>
      <c r="F439" s="10">
        <f>INT(E439)</f>
        <v>42561</v>
      </c>
      <c r="G439" s="15">
        <f>MOD(E439,2)</f>
        <v>1.7638888888905058</v>
      </c>
      <c r="H439" s="15" t="str">
        <f t="shared" si="44"/>
        <v>18:20</v>
      </c>
      <c r="I439" t="s">
        <v>1504</v>
      </c>
      <c r="J439" t="s">
        <v>31</v>
      </c>
      <c r="K439" t="str">
        <f t="shared" si="45"/>
        <v>Facebook</v>
      </c>
      <c r="L439" t="s">
        <v>1505</v>
      </c>
      <c r="M439">
        <v>28</v>
      </c>
      <c r="N439">
        <v>55</v>
      </c>
      <c r="O439">
        <f t="shared" si="46"/>
        <v>83</v>
      </c>
      <c r="P439" t="s">
        <v>1506</v>
      </c>
      <c r="Q439" t="str">
        <f t="shared" si="47"/>
        <v>USA</v>
      </c>
      <c r="R439">
        <v>2016</v>
      </c>
      <c r="S439">
        <v>7</v>
      </c>
      <c r="T439">
        <v>10</v>
      </c>
      <c r="U439">
        <v>18</v>
      </c>
      <c r="Y439" s="4">
        <f t="shared" si="48"/>
        <v>18</v>
      </c>
    </row>
    <row r="440" spans="1:25" ht="18" x14ac:dyDescent="0.25">
      <c r="A440" t="s">
        <v>1507</v>
      </c>
      <c r="B440" t="s">
        <v>1508</v>
      </c>
      <c r="C440" s="12" t="str">
        <f t="shared" si="42"/>
        <v>Negative</v>
      </c>
      <c r="D440" s="18">
        <f t="shared" si="43"/>
        <v>-1</v>
      </c>
      <c r="E440" s="1">
        <v>43585.583333333336</v>
      </c>
      <c r="F440" s="10">
        <f>INT(E440)</f>
        <v>43585</v>
      </c>
      <c r="G440" s="15">
        <f>MOD(E440,2)</f>
        <v>1.5833333333357587</v>
      </c>
      <c r="H440" s="15" t="str">
        <f t="shared" si="44"/>
        <v>14:00</v>
      </c>
      <c r="I440" t="s">
        <v>1509</v>
      </c>
      <c r="J440" t="s">
        <v>26</v>
      </c>
      <c r="K440" t="str">
        <f t="shared" si="45"/>
        <v>Instagram</v>
      </c>
      <c r="L440" t="s">
        <v>1510</v>
      </c>
      <c r="M440">
        <v>22</v>
      </c>
      <c r="N440">
        <v>45</v>
      </c>
      <c r="O440">
        <f t="shared" si="46"/>
        <v>67</v>
      </c>
      <c r="P440" t="s">
        <v>1511</v>
      </c>
      <c r="Q440" t="str">
        <f t="shared" si="47"/>
        <v>France</v>
      </c>
      <c r="R440">
        <v>2019</v>
      </c>
      <c r="S440">
        <v>4</v>
      </c>
      <c r="T440">
        <v>30</v>
      </c>
      <c r="U440">
        <v>14</v>
      </c>
      <c r="Y440" s="4">
        <f t="shared" si="48"/>
        <v>14</v>
      </c>
    </row>
    <row r="441" spans="1:25" ht="18" x14ac:dyDescent="0.25">
      <c r="A441" t="s">
        <v>1512</v>
      </c>
      <c r="B441" t="s">
        <v>1513</v>
      </c>
      <c r="C441" s="12" t="str">
        <f t="shared" si="42"/>
        <v>Negative</v>
      </c>
      <c r="D441" s="18">
        <f t="shared" si="43"/>
        <v>-1</v>
      </c>
      <c r="E441" s="1">
        <v>44569.479166666664</v>
      </c>
      <c r="F441" s="10">
        <f>INT(E441)</f>
        <v>44569</v>
      </c>
      <c r="G441" s="15">
        <f>MOD(E441,2)</f>
        <v>1.4791666666642413</v>
      </c>
      <c r="H441" s="15" t="str">
        <f t="shared" si="44"/>
        <v>11:30</v>
      </c>
      <c r="I441" t="s">
        <v>1514</v>
      </c>
      <c r="J441" t="s">
        <v>16</v>
      </c>
      <c r="K441" t="str">
        <f t="shared" si="45"/>
        <v>Twitter</v>
      </c>
      <c r="L441" t="s">
        <v>1515</v>
      </c>
      <c r="M441">
        <v>20</v>
      </c>
      <c r="N441">
        <v>40</v>
      </c>
      <c r="O441">
        <f t="shared" si="46"/>
        <v>60</v>
      </c>
      <c r="P441" t="s">
        <v>1516</v>
      </c>
      <c r="Q441" t="str">
        <f t="shared" si="47"/>
        <v>Brazil</v>
      </c>
      <c r="R441">
        <v>2022</v>
      </c>
      <c r="S441">
        <v>1</v>
      </c>
      <c r="T441">
        <v>8</v>
      </c>
      <c r="U441">
        <v>11</v>
      </c>
      <c r="Y441" s="4">
        <f t="shared" si="48"/>
        <v>11</v>
      </c>
    </row>
    <row r="442" spans="1:25" ht="18" x14ac:dyDescent="0.25">
      <c r="A442" t="s">
        <v>1517</v>
      </c>
      <c r="B442" t="s">
        <v>1518</v>
      </c>
      <c r="C442" s="12" t="str">
        <f t="shared" si="42"/>
        <v>Negative</v>
      </c>
      <c r="D442" s="18">
        <f t="shared" si="43"/>
        <v>-1</v>
      </c>
      <c r="E442" s="1">
        <v>42988.802083333336</v>
      </c>
      <c r="F442" s="10">
        <f>INT(E442)</f>
        <v>42988</v>
      </c>
      <c r="G442" s="15">
        <f>MOD(E442,2)</f>
        <v>0.80208333333575865</v>
      </c>
      <c r="H442" s="15" t="str">
        <f t="shared" si="44"/>
        <v>19:15</v>
      </c>
      <c r="I442" t="s">
        <v>1519</v>
      </c>
      <c r="J442" t="s">
        <v>874</v>
      </c>
      <c r="K442" t="str">
        <f t="shared" si="45"/>
        <v>Twitter</v>
      </c>
      <c r="L442" t="s">
        <v>1520</v>
      </c>
      <c r="M442">
        <v>20</v>
      </c>
      <c r="N442">
        <v>40</v>
      </c>
      <c r="O442">
        <f t="shared" si="46"/>
        <v>60</v>
      </c>
      <c r="P442" t="s">
        <v>38</v>
      </c>
      <c r="Q442" t="str">
        <f t="shared" si="47"/>
        <v>Australia</v>
      </c>
      <c r="R442">
        <v>2017</v>
      </c>
      <c r="S442">
        <v>9</v>
      </c>
      <c r="T442">
        <v>10</v>
      </c>
      <c r="U442">
        <v>19</v>
      </c>
      <c r="Y442" s="4">
        <f t="shared" si="48"/>
        <v>19</v>
      </c>
    </row>
    <row r="443" spans="1:25" ht="18" x14ac:dyDescent="0.25">
      <c r="A443" t="s">
        <v>1521</v>
      </c>
      <c r="B443" t="s">
        <v>1522</v>
      </c>
      <c r="C443" s="12" t="str">
        <f t="shared" si="42"/>
        <v>Negative</v>
      </c>
      <c r="D443" s="18">
        <f t="shared" si="43"/>
        <v>-1</v>
      </c>
      <c r="E443" s="1">
        <v>44669.479166666664</v>
      </c>
      <c r="F443" s="10">
        <f>INT(E443)</f>
        <v>44669</v>
      </c>
      <c r="G443" s="15">
        <f>MOD(E443,2)</f>
        <v>1.4791666666642413</v>
      </c>
      <c r="H443" s="15" t="str">
        <f t="shared" si="44"/>
        <v>11:30</v>
      </c>
      <c r="I443" t="s">
        <v>1523</v>
      </c>
      <c r="J443" t="s">
        <v>26</v>
      </c>
      <c r="K443" t="str">
        <f t="shared" si="45"/>
        <v>Instagram</v>
      </c>
      <c r="L443" t="s">
        <v>1524</v>
      </c>
      <c r="M443">
        <v>25</v>
      </c>
      <c r="N443">
        <v>50</v>
      </c>
      <c r="O443">
        <f t="shared" si="46"/>
        <v>75</v>
      </c>
      <c r="P443" t="s">
        <v>123</v>
      </c>
      <c r="Q443" t="str">
        <f t="shared" si="47"/>
        <v>Canada</v>
      </c>
      <c r="R443">
        <v>2022</v>
      </c>
      <c r="S443">
        <v>4</v>
      </c>
      <c r="T443">
        <v>18</v>
      </c>
      <c r="U443">
        <v>11</v>
      </c>
      <c r="Y443" s="4">
        <f t="shared" si="48"/>
        <v>11</v>
      </c>
    </row>
    <row r="444" spans="1:25" ht="18" x14ac:dyDescent="0.25">
      <c r="A444" t="s">
        <v>1525</v>
      </c>
      <c r="B444" t="s">
        <v>1526</v>
      </c>
      <c r="C444" s="12" t="str">
        <f t="shared" si="42"/>
        <v>Negative</v>
      </c>
      <c r="D444" s="18">
        <f t="shared" si="43"/>
        <v>-1</v>
      </c>
      <c r="E444" s="1">
        <v>43439.90625</v>
      </c>
      <c r="F444" s="10">
        <f>INT(E444)</f>
        <v>43439</v>
      </c>
      <c r="G444" s="15">
        <f>MOD(E444,2)</f>
        <v>1.90625</v>
      </c>
      <c r="H444" s="15" t="str">
        <f t="shared" si="44"/>
        <v>21:45</v>
      </c>
      <c r="I444" t="s">
        <v>1527</v>
      </c>
      <c r="J444" t="s">
        <v>31</v>
      </c>
      <c r="K444" t="str">
        <f t="shared" si="45"/>
        <v>Facebook</v>
      </c>
      <c r="L444" t="s">
        <v>1528</v>
      </c>
      <c r="M444">
        <v>18</v>
      </c>
      <c r="N444">
        <v>35</v>
      </c>
      <c r="O444">
        <f t="shared" si="46"/>
        <v>53</v>
      </c>
      <c r="P444" t="s">
        <v>98</v>
      </c>
      <c r="Q444" t="str">
        <f t="shared" si="47"/>
        <v>USA</v>
      </c>
      <c r="R444">
        <v>2018</v>
      </c>
      <c r="S444">
        <v>12</v>
      </c>
      <c r="T444">
        <v>5</v>
      </c>
      <c r="U444">
        <v>21</v>
      </c>
      <c r="Y444" s="4">
        <f t="shared" si="48"/>
        <v>21</v>
      </c>
    </row>
    <row r="445" spans="1:25" ht="18" x14ac:dyDescent="0.25">
      <c r="A445" t="s">
        <v>1529</v>
      </c>
      <c r="B445" t="s">
        <v>649</v>
      </c>
      <c r="C445" s="12" t="str">
        <f t="shared" si="42"/>
        <v>Negative</v>
      </c>
      <c r="D445" s="18">
        <f t="shared" si="43"/>
        <v>-1</v>
      </c>
      <c r="E445" s="1">
        <v>42549.597222222219</v>
      </c>
      <c r="F445" s="10">
        <f>INT(E445)</f>
        <v>42549</v>
      </c>
      <c r="G445" s="15">
        <f>MOD(E445,2)</f>
        <v>1.5972222222189885</v>
      </c>
      <c r="H445" s="15" t="str">
        <f t="shared" si="44"/>
        <v>14:20</v>
      </c>
      <c r="I445" t="s">
        <v>1530</v>
      </c>
      <c r="J445" t="s">
        <v>874</v>
      </c>
      <c r="K445" t="str">
        <f t="shared" si="45"/>
        <v>Twitter</v>
      </c>
      <c r="L445" t="s">
        <v>1531</v>
      </c>
      <c r="M445">
        <v>22</v>
      </c>
      <c r="N445">
        <v>45</v>
      </c>
      <c r="O445">
        <f t="shared" si="46"/>
        <v>67</v>
      </c>
      <c r="P445" t="s">
        <v>109</v>
      </c>
      <c r="Q445" t="str">
        <f t="shared" si="47"/>
        <v>UK</v>
      </c>
      <c r="R445">
        <v>2016</v>
      </c>
      <c r="S445">
        <v>6</v>
      </c>
      <c r="T445">
        <v>28</v>
      </c>
      <c r="U445">
        <v>14</v>
      </c>
      <c r="Y445" s="4">
        <f t="shared" si="48"/>
        <v>14</v>
      </c>
    </row>
    <row r="446" spans="1:25" ht="18" x14ac:dyDescent="0.25">
      <c r="A446" t="s">
        <v>1532</v>
      </c>
      <c r="B446" t="s">
        <v>984</v>
      </c>
      <c r="C446" s="12" t="str">
        <f t="shared" si="42"/>
        <v>Negative</v>
      </c>
      <c r="D446" s="18">
        <f t="shared" si="43"/>
        <v>-1</v>
      </c>
      <c r="E446" s="1">
        <v>43760.708333333336</v>
      </c>
      <c r="F446" s="10">
        <f>INT(E446)</f>
        <v>43760</v>
      </c>
      <c r="G446" s="15">
        <f>MOD(E446,2)</f>
        <v>0.70833333333575865</v>
      </c>
      <c r="H446" s="15" t="str">
        <f t="shared" si="44"/>
        <v>17:00</v>
      </c>
      <c r="I446" t="s">
        <v>1533</v>
      </c>
      <c r="J446" t="s">
        <v>26</v>
      </c>
      <c r="K446" t="str">
        <f t="shared" si="45"/>
        <v>Instagram</v>
      </c>
      <c r="L446" t="s">
        <v>1534</v>
      </c>
      <c r="M446">
        <v>15</v>
      </c>
      <c r="N446">
        <v>30</v>
      </c>
      <c r="O446">
        <f t="shared" si="46"/>
        <v>45</v>
      </c>
      <c r="P446" t="s">
        <v>1535</v>
      </c>
      <c r="Q446" t="str">
        <f t="shared" si="47"/>
        <v>Germany</v>
      </c>
      <c r="R446">
        <v>2019</v>
      </c>
      <c r="S446">
        <v>10</v>
      </c>
      <c r="T446">
        <v>22</v>
      </c>
      <c r="U446">
        <v>17</v>
      </c>
      <c r="Y446" s="4">
        <f t="shared" si="48"/>
        <v>17</v>
      </c>
    </row>
    <row r="447" spans="1:25" ht="18" x14ac:dyDescent="0.25">
      <c r="A447" t="s">
        <v>1536</v>
      </c>
      <c r="B447" t="s">
        <v>1518</v>
      </c>
      <c r="C447" s="12" t="str">
        <f t="shared" si="42"/>
        <v>Negative</v>
      </c>
      <c r="D447" s="18">
        <f t="shared" si="43"/>
        <v>-1</v>
      </c>
      <c r="E447" s="1">
        <v>44270.947916666664</v>
      </c>
      <c r="F447" s="10">
        <f>INT(E447)</f>
        <v>44270</v>
      </c>
      <c r="G447" s="15">
        <f>MOD(E447,2)</f>
        <v>0.94791666666424135</v>
      </c>
      <c r="H447" s="15" t="str">
        <f t="shared" si="44"/>
        <v>22:45</v>
      </c>
      <c r="I447" t="s">
        <v>1537</v>
      </c>
      <c r="J447" t="s">
        <v>31</v>
      </c>
      <c r="K447" t="str">
        <f t="shared" si="45"/>
        <v>Facebook</v>
      </c>
      <c r="L447" t="s">
        <v>1538</v>
      </c>
      <c r="M447">
        <v>28</v>
      </c>
      <c r="N447">
        <v>55</v>
      </c>
      <c r="O447">
        <f t="shared" si="46"/>
        <v>83</v>
      </c>
      <c r="P447" t="s">
        <v>1539</v>
      </c>
      <c r="Q447" t="str">
        <f t="shared" si="47"/>
        <v>Brazil</v>
      </c>
      <c r="R447">
        <v>2021</v>
      </c>
      <c r="S447">
        <v>3</v>
      </c>
      <c r="T447">
        <v>15</v>
      </c>
      <c r="U447">
        <v>22</v>
      </c>
      <c r="Y447" s="4">
        <f t="shared" si="48"/>
        <v>22</v>
      </c>
    </row>
    <row r="448" spans="1:25" ht="18" x14ac:dyDescent="0.25">
      <c r="A448" t="s">
        <v>1540</v>
      </c>
      <c r="B448" t="s">
        <v>1541</v>
      </c>
      <c r="C448" s="12" t="str">
        <f t="shared" si="42"/>
        <v>Negative</v>
      </c>
      <c r="D448" s="18">
        <f t="shared" si="43"/>
        <v>-1</v>
      </c>
      <c r="E448" s="1">
        <v>42957.8125</v>
      </c>
      <c r="F448" s="10">
        <f>INT(E448)</f>
        <v>42957</v>
      </c>
      <c r="G448" s="15">
        <f>MOD(E448,2)</f>
        <v>1.8125</v>
      </c>
      <c r="H448" s="15" t="str">
        <f t="shared" si="44"/>
        <v>19:30</v>
      </c>
      <c r="I448" t="s">
        <v>1542</v>
      </c>
      <c r="J448" t="s">
        <v>874</v>
      </c>
      <c r="K448" t="str">
        <f t="shared" si="45"/>
        <v>Twitter</v>
      </c>
      <c r="L448" t="s">
        <v>1543</v>
      </c>
      <c r="M448">
        <v>22</v>
      </c>
      <c r="N448">
        <v>45</v>
      </c>
      <c r="O448">
        <f t="shared" si="46"/>
        <v>67</v>
      </c>
      <c r="P448" t="s">
        <v>1544</v>
      </c>
      <c r="Q448" t="str">
        <f t="shared" si="47"/>
        <v>France</v>
      </c>
      <c r="R448">
        <v>2017</v>
      </c>
      <c r="S448">
        <v>8</v>
      </c>
      <c r="T448">
        <v>10</v>
      </c>
      <c r="U448">
        <v>19</v>
      </c>
      <c r="Y448" s="4">
        <f t="shared" si="48"/>
        <v>19</v>
      </c>
    </row>
    <row r="449" spans="1:25" ht="18" x14ac:dyDescent="0.25">
      <c r="A449" t="s">
        <v>1545</v>
      </c>
      <c r="B449" t="s">
        <v>1526</v>
      </c>
      <c r="C449" s="12" t="str">
        <f t="shared" si="42"/>
        <v>Negative</v>
      </c>
      <c r="D449" s="18">
        <f t="shared" si="43"/>
        <v>-1</v>
      </c>
      <c r="E449" s="1">
        <v>44954.604166666664</v>
      </c>
      <c r="F449" s="10">
        <f>INT(E449)</f>
        <v>44954</v>
      </c>
      <c r="G449" s="15">
        <f>MOD(E449,2)</f>
        <v>0.60416666666424135</v>
      </c>
      <c r="H449" s="15" t="str">
        <f t="shared" si="44"/>
        <v>14:30</v>
      </c>
      <c r="I449" t="s">
        <v>1546</v>
      </c>
      <c r="J449" t="s">
        <v>26</v>
      </c>
      <c r="K449" t="str">
        <f t="shared" si="45"/>
        <v>Instagram</v>
      </c>
      <c r="L449" t="s">
        <v>1547</v>
      </c>
      <c r="M449">
        <v>30</v>
      </c>
      <c r="N449">
        <v>60</v>
      </c>
      <c r="O449">
        <f t="shared" si="46"/>
        <v>90</v>
      </c>
      <c r="P449" t="s">
        <v>164</v>
      </c>
      <c r="Q449" t="str">
        <f t="shared" si="47"/>
        <v>India</v>
      </c>
      <c r="R449">
        <v>2023</v>
      </c>
      <c r="S449">
        <v>1</v>
      </c>
      <c r="T449">
        <v>28</v>
      </c>
      <c r="U449">
        <v>14</v>
      </c>
      <c r="Y449" s="4">
        <f t="shared" si="48"/>
        <v>14</v>
      </c>
    </row>
    <row r="450" spans="1:25" ht="18" x14ac:dyDescent="0.25">
      <c r="A450" t="s">
        <v>1548</v>
      </c>
      <c r="B450" t="s">
        <v>1549</v>
      </c>
      <c r="C450" s="12" t="str">
        <f t="shared" si="42"/>
        <v>Negative</v>
      </c>
      <c r="D450" s="18">
        <f t="shared" si="43"/>
        <v>-1</v>
      </c>
      <c r="E450" s="1">
        <v>42716.416666666664</v>
      </c>
      <c r="F450" s="10">
        <f>INT(E450)</f>
        <v>42716</v>
      </c>
      <c r="G450" s="15">
        <f>MOD(E450,2)</f>
        <v>0.41666666666424135</v>
      </c>
      <c r="H450" s="15" t="str">
        <f t="shared" si="44"/>
        <v>10:00</v>
      </c>
      <c r="I450" t="s">
        <v>1550</v>
      </c>
      <c r="J450" t="s">
        <v>31</v>
      </c>
      <c r="K450" t="str">
        <f t="shared" si="45"/>
        <v>Facebook</v>
      </c>
      <c r="L450" t="s">
        <v>1551</v>
      </c>
      <c r="M450">
        <v>25</v>
      </c>
      <c r="N450">
        <v>50</v>
      </c>
      <c r="O450">
        <f t="shared" si="46"/>
        <v>75</v>
      </c>
      <c r="P450" t="s">
        <v>1552</v>
      </c>
      <c r="Q450" t="str">
        <f t="shared" si="47"/>
        <v>Italy</v>
      </c>
      <c r="R450">
        <v>2016</v>
      </c>
      <c r="S450">
        <v>12</v>
      </c>
      <c r="T450">
        <v>12</v>
      </c>
      <c r="U450">
        <v>10</v>
      </c>
      <c r="Y450" s="4">
        <f t="shared" si="48"/>
        <v>10</v>
      </c>
    </row>
    <row r="451" spans="1:25" ht="18" x14ac:dyDescent="0.25">
      <c r="A451" t="s">
        <v>1553</v>
      </c>
      <c r="B451" t="s">
        <v>1554</v>
      </c>
      <c r="C451" s="12" t="str">
        <f t="shared" ref="C451:C514" si="49">IF(OR(ISNUMBER(SEARCH("happ",B451)),ISNUMBER(SEARCH("joy",B451)),ISNUMBER(SEARCH("love",B451)),ISNUMBER(SEARCH("amuse",B451)),ISNUMBER(SEARCH("enjoy",B451)),ISNUMBER(SEARCH("admire",B451)),ISNUMBER(SEARCH("affection",B451)),ISNUMBER(SEARCH("awe",B451)),ISNUMBER(SEARCH("accept",B451)),ISNUMBER(SEARCH("ador",B451)),ISNUMBER(SEARCH("calm",B451)),ISNUMBER(SEARCH("excit",B451)),ISNUMBER(SEARCH("kind",B451)),ISNUMBER(SEARCH("pride",B451)),ISNUMBER(SEARCH("elat",B451)),ISNUMBER(SEARCH("euphor",B451)),ISNUMBER(SEARCH("content",B451)),ISNUMBER(SEARCH("seren",B451)),ISNUMBER(SEARCH("grat",B451)),ISNUMBER(SEARCH("hope",B451)),ISNUMBER(SEARCH("empower",B451)),ISNUMBER(SEARCH("compass",B451)),ISNUMBER(SEARCH("tender",B451)),ISNUMBER(SEARCH("enthus",B451)),ISNUMBER(SEARCH("fulfill",B451)),ISNUMBER(SEARCH("rever",B451)),ISNUMBER(SEARCH("zest",B451)),ISNUMBER(SEARCH("play",B451)),ISNUMBER(SEARCH("inspir",B451)),ISNUMBER(SEARCH("confid",B451)),ISNUMBER(SEARCH("determin",B451)),ISNUMBER(SEARCH("thrill",B451)),ISNUMBER(SEARCH("overjoy",B451)),ISNUMBER(SEARCH("motiv",B451)),ISNUMBER(SEARCH("satisf",B451)),ISNUMBER(SEARCH("bless",B451)),ISNUMBER(SEARCH("appreci",B451)),ISNUMBER(SEARCH("accomplish",B451)),ISNUMBER(SEARCH("wonder",B451)),ISNUMBER(SEARCH("optim",B451)),ISNUMBER(SEARCH("enchant",B451)),ISNUMBER(SEARCH("intrigu",B451)),ISNUMBER(SEARCH("mindful",B451)),ISNUMBER(SEARCH("eleg",B451)),ISNUMBER(SEARCH("whims",B451)),ISNUMBER(SEARCH("harmon",B451)),ISNUMBER(SEARCH("creativ",B451)),ISNUMBER(SEARCH("radian",B451)),ISNUMBER(SEARCH("rejuven",B451)),ISNUMBER(SEARCH("cozy",B451)),ISNUMBER(SEARCH("adventur",B451)),ISNUMBER(SEARCH("melod",B451)),ISNUMBER(SEARCH("festiv",B451)),ISNUMBER(SEARCH("free",B451)),ISNUMBER(SEARCH("dazzl",B451)),ISNUMBER(SEARCH("adrenal",B451)),ISNUMBER(SEARCH("artistic",B451)),ISNUMBER(SEARCH("resil",B451)),ISNUMBER(SEARCH("immers",B451)),ISNUMBER(SEARCH("spark",B451)),ISNUMBER(SEARCH("marvel",B451)),ISNUMBER(SEARCH("friend",B451)),ISNUMBER(SEARCH("success",B451)),ISNUMBER(SEARCH("explor",B451)),ISNUMBER(SEARCH("amaz",B451)),ISNUMBER(SEARCH("romanc",B451)),ISNUMBER(SEARCH("captiv",B451)),ISNUMBER(SEARCH("tranquil",B451)),ISNUMBER(SEARCH("grand",B451)),ISNUMBER(SEARCH("energ",B451)),ISNUMBER(SEARCH("celebr",B451)),ISNUMBER(SEARCH("charm",B451)),ISNUMBER(SEARCH("ecstasy",B451)),ISNUMBER(SEARCH("color",B451)),ISNUMBER(SEARCH("hypnot",B451)),ISNUMBER(SEARCH("connect",B451)),ISNUMBER(SEARCH("icon",B451)),ISNUMBER(SEARCH("engag",B451)),ISNUMBER(SEARCH("triumph",B451)),ISNUMBER(SEARCH("heartwarm",B451)),ISNUMBER(SEARCH("solac",B451)),ISNUMBER(SEARCH("breakthrough",B451)),ISNUMBER(SEARCH("imagin",B451)),ISNUMBER(SEARCH("vibran",B451)),ISNUMBER(SEARCH("mesmer",B451)),ISNUMBER(SEARCH("winter magic",B451)),ISNUMBER(SEARCH("nature",B451)),ISNUMBER(SEARCH("celestial",B451)),ISNUMBER(SEARCH("positive",B451)),ISNUMBER(SEARCH("arous",B451))),"Positive",IF(OR(ISNUMBER(SEARCH("anger",B451)),ISNUMBER(SEARCH("fear",B451)),ISNUMBER(SEARCH("sad",B451)),ISNUMBER(SEARCH("disgust",B451)),ISNUMBER(SEARCH("disappoint",B451)),ISNUMBER(SEARCH("bitter",B451)),ISNUMBER(SEARCH("shame",B451)),ISNUMBER(SEARCH("despair",B451)),ISNUMBER(SEARCH("grief",B451)),ISNUMBER(SEARCH("lonel",B451)),ISNUMBER(SEARCH("jealous",B451)),ISNUMBER(SEARCH("resent",B451)),ISNUMBER(SEARCH("frustrat",B451)),ISNUMBER(SEARCH("bored",B451)),ISNUMBER(SEARCH("anxi",B451)),ISNUMBER(SEARCH("intimid",B451)),ISNUMBER(SEARCH("helpless",B451)),ISNUMBER(SEARCH("envy",B451)),ISNUMBER(SEARCH("regret",B451)),ISNUMBER(SEARCH("melanchol",B451)),ISNUMBER(SEARCH("yearn",B451)),ISNUMBER(SEARCH("apprehens",B451)),ISNUMBER(SEARCH("overwhelm",B451)),ISNUMBER(SEARCH("devastat",B451)),ISNUMBER(SEARCH("dismiss",B451)),ISNUMBER(SEARCH("heartbreak",B451)),ISNUMBER(SEARCH("betray",B451)),ISNUMBER(SEARCH("suffer",B451)),ISNUMBER(SEARCH("isolat",B451)),ISNUMBER(SEARCH("lost",B451)),ISNUMBER(SEARCH("exhaust",B451)),ISNUMBER(SEARCH("sorrow",B451)),ISNUMBER(SEARCH("darkness",B451)),ISNUMBER(SEARCH("desperat",B451)),ISNUMBER(SEARCH("ruins",B451)),ISNUMBER(SEARCH("desolat",B451)),ISNUMBER(SEARCH("heartache",B451)),ISNUMBER(SEARCH("solitude",B451)),ISNUMBER(SEARCH("obstacle",B451)),ISNUMBER(SEARCH("pressure",B451)),ISNUMBER(SEARCH("miscalcul",B451)),ISNUMBER(SEARCH("challenge",B451)),ISNUMBER(SEARCH("embarrass",B451)),ISNUMBER(SEARCH("hate",B451)),ISNUMBER(SEARCH("bad",B451)),ISNUMBER(SEARCH("negative",B451))),"Negative","Neutral"))</f>
        <v>Positive</v>
      </c>
      <c r="D451" s="18">
        <f t="shared" ref="D451:D514" si="50">IF(C451="Positive", 1, IF(C451="Negative", -1, 0))</f>
        <v>1</v>
      </c>
      <c r="E451" s="1">
        <v>44030.635416666664</v>
      </c>
      <c r="F451" s="10">
        <f>INT(E451)</f>
        <v>44030</v>
      </c>
      <c r="G451" s="15">
        <f>MOD(E451,2)</f>
        <v>0.63541666666424135</v>
      </c>
      <c r="H451" s="15" t="str">
        <f t="shared" ref="H451:H514" si="51">TEXT(G451, "hh:mm")</f>
        <v>15:15</v>
      </c>
      <c r="I451" t="s">
        <v>1555</v>
      </c>
      <c r="J451" t="s">
        <v>874</v>
      </c>
      <c r="K451" t="str">
        <f t="shared" ref="K451:K514" si="52">TRIM(CLEAN(J451))</f>
        <v>Twitter</v>
      </c>
      <c r="L451" t="s">
        <v>1556</v>
      </c>
      <c r="M451">
        <v>35</v>
      </c>
      <c r="N451">
        <v>70</v>
      </c>
      <c r="O451">
        <f t="shared" ref="O451:O514" si="53">M451+N451</f>
        <v>105</v>
      </c>
      <c r="P451" t="s">
        <v>1557</v>
      </c>
      <c r="Q451" t="str">
        <f t="shared" ref="Q451:Q514" si="54">TRIM(CLEAN(P451))</f>
        <v>Japan</v>
      </c>
      <c r="R451">
        <v>2020</v>
      </c>
      <c r="S451">
        <v>7</v>
      </c>
      <c r="T451">
        <v>18</v>
      </c>
      <c r="U451">
        <v>15</v>
      </c>
      <c r="Y451" s="4">
        <f t="shared" ref="Y451:Y514" si="55">HOUR(H451)</f>
        <v>15</v>
      </c>
    </row>
    <row r="452" spans="1:25" ht="18" x14ac:dyDescent="0.25">
      <c r="A452" t="s">
        <v>1558</v>
      </c>
      <c r="B452" t="s">
        <v>1468</v>
      </c>
      <c r="C452" s="12" t="str">
        <f t="shared" si="49"/>
        <v>Negative</v>
      </c>
      <c r="D452" s="18">
        <f t="shared" si="50"/>
        <v>-1</v>
      </c>
      <c r="E452" s="1">
        <v>44701.854166666664</v>
      </c>
      <c r="F452" s="10">
        <f>INT(E452)</f>
        <v>44701</v>
      </c>
      <c r="G452" s="15">
        <f>MOD(E452,2)</f>
        <v>1.8541666666642413</v>
      </c>
      <c r="H452" s="15" t="str">
        <f t="shared" si="51"/>
        <v>20:30</v>
      </c>
      <c r="I452" t="s">
        <v>1559</v>
      </c>
      <c r="J452" t="s">
        <v>26</v>
      </c>
      <c r="K452" t="str">
        <f t="shared" si="52"/>
        <v>Instagram</v>
      </c>
      <c r="L452" t="s">
        <v>1560</v>
      </c>
      <c r="M452">
        <v>30</v>
      </c>
      <c r="N452">
        <v>60</v>
      </c>
      <c r="O452">
        <f t="shared" si="53"/>
        <v>90</v>
      </c>
      <c r="P452" t="s">
        <v>1485</v>
      </c>
      <c r="Q452" t="str">
        <f t="shared" si="54"/>
        <v>South Africa</v>
      </c>
      <c r="R452">
        <v>2022</v>
      </c>
      <c r="S452">
        <v>5</v>
      </c>
      <c r="T452">
        <v>20</v>
      </c>
      <c r="U452">
        <v>20</v>
      </c>
      <c r="Y452" s="4">
        <f t="shared" si="55"/>
        <v>20</v>
      </c>
    </row>
    <row r="453" spans="1:25" ht="18" x14ac:dyDescent="0.25">
      <c r="A453" t="s">
        <v>1561</v>
      </c>
      <c r="B453" t="s">
        <v>1522</v>
      </c>
      <c r="C453" s="12" t="str">
        <f t="shared" si="49"/>
        <v>Negative</v>
      </c>
      <c r="D453" s="18">
        <f t="shared" si="50"/>
        <v>-1</v>
      </c>
      <c r="E453" s="1">
        <v>43777.614583333336</v>
      </c>
      <c r="F453" s="10">
        <f>INT(E453)</f>
        <v>43777</v>
      </c>
      <c r="G453" s="15">
        <f>MOD(E453,2)</f>
        <v>1.6145833333357587</v>
      </c>
      <c r="H453" s="15" t="str">
        <f t="shared" si="51"/>
        <v>14:45</v>
      </c>
      <c r="I453" t="s">
        <v>1562</v>
      </c>
      <c r="J453" t="s">
        <v>874</v>
      </c>
      <c r="K453" t="str">
        <f t="shared" si="52"/>
        <v>Twitter</v>
      </c>
      <c r="L453" t="s">
        <v>1563</v>
      </c>
      <c r="M453">
        <v>18</v>
      </c>
      <c r="N453">
        <v>35</v>
      </c>
      <c r="O453">
        <f t="shared" si="53"/>
        <v>53</v>
      </c>
      <c r="P453" t="s">
        <v>1564</v>
      </c>
      <c r="Q453" t="str">
        <f t="shared" si="54"/>
        <v>Spain</v>
      </c>
      <c r="R453">
        <v>2019</v>
      </c>
      <c r="S453">
        <v>11</v>
      </c>
      <c r="T453">
        <v>8</v>
      </c>
      <c r="U453">
        <v>14</v>
      </c>
      <c r="Y453" s="4">
        <f t="shared" si="55"/>
        <v>14</v>
      </c>
    </row>
    <row r="454" spans="1:25" ht="18" x14ac:dyDescent="0.25">
      <c r="A454" t="s">
        <v>1565</v>
      </c>
      <c r="B454" t="s">
        <v>980</v>
      </c>
      <c r="C454" s="12" t="str">
        <f t="shared" si="49"/>
        <v>Negative</v>
      </c>
      <c r="D454" s="18">
        <f t="shared" si="50"/>
        <v>-1</v>
      </c>
      <c r="E454" s="1">
        <v>42822.916666666664</v>
      </c>
      <c r="F454" s="10">
        <f>INT(E454)</f>
        <v>42822</v>
      </c>
      <c r="G454" s="15">
        <f>MOD(E454,2)</f>
        <v>0.91666666666424135</v>
      </c>
      <c r="H454" s="15" t="str">
        <f t="shared" si="51"/>
        <v>22:00</v>
      </c>
      <c r="I454" t="s">
        <v>1566</v>
      </c>
      <c r="J454" t="s">
        <v>31</v>
      </c>
      <c r="K454" t="str">
        <f t="shared" si="52"/>
        <v>Facebook</v>
      </c>
      <c r="L454" t="s">
        <v>1567</v>
      </c>
      <c r="M454">
        <v>28</v>
      </c>
      <c r="N454">
        <v>55</v>
      </c>
      <c r="O454">
        <f t="shared" si="53"/>
        <v>83</v>
      </c>
      <c r="P454" t="s">
        <v>38</v>
      </c>
      <c r="Q454" t="str">
        <f t="shared" si="54"/>
        <v>Australia</v>
      </c>
      <c r="R454">
        <v>2017</v>
      </c>
      <c r="S454">
        <v>3</v>
      </c>
      <c r="T454">
        <v>28</v>
      </c>
      <c r="U454">
        <v>22</v>
      </c>
      <c r="Y454" s="4">
        <f t="shared" si="55"/>
        <v>22</v>
      </c>
    </row>
    <row r="455" spans="1:25" ht="18" x14ac:dyDescent="0.25">
      <c r="A455" t="s">
        <v>1568</v>
      </c>
      <c r="B455" t="s">
        <v>1569</v>
      </c>
      <c r="C455" s="12" t="str">
        <f t="shared" si="49"/>
        <v>Negative</v>
      </c>
      <c r="D455" s="18">
        <f t="shared" si="50"/>
        <v>-1</v>
      </c>
      <c r="E455" s="1">
        <v>44089.760416666664</v>
      </c>
      <c r="F455" s="10">
        <f>INT(E455)</f>
        <v>44089</v>
      </c>
      <c r="G455" s="15">
        <f>MOD(E455,2)</f>
        <v>1.7604166666642413</v>
      </c>
      <c r="H455" s="15" t="str">
        <f t="shared" si="51"/>
        <v>18:15</v>
      </c>
      <c r="I455" t="s">
        <v>1570</v>
      </c>
      <c r="J455" t="s">
        <v>26</v>
      </c>
      <c r="K455" t="str">
        <f t="shared" si="52"/>
        <v>Instagram</v>
      </c>
      <c r="L455" t="s">
        <v>1571</v>
      </c>
      <c r="M455">
        <v>22</v>
      </c>
      <c r="N455">
        <v>45</v>
      </c>
      <c r="O455">
        <f t="shared" si="53"/>
        <v>67</v>
      </c>
      <c r="P455" t="s">
        <v>123</v>
      </c>
      <c r="Q455" t="str">
        <f t="shared" si="54"/>
        <v>Canada</v>
      </c>
      <c r="R455">
        <v>2020</v>
      </c>
      <c r="S455">
        <v>9</v>
      </c>
      <c r="T455">
        <v>15</v>
      </c>
      <c r="U455">
        <v>18</v>
      </c>
      <c r="Y455" s="4">
        <f t="shared" si="55"/>
        <v>18</v>
      </c>
    </row>
    <row r="456" spans="1:25" ht="18" x14ac:dyDescent="0.25">
      <c r="A456" t="s">
        <v>1572</v>
      </c>
      <c r="B456" t="s">
        <v>1518</v>
      </c>
      <c r="C456" s="12" t="str">
        <f t="shared" si="49"/>
        <v>Negative</v>
      </c>
      <c r="D456" s="18">
        <f t="shared" si="50"/>
        <v>-1</v>
      </c>
      <c r="E456" s="1">
        <v>43261.5625</v>
      </c>
      <c r="F456" s="10">
        <f>INT(E456)</f>
        <v>43261</v>
      </c>
      <c r="G456" s="15">
        <f>MOD(E456,2)</f>
        <v>1.5625</v>
      </c>
      <c r="H456" s="15" t="str">
        <f t="shared" si="51"/>
        <v>13:30</v>
      </c>
      <c r="I456" t="s">
        <v>1573</v>
      </c>
      <c r="J456" t="s">
        <v>874</v>
      </c>
      <c r="K456" t="str">
        <f t="shared" si="52"/>
        <v>Twitter</v>
      </c>
      <c r="L456" t="s">
        <v>1574</v>
      </c>
      <c r="M456">
        <v>20</v>
      </c>
      <c r="N456">
        <v>40</v>
      </c>
      <c r="O456">
        <f t="shared" si="53"/>
        <v>60</v>
      </c>
      <c r="P456" t="s">
        <v>109</v>
      </c>
      <c r="Q456" t="str">
        <f t="shared" si="54"/>
        <v>UK</v>
      </c>
      <c r="R456">
        <v>2018</v>
      </c>
      <c r="S456">
        <v>6</v>
      </c>
      <c r="T456">
        <v>10</v>
      </c>
      <c r="U456">
        <v>13</v>
      </c>
      <c r="Y456" s="4">
        <f t="shared" si="55"/>
        <v>13</v>
      </c>
    </row>
    <row r="457" spans="1:25" ht="18" x14ac:dyDescent="0.25">
      <c r="A457" t="s">
        <v>1575</v>
      </c>
      <c r="B457" t="s">
        <v>1526</v>
      </c>
      <c r="C457" s="12" t="str">
        <f t="shared" si="49"/>
        <v>Negative</v>
      </c>
      <c r="D457" s="18">
        <f t="shared" si="50"/>
        <v>-1</v>
      </c>
      <c r="E457" s="1">
        <v>42726.90625</v>
      </c>
      <c r="F457" s="10">
        <f>INT(E457)</f>
        <v>42726</v>
      </c>
      <c r="G457" s="15">
        <f>MOD(E457,2)</f>
        <v>0.90625</v>
      </c>
      <c r="H457" s="15" t="str">
        <f t="shared" si="51"/>
        <v>21:45</v>
      </c>
      <c r="I457" t="s">
        <v>1576</v>
      </c>
      <c r="J457" t="s">
        <v>31</v>
      </c>
      <c r="K457" t="str">
        <f t="shared" si="52"/>
        <v>Facebook</v>
      </c>
      <c r="L457" t="s">
        <v>1577</v>
      </c>
      <c r="M457">
        <v>25</v>
      </c>
      <c r="N457">
        <v>50</v>
      </c>
      <c r="O457">
        <f t="shared" si="53"/>
        <v>75</v>
      </c>
      <c r="P457" t="s">
        <v>98</v>
      </c>
      <c r="Q457" t="str">
        <f t="shared" si="54"/>
        <v>USA</v>
      </c>
      <c r="R457">
        <v>2016</v>
      </c>
      <c r="S457">
        <v>12</v>
      </c>
      <c r="T457">
        <v>22</v>
      </c>
      <c r="U457">
        <v>21</v>
      </c>
      <c r="Y457" s="4">
        <f t="shared" si="55"/>
        <v>21</v>
      </c>
    </row>
    <row r="458" spans="1:25" ht="18" x14ac:dyDescent="0.25">
      <c r="A458" t="s">
        <v>1578</v>
      </c>
      <c r="B458" t="s">
        <v>1549</v>
      </c>
      <c r="C458" s="12" t="str">
        <f t="shared" si="49"/>
        <v>Negative</v>
      </c>
      <c r="D458" s="18">
        <f t="shared" si="50"/>
        <v>-1</v>
      </c>
      <c r="E458" s="1">
        <v>44201.680555555555</v>
      </c>
      <c r="F458" s="10">
        <f>INT(E458)</f>
        <v>44201</v>
      </c>
      <c r="G458" s="15">
        <f>MOD(E458,2)</f>
        <v>1.6805555555547471</v>
      </c>
      <c r="H458" s="15" t="str">
        <f t="shared" si="51"/>
        <v>16:20</v>
      </c>
      <c r="I458" t="s">
        <v>1579</v>
      </c>
      <c r="J458" t="s">
        <v>26</v>
      </c>
      <c r="K458" t="str">
        <f t="shared" si="52"/>
        <v>Instagram</v>
      </c>
      <c r="L458" t="s">
        <v>1580</v>
      </c>
      <c r="M458">
        <v>15</v>
      </c>
      <c r="N458">
        <v>30</v>
      </c>
      <c r="O458">
        <f t="shared" si="53"/>
        <v>45</v>
      </c>
      <c r="P458" t="s">
        <v>1535</v>
      </c>
      <c r="Q458" t="str">
        <f t="shared" si="54"/>
        <v>Germany</v>
      </c>
      <c r="R458">
        <v>2021</v>
      </c>
      <c r="S458">
        <v>1</v>
      </c>
      <c r="T458">
        <v>5</v>
      </c>
      <c r="U458">
        <v>16</v>
      </c>
      <c r="Y458" s="4">
        <f t="shared" si="55"/>
        <v>16</v>
      </c>
    </row>
    <row r="459" spans="1:25" ht="18" x14ac:dyDescent="0.25">
      <c r="A459" t="s">
        <v>1581</v>
      </c>
      <c r="B459" t="s">
        <v>1541</v>
      </c>
      <c r="C459" s="12" t="str">
        <f t="shared" si="49"/>
        <v>Negative</v>
      </c>
      <c r="D459" s="18">
        <f t="shared" si="50"/>
        <v>-1</v>
      </c>
      <c r="E459" s="1">
        <v>43573.458333333336</v>
      </c>
      <c r="F459" s="10">
        <f>INT(E459)</f>
        <v>43573</v>
      </c>
      <c r="G459" s="15">
        <f>MOD(E459,2)</f>
        <v>1.4583333333357587</v>
      </c>
      <c r="H459" s="15" t="str">
        <f t="shared" si="51"/>
        <v>11:00</v>
      </c>
      <c r="I459" t="s">
        <v>1582</v>
      </c>
      <c r="J459" t="s">
        <v>874</v>
      </c>
      <c r="K459" t="str">
        <f t="shared" si="52"/>
        <v>Twitter</v>
      </c>
      <c r="L459" t="s">
        <v>1583</v>
      </c>
      <c r="M459">
        <v>22</v>
      </c>
      <c r="N459">
        <v>45</v>
      </c>
      <c r="O459">
        <f t="shared" si="53"/>
        <v>67</v>
      </c>
      <c r="P459" t="s">
        <v>1539</v>
      </c>
      <c r="Q459" t="str">
        <f t="shared" si="54"/>
        <v>Brazil</v>
      </c>
      <c r="R459">
        <v>2019</v>
      </c>
      <c r="S459">
        <v>4</v>
      </c>
      <c r="T459">
        <v>18</v>
      </c>
      <c r="U459">
        <v>11</v>
      </c>
      <c r="Y459" s="4">
        <f t="shared" si="55"/>
        <v>11</v>
      </c>
    </row>
    <row r="460" spans="1:25" ht="18" x14ac:dyDescent="0.25">
      <c r="A460" t="s">
        <v>1584</v>
      </c>
      <c r="B460" t="s">
        <v>980</v>
      </c>
      <c r="C460" s="12" t="str">
        <f t="shared" si="49"/>
        <v>Negative</v>
      </c>
      <c r="D460" s="18">
        <f t="shared" si="50"/>
        <v>-1</v>
      </c>
      <c r="E460" s="1">
        <v>42975.8125</v>
      </c>
      <c r="F460" s="10">
        <f>INT(E460)</f>
        <v>42975</v>
      </c>
      <c r="G460" s="15">
        <f>MOD(E460,2)</f>
        <v>1.8125</v>
      </c>
      <c r="H460" s="15" t="str">
        <f t="shared" si="51"/>
        <v>19:30</v>
      </c>
      <c r="I460" t="s">
        <v>1585</v>
      </c>
      <c r="J460" t="s">
        <v>31</v>
      </c>
      <c r="K460" t="str">
        <f t="shared" si="52"/>
        <v>Facebook</v>
      </c>
      <c r="L460" t="s">
        <v>1586</v>
      </c>
      <c r="M460">
        <v>18</v>
      </c>
      <c r="N460">
        <v>35</v>
      </c>
      <c r="O460">
        <f t="shared" si="53"/>
        <v>53</v>
      </c>
      <c r="P460" t="s">
        <v>164</v>
      </c>
      <c r="Q460" t="str">
        <f t="shared" si="54"/>
        <v>India</v>
      </c>
      <c r="R460">
        <v>2017</v>
      </c>
      <c r="S460">
        <v>8</v>
      </c>
      <c r="T460">
        <v>28</v>
      </c>
      <c r="U460">
        <v>19</v>
      </c>
      <c r="Y460" s="4">
        <f t="shared" si="55"/>
        <v>19</v>
      </c>
    </row>
    <row r="461" spans="1:25" ht="18" x14ac:dyDescent="0.25">
      <c r="A461" t="s">
        <v>1587</v>
      </c>
      <c r="B461" t="s">
        <v>1588</v>
      </c>
      <c r="C461" s="12" t="str">
        <f t="shared" si="49"/>
        <v>Neutral</v>
      </c>
      <c r="D461" s="18">
        <f t="shared" si="50"/>
        <v>0</v>
      </c>
      <c r="E461" s="1">
        <v>44967.604166666664</v>
      </c>
      <c r="F461" s="10">
        <f>INT(E461)</f>
        <v>44967</v>
      </c>
      <c r="G461" s="15">
        <f>MOD(E461,2)</f>
        <v>1.6041666666642413</v>
      </c>
      <c r="H461" s="15" t="str">
        <f t="shared" si="51"/>
        <v>14:30</v>
      </c>
      <c r="I461" t="s">
        <v>1589</v>
      </c>
      <c r="J461" t="s">
        <v>26</v>
      </c>
      <c r="K461" t="str">
        <f t="shared" si="52"/>
        <v>Instagram</v>
      </c>
      <c r="L461" t="s">
        <v>1590</v>
      </c>
      <c r="M461">
        <v>28</v>
      </c>
      <c r="N461">
        <v>55</v>
      </c>
      <c r="O461">
        <f t="shared" si="53"/>
        <v>83</v>
      </c>
      <c r="P461" t="s">
        <v>1544</v>
      </c>
      <c r="Q461" t="str">
        <f t="shared" si="54"/>
        <v>France</v>
      </c>
      <c r="R461">
        <v>2023</v>
      </c>
      <c r="S461">
        <v>2</v>
      </c>
      <c r="T461">
        <v>10</v>
      </c>
      <c r="U461">
        <v>14</v>
      </c>
      <c r="Y461" s="4">
        <f t="shared" si="55"/>
        <v>14</v>
      </c>
    </row>
    <row r="462" spans="1:25" ht="18" x14ac:dyDescent="0.25">
      <c r="A462" t="s">
        <v>1591</v>
      </c>
      <c r="B462" t="s">
        <v>1592</v>
      </c>
      <c r="C462" s="12" t="str">
        <f t="shared" si="49"/>
        <v>Negative</v>
      </c>
      <c r="D462" s="18">
        <f t="shared" si="50"/>
        <v>-1</v>
      </c>
      <c r="E462" s="1">
        <v>44752.927083333336</v>
      </c>
      <c r="F462" s="10">
        <f>INT(E462)</f>
        <v>44752</v>
      </c>
      <c r="G462" s="15">
        <f>MOD(E462,2)</f>
        <v>0.92708333333575865</v>
      </c>
      <c r="H462" s="15" t="str">
        <f t="shared" si="51"/>
        <v>22:15</v>
      </c>
      <c r="I462" t="s">
        <v>1593</v>
      </c>
      <c r="J462" t="s">
        <v>26</v>
      </c>
      <c r="K462" t="str">
        <f t="shared" si="52"/>
        <v>Instagram</v>
      </c>
      <c r="L462" t="s">
        <v>1594</v>
      </c>
      <c r="M462">
        <v>30</v>
      </c>
      <c r="N462">
        <v>60</v>
      </c>
      <c r="O462">
        <f t="shared" si="53"/>
        <v>90</v>
      </c>
      <c r="P462" t="s">
        <v>1557</v>
      </c>
      <c r="Q462" t="str">
        <f t="shared" si="54"/>
        <v>Japan</v>
      </c>
      <c r="R462">
        <v>2022</v>
      </c>
      <c r="S462">
        <v>7</v>
      </c>
      <c r="T462">
        <v>10</v>
      </c>
      <c r="U462">
        <v>22</v>
      </c>
      <c r="Y462" s="4">
        <f t="shared" si="55"/>
        <v>22</v>
      </c>
    </row>
    <row r="463" spans="1:25" ht="18" x14ac:dyDescent="0.25">
      <c r="A463" t="s">
        <v>1595</v>
      </c>
      <c r="B463" t="s">
        <v>1405</v>
      </c>
      <c r="C463" s="12" t="str">
        <f t="shared" si="49"/>
        <v>Neutral</v>
      </c>
      <c r="D463" s="18">
        <f t="shared" si="50"/>
        <v>0</v>
      </c>
      <c r="E463" s="1">
        <v>43600.895833333336</v>
      </c>
      <c r="F463" s="10">
        <f>INT(E463)</f>
        <v>43600</v>
      </c>
      <c r="G463" s="15">
        <f>MOD(E463,2)</f>
        <v>0.89583333333575865</v>
      </c>
      <c r="H463" s="15" t="str">
        <f t="shared" si="51"/>
        <v>21:30</v>
      </c>
      <c r="I463" t="s">
        <v>1596</v>
      </c>
      <c r="J463" t="s">
        <v>874</v>
      </c>
      <c r="K463" t="str">
        <f t="shared" si="52"/>
        <v>Twitter</v>
      </c>
      <c r="L463" t="s">
        <v>1597</v>
      </c>
      <c r="M463">
        <v>18</v>
      </c>
      <c r="N463">
        <v>35</v>
      </c>
      <c r="O463">
        <f t="shared" si="53"/>
        <v>53</v>
      </c>
      <c r="P463" t="s">
        <v>1552</v>
      </c>
      <c r="Q463" t="str">
        <f t="shared" si="54"/>
        <v>Italy</v>
      </c>
      <c r="R463">
        <v>2019</v>
      </c>
      <c r="S463">
        <v>5</v>
      </c>
      <c r="T463">
        <v>15</v>
      </c>
      <c r="U463">
        <v>21</v>
      </c>
      <c r="Y463" s="4">
        <f t="shared" si="55"/>
        <v>21</v>
      </c>
    </row>
    <row r="464" spans="1:25" ht="18" x14ac:dyDescent="0.25">
      <c r="A464" t="s">
        <v>1598</v>
      </c>
      <c r="B464" t="s">
        <v>1526</v>
      </c>
      <c r="C464" s="12" t="str">
        <f t="shared" si="49"/>
        <v>Negative</v>
      </c>
      <c r="D464" s="18">
        <f t="shared" si="50"/>
        <v>-1</v>
      </c>
      <c r="E464" s="1">
        <v>43432.583333333336</v>
      </c>
      <c r="F464" s="10">
        <f>INT(E464)</f>
        <v>43432</v>
      </c>
      <c r="G464" s="15">
        <f>MOD(E464,2)</f>
        <v>0.58333333333575865</v>
      </c>
      <c r="H464" s="15" t="str">
        <f t="shared" si="51"/>
        <v>14:00</v>
      </c>
      <c r="I464" t="s">
        <v>1599</v>
      </c>
      <c r="J464" t="s">
        <v>31</v>
      </c>
      <c r="K464" t="str">
        <f t="shared" si="52"/>
        <v>Facebook</v>
      </c>
      <c r="L464" t="s">
        <v>1600</v>
      </c>
      <c r="M464">
        <v>22</v>
      </c>
      <c r="N464">
        <v>45</v>
      </c>
      <c r="O464">
        <f t="shared" si="53"/>
        <v>67</v>
      </c>
      <c r="P464" t="s">
        <v>1535</v>
      </c>
      <c r="Q464" t="str">
        <f t="shared" si="54"/>
        <v>Germany</v>
      </c>
      <c r="R464">
        <v>2018</v>
      </c>
      <c r="S464">
        <v>11</v>
      </c>
      <c r="T464">
        <v>28</v>
      </c>
      <c r="U464">
        <v>14</v>
      </c>
      <c r="Y464" s="4">
        <f t="shared" si="55"/>
        <v>14</v>
      </c>
    </row>
    <row r="465" spans="1:25" ht="18" x14ac:dyDescent="0.25">
      <c r="A465" t="s">
        <v>1601</v>
      </c>
      <c r="B465" t="s">
        <v>1549</v>
      </c>
      <c r="C465" s="12" t="str">
        <f t="shared" si="49"/>
        <v>Negative</v>
      </c>
      <c r="D465" s="18">
        <f t="shared" si="50"/>
        <v>-1</v>
      </c>
      <c r="E465" s="1">
        <v>44257.739583333336</v>
      </c>
      <c r="F465" s="10">
        <f>INT(E465)</f>
        <v>44257</v>
      </c>
      <c r="G465" s="15">
        <f>MOD(E465,2)</f>
        <v>1.7395833333357587</v>
      </c>
      <c r="H465" s="15" t="str">
        <f t="shared" si="51"/>
        <v>17:45</v>
      </c>
      <c r="I465" t="s">
        <v>1602</v>
      </c>
      <c r="J465" t="s">
        <v>26</v>
      </c>
      <c r="K465" t="str">
        <f t="shared" si="52"/>
        <v>Instagram</v>
      </c>
      <c r="L465" t="s">
        <v>1603</v>
      </c>
      <c r="M465">
        <v>25</v>
      </c>
      <c r="N465">
        <v>50</v>
      </c>
      <c r="O465">
        <f t="shared" si="53"/>
        <v>75</v>
      </c>
      <c r="P465" t="s">
        <v>123</v>
      </c>
      <c r="Q465" t="str">
        <f t="shared" si="54"/>
        <v>Canada</v>
      </c>
      <c r="R465">
        <v>2021</v>
      </c>
      <c r="S465">
        <v>3</v>
      </c>
      <c r="T465">
        <v>2</v>
      </c>
      <c r="U465">
        <v>17</v>
      </c>
      <c r="Y465" s="4">
        <f t="shared" si="55"/>
        <v>17</v>
      </c>
    </row>
    <row r="466" spans="1:25" ht="18" x14ac:dyDescent="0.25">
      <c r="A466" t="s">
        <v>1604</v>
      </c>
      <c r="B466" t="s">
        <v>980</v>
      </c>
      <c r="C466" s="12" t="str">
        <f t="shared" si="49"/>
        <v>Negative</v>
      </c>
      <c r="D466" s="18">
        <f t="shared" si="50"/>
        <v>-1</v>
      </c>
      <c r="E466" s="1">
        <v>42661.8125</v>
      </c>
      <c r="F466" s="10">
        <f>INT(E466)</f>
        <v>42661</v>
      </c>
      <c r="G466" s="15">
        <f>MOD(E466,2)</f>
        <v>1.8125</v>
      </c>
      <c r="H466" s="15" t="str">
        <f t="shared" si="51"/>
        <v>19:30</v>
      </c>
      <c r="I466" t="s">
        <v>1605</v>
      </c>
      <c r="J466" t="s">
        <v>874</v>
      </c>
      <c r="K466" t="str">
        <f t="shared" si="52"/>
        <v>Twitter</v>
      </c>
      <c r="L466" t="s">
        <v>1606</v>
      </c>
      <c r="M466">
        <v>20</v>
      </c>
      <c r="N466">
        <v>40</v>
      </c>
      <c r="O466">
        <f t="shared" si="53"/>
        <v>60</v>
      </c>
      <c r="P466" t="s">
        <v>98</v>
      </c>
      <c r="Q466" t="str">
        <f t="shared" si="54"/>
        <v>USA</v>
      </c>
      <c r="R466">
        <v>2016</v>
      </c>
      <c r="S466">
        <v>10</v>
      </c>
      <c r="T466">
        <v>18</v>
      </c>
      <c r="U466">
        <v>19</v>
      </c>
      <c r="Y466" s="4">
        <f t="shared" si="55"/>
        <v>19</v>
      </c>
    </row>
    <row r="467" spans="1:25" ht="18" x14ac:dyDescent="0.25">
      <c r="A467" t="s">
        <v>1607</v>
      </c>
      <c r="B467" t="s">
        <v>1518</v>
      </c>
      <c r="C467" s="12" t="str">
        <f t="shared" si="49"/>
        <v>Negative</v>
      </c>
      <c r="D467" s="18">
        <f t="shared" si="50"/>
        <v>-1</v>
      </c>
      <c r="E467" s="1">
        <v>44058.520833333336</v>
      </c>
      <c r="F467" s="10">
        <f>INT(E467)</f>
        <v>44058</v>
      </c>
      <c r="G467" s="15">
        <f>MOD(E467,2)</f>
        <v>0.52083333333575865</v>
      </c>
      <c r="H467" s="15" t="str">
        <f t="shared" si="51"/>
        <v>12:30</v>
      </c>
      <c r="I467" t="s">
        <v>1608</v>
      </c>
      <c r="J467" t="s">
        <v>31</v>
      </c>
      <c r="K467" t="str">
        <f t="shared" si="52"/>
        <v>Facebook</v>
      </c>
      <c r="L467" t="s">
        <v>1609</v>
      </c>
      <c r="M467">
        <v>28</v>
      </c>
      <c r="N467">
        <v>55</v>
      </c>
      <c r="O467">
        <f t="shared" si="53"/>
        <v>83</v>
      </c>
      <c r="P467" t="s">
        <v>1544</v>
      </c>
      <c r="Q467" t="str">
        <f t="shared" si="54"/>
        <v>France</v>
      </c>
      <c r="R467">
        <v>2020</v>
      </c>
      <c r="S467">
        <v>8</v>
      </c>
      <c r="T467">
        <v>15</v>
      </c>
      <c r="U467">
        <v>12</v>
      </c>
      <c r="Y467" s="4">
        <f t="shared" si="55"/>
        <v>12</v>
      </c>
    </row>
    <row r="468" spans="1:25" ht="18" x14ac:dyDescent="0.25">
      <c r="A468" t="s">
        <v>1610</v>
      </c>
      <c r="B468" t="s">
        <v>1522</v>
      </c>
      <c r="C468" s="12" t="str">
        <f t="shared" si="49"/>
        <v>Negative</v>
      </c>
      <c r="D468" s="18">
        <f t="shared" si="50"/>
        <v>-1</v>
      </c>
      <c r="E468" s="1">
        <v>42853.680555555555</v>
      </c>
      <c r="F468" s="10">
        <f>INT(E468)</f>
        <v>42853</v>
      </c>
      <c r="G468" s="15">
        <f>MOD(E468,2)</f>
        <v>1.6805555555547471</v>
      </c>
      <c r="H468" s="15" t="str">
        <f t="shared" si="51"/>
        <v>16:20</v>
      </c>
      <c r="I468" t="s">
        <v>1611</v>
      </c>
      <c r="J468" t="s">
        <v>26</v>
      </c>
      <c r="K468" t="str">
        <f t="shared" si="52"/>
        <v>Instagram</v>
      </c>
      <c r="L468" t="s">
        <v>1612</v>
      </c>
      <c r="M468">
        <v>18</v>
      </c>
      <c r="N468">
        <v>35</v>
      </c>
      <c r="O468">
        <f t="shared" si="53"/>
        <v>53</v>
      </c>
      <c r="P468" t="s">
        <v>109</v>
      </c>
      <c r="Q468" t="str">
        <f t="shared" si="54"/>
        <v>UK</v>
      </c>
      <c r="R468">
        <v>2017</v>
      </c>
      <c r="S468">
        <v>4</v>
      </c>
      <c r="T468">
        <v>28</v>
      </c>
      <c r="U468">
        <v>16</v>
      </c>
      <c r="Y468" s="4">
        <f t="shared" si="55"/>
        <v>16</v>
      </c>
    </row>
    <row r="469" spans="1:25" ht="18" x14ac:dyDescent="0.25">
      <c r="A469" t="s">
        <v>1613</v>
      </c>
      <c r="B469" t="s">
        <v>1588</v>
      </c>
      <c r="C469" s="12" t="str">
        <f t="shared" si="49"/>
        <v>Neutral</v>
      </c>
      <c r="D469" s="18">
        <f t="shared" si="50"/>
        <v>0</v>
      </c>
      <c r="E469" s="1">
        <v>43718.875</v>
      </c>
      <c r="F469" s="10">
        <f>INT(E469)</f>
        <v>43718</v>
      </c>
      <c r="G469" s="15">
        <f>MOD(E469,2)</f>
        <v>0.875</v>
      </c>
      <c r="H469" s="15" t="str">
        <f t="shared" si="51"/>
        <v>21:00</v>
      </c>
      <c r="I469" t="s">
        <v>1614</v>
      </c>
      <c r="J469" t="s">
        <v>874</v>
      </c>
      <c r="K469" t="str">
        <f t="shared" si="52"/>
        <v>Twitter</v>
      </c>
      <c r="L469" t="s">
        <v>1615</v>
      </c>
      <c r="M469">
        <v>22</v>
      </c>
      <c r="N469">
        <v>45</v>
      </c>
      <c r="O469">
        <f t="shared" si="53"/>
        <v>67</v>
      </c>
      <c r="P469" t="s">
        <v>38</v>
      </c>
      <c r="Q469" t="str">
        <f t="shared" si="54"/>
        <v>Australia</v>
      </c>
      <c r="R469">
        <v>2019</v>
      </c>
      <c r="S469">
        <v>9</v>
      </c>
      <c r="T469">
        <v>10</v>
      </c>
      <c r="U469">
        <v>21</v>
      </c>
      <c r="Y469" s="4">
        <f t="shared" si="55"/>
        <v>21</v>
      </c>
    </row>
    <row r="470" spans="1:25" ht="18" x14ac:dyDescent="0.25">
      <c r="A470" t="s">
        <v>1616</v>
      </c>
      <c r="B470" t="s">
        <v>1549</v>
      </c>
      <c r="C470" s="12" t="str">
        <f t="shared" si="49"/>
        <v>Negative</v>
      </c>
      <c r="D470" s="18">
        <f t="shared" si="50"/>
        <v>-1</v>
      </c>
      <c r="E470" s="1">
        <v>44589.572916666664</v>
      </c>
      <c r="F470" s="10">
        <f>INT(E470)</f>
        <v>44589</v>
      </c>
      <c r="G470" s="15">
        <f>MOD(E470,2)</f>
        <v>1.5729166666642413</v>
      </c>
      <c r="H470" s="15" t="str">
        <f t="shared" si="51"/>
        <v>13:45</v>
      </c>
      <c r="I470" t="s">
        <v>1617</v>
      </c>
      <c r="J470" t="s">
        <v>31</v>
      </c>
      <c r="K470" t="str">
        <f t="shared" si="52"/>
        <v>Facebook</v>
      </c>
      <c r="L470" t="s">
        <v>1618</v>
      </c>
      <c r="M470">
        <v>15</v>
      </c>
      <c r="N470">
        <v>30</v>
      </c>
      <c r="O470">
        <f t="shared" si="53"/>
        <v>45</v>
      </c>
      <c r="P470" t="s">
        <v>1539</v>
      </c>
      <c r="Q470" t="str">
        <f t="shared" si="54"/>
        <v>Brazil</v>
      </c>
      <c r="R470">
        <v>2022</v>
      </c>
      <c r="S470">
        <v>1</v>
      </c>
      <c r="T470">
        <v>28</v>
      </c>
      <c r="U470">
        <v>13</v>
      </c>
      <c r="Y470" s="4">
        <f t="shared" si="55"/>
        <v>13</v>
      </c>
    </row>
    <row r="471" spans="1:25" ht="18" x14ac:dyDescent="0.25">
      <c r="A471" t="s">
        <v>1619</v>
      </c>
      <c r="B471" t="s">
        <v>1620</v>
      </c>
      <c r="C471" s="12" t="str">
        <f t="shared" si="49"/>
        <v>Negative</v>
      </c>
      <c r="D471" s="18">
        <f t="shared" si="50"/>
        <v>-1</v>
      </c>
      <c r="E471" s="1">
        <v>42536.9375</v>
      </c>
      <c r="F471" s="10">
        <f>INT(E471)</f>
        <v>42536</v>
      </c>
      <c r="G471" s="15">
        <f>MOD(E471,2)</f>
        <v>0.9375</v>
      </c>
      <c r="H471" s="15" t="str">
        <f t="shared" si="51"/>
        <v>22:30</v>
      </c>
      <c r="I471" t="s">
        <v>1621</v>
      </c>
      <c r="J471" t="s">
        <v>26</v>
      </c>
      <c r="K471" t="str">
        <f t="shared" si="52"/>
        <v>Instagram</v>
      </c>
      <c r="L471" t="s">
        <v>1622</v>
      </c>
      <c r="M471">
        <v>30</v>
      </c>
      <c r="N471">
        <v>60</v>
      </c>
      <c r="O471">
        <f t="shared" si="53"/>
        <v>90</v>
      </c>
      <c r="P471" t="s">
        <v>1564</v>
      </c>
      <c r="Q471" t="str">
        <f t="shared" si="54"/>
        <v>Spain</v>
      </c>
      <c r="R471">
        <v>2016</v>
      </c>
      <c r="S471">
        <v>6</v>
      </c>
      <c r="T471">
        <v>15</v>
      </c>
      <c r="U471">
        <v>22</v>
      </c>
      <c r="Y471" s="4">
        <f t="shared" si="55"/>
        <v>22</v>
      </c>
    </row>
    <row r="472" spans="1:25" ht="18" x14ac:dyDescent="0.25">
      <c r="A472" t="s">
        <v>1623</v>
      </c>
      <c r="B472" t="s">
        <v>1624</v>
      </c>
      <c r="C472" s="12" t="str">
        <f t="shared" si="49"/>
        <v>Positive</v>
      </c>
      <c r="D472" s="18">
        <f t="shared" si="50"/>
        <v>1</v>
      </c>
      <c r="E472" s="1">
        <v>44428.65625</v>
      </c>
      <c r="F472" s="10">
        <f>INT(E472)</f>
        <v>44428</v>
      </c>
      <c r="G472" s="15">
        <f>MOD(E472,2)</f>
        <v>0.65625</v>
      </c>
      <c r="H472" s="15" t="str">
        <f t="shared" si="51"/>
        <v>15:45</v>
      </c>
      <c r="I472" t="s">
        <v>1625</v>
      </c>
      <c r="J472" t="s">
        <v>26</v>
      </c>
      <c r="K472" t="str">
        <f t="shared" si="52"/>
        <v>Instagram</v>
      </c>
      <c r="L472" t="s">
        <v>1626</v>
      </c>
      <c r="M472">
        <v>40</v>
      </c>
      <c r="N472">
        <v>80</v>
      </c>
      <c r="O472">
        <f t="shared" si="53"/>
        <v>120</v>
      </c>
      <c r="P472" t="s">
        <v>98</v>
      </c>
      <c r="Q472" t="str">
        <f t="shared" si="54"/>
        <v>USA</v>
      </c>
      <c r="R472">
        <v>2021</v>
      </c>
      <c r="S472">
        <v>8</v>
      </c>
      <c r="T472">
        <v>20</v>
      </c>
      <c r="U472">
        <v>15</v>
      </c>
      <c r="Y472" s="4">
        <f t="shared" si="55"/>
        <v>15</v>
      </c>
    </row>
    <row r="473" spans="1:25" ht="18" x14ac:dyDescent="0.25">
      <c r="A473" t="s">
        <v>1627</v>
      </c>
      <c r="B473" t="s">
        <v>1628</v>
      </c>
      <c r="C473" s="12" t="str">
        <f t="shared" si="49"/>
        <v>Positive</v>
      </c>
      <c r="D473" s="18">
        <f t="shared" si="50"/>
        <v>1</v>
      </c>
      <c r="E473" s="1">
        <v>43202.770833333336</v>
      </c>
      <c r="F473" s="10">
        <f>INT(E473)</f>
        <v>43202</v>
      </c>
      <c r="G473" s="15">
        <f>MOD(E473,2)</f>
        <v>0.77083333333575865</v>
      </c>
      <c r="H473" s="15" t="str">
        <f t="shared" si="51"/>
        <v>18:30</v>
      </c>
      <c r="I473" t="s">
        <v>1559</v>
      </c>
      <c r="J473" t="s">
        <v>874</v>
      </c>
      <c r="K473" t="str">
        <f t="shared" si="52"/>
        <v>Twitter</v>
      </c>
      <c r="L473" t="s">
        <v>1629</v>
      </c>
      <c r="M473">
        <v>35</v>
      </c>
      <c r="N473">
        <v>70</v>
      </c>
      <c r="O473">
        <f t="shared" si="53"/>
        <v>105</v>
      </c>
      <c r="P473" t="s">
        <v>123</v>
      </c>
      <c r="Q473" t="str">
        <f t="shared" si="54"/>
        <v>Canada</v>
      </c>
      <c r="R473">
        <v>2018</v>
      </c>
      <c r="S473">
        <v>4</v>
      </c>
      <c r="T473">
        <v>12</v>
      </c>
      <c r="U473">
        <v>18</v>
      </c>
      <c r="Y473" s="4">
        <f t="shared" si="55"/>
        <v>18</v>
      </c>
    </row>
    <row r="474" spans="1:25" ht="18" x14ac:dyDescent="0.25">
      <c r="A474" t="s">
        <v>1630</v>
      </c>
      <c r="B474" t="s">
        <v>877</v>
      </c>
      <c r="C474" s="12" t="str">
        <f t="shared" si="49"/>
        <v>Positive</v>
      </c>
      <c r="D474" s="18">
        <f t="shared" si="50"/>
        <v>1</v>
      </c>
      <c r="E474" s="1">
        <v>44607.513888888891</v>
      </c>
      <c r="F474" s="10">
        <f>INT(E474)</f>
        <v>44607</v>
      </c>
      <c r="G474" s="15">
        <f>MOD(E474,2)</f>
        <v>1.5138888888905058</v>
      </c>
      <c r="H474" s="15" t="str">
        <f t="shared" si="51"/>
        <v>12:20</v>
      </c>
      <c r="I474" t="s">
        <v>1631</v>
      </c>
      <c r="J474" t="s">
        <v>31</v>
      </c>
      <c r="K474" t="str">
        <f t="shared" si="52"/>
        <v>Facebook</v>
      </c>
      <c r="L474" t="s">
        <v>1632</v>
      </c>
      <c r="M474">
        <v>25</v>
      </c>
      <c r="N474">
        <v>50</v>
      </c>
      <c r="O474">
        <f t="shared" si="53"/>
        <v>75</v>
      </c>
      <c r="P474" t="s">
        <v>109</v>
      </c>
      <c r="Q474" t="str">
        <f t="shared" si="54"/>
        <v>UK</v>
      </c>
      <c r="R474">
        <v>2022</v>
      </c>
      <c r="S474">
        <v>2</v>
      </c>
      <c r="T474">
        <v>15</v>
      </c>
      <c r="U474">
        <v>12</v>
      </c>
      <c r="Y474" s="4">
        <f t="shared" si="55"/>
        <v>12</v>
      </c>
    </row>
    <row r="475" spans="1:25" ht="18" x14ac:dyDescent="0.25">
      <c r="A475" t="s">
        <v>1633</v>
      </c>
      <c r="B475" t="s">
        <v>1634</v>
      </c>
      <c r="C475" s="12" t="str">
        <f t="shared" si="49"/>
        <v>Positive</v>
      </c>
      <c r="D475" s="18">
        <f t="shared" si="50"/>
        <v>1</v>
      </c>
      <c r="E475" s="1">
        <v>43766.59375</v>
      </c>
      <c r="F475" s="10">
        <f>INT(E475)</f>
        <v>43766</v>
      </c>
      <c r="G475" s="15">
        <f>MOD(E475,2)</f>
        <v>0.59375</v>
      </c>
      <c r="H475" s="15" t="str">
        <f t="shared" si="51"/>
        <v>14:15</v>
      </c>
      <c r="I475" t="s">
        <v>1635</v>
      </c>
      <c r="J475" t="s">
        <v>26</v>
      </c>
      <c r="K475" t="str">
        <f t="shared" si="52"/>
        <v>Instagram</v>
      </c>
      <c r="L475" t="s">
        <v>1636</v>
      </c>
      <c r="M475">
        <v>30</v>
      </c>
      <c r="N475">
        <v>60</v>
      </c>
      <c r="O475">
        <f t="shared" si="53"/>
        <v>90</v>
      </c>
      <c r="P475" t="s">
        <v>38</v>
      </c>
      <c r="Q475" t="str">
        <f t="shared" si="54"/>
        <v>Australia</v>
      </c>
      <c r="R475">
        <v>2019</v>
      </c>
      <c r="S475">
        <v>10</v>
      </c>
      <c r="T475">
        <v>28</v>
      </c>
      <c r="U475">
        <v>14</v>
      </c>
      <c r="Y475" s="4">
        <f t="shared" si="55"/>
        <v>14</v>
      </c>
    </row>
    <row r="476" spans="1:25" ht="18" x14ac:dyDescent="0.25">
      <c r="A476" t="s">
        <v>1637</v>
      </c>
      <c r="B476" t="s">
        <v>1638</v>
      </c>
      <c r="C476" s="12" t="str">
        <f t="shared" si="49"/>
        <v>Positive</v>
      </c>
      <c r="D476" s="18">
        <f t="shared" si="50"/>
        <v>1</v>
      </c>
      <c r="E476" s="1">
        <v>43091.875</v>
      </c>
      <c r="F476" s="10">
        <f>INT(E476)</f>
        <v>43091</v>
      </c>
      <c r="G476" s="15">
        <f>MOD(E476,2)</f>
        <v>1.875</v>
      </c>
      <c r="H476" s="15" t="str">
        <f t="shared" si="51"/>
        <v>21:00</v>
      </c>
      <c r="I476" t="s">
        <v>1639</v>
      </c>
      <c r="J476" t="s">
        <v>874</v>
      </c>
      <c r="K476" t="str">
        <f t="shared" si="52"/>
        <v>Twitter</v>
      </c>
      <c r="L476" t="s">
        <v>1640</v>
      </c>
      <c r="M476">
        <v>22</v>
      </c>
      <c r="N476">
        <v>45</v>
      </c>
      <c r="O476">
        <f t="shared" si="53"/>
        <v>67</v>
      </c>
      <c r="P476" t="s">
        <v>164</v>
      </c>
      <c r="Q476" t="str">
        <f t="shared" si="54"/>
        <v>India</v>
      </c>
      <c r="R476">
        <v>2017</v>
      </c>
      <c r="S476">
        <v>12</v>
      </c>
      <c r="T476">
        <v>22</v>
      </c>
      <c r="U476">
        <v>21</v>
      </c>
      <c r="Y476" s="4">
        <f t="shared" si="55"/>
        <v>21</v>
      </c>
    </row>
    <row r="477" spans="1:25" ht="18" x14ac:dyDescent="0.25">
      <c r="A477" t="s">
        <v>1641</v>
      </c>
      <c r="B477" t="s">
        <v>1212</v>
      </c>
      <c r="C477" s="12" t="str">
        <f t="shared" si="49"/>
        <v>Positive</v>
      </c>
      <c r="D477" s="18">
        <f t="shared" si="50"/>
        <v>1</v>
      </c>
      <c r="E477" s="1">
        <v>43992.729166666664</v>
      </c>
      <c r="F477" s="10">
        <f>INT(E477)</f>
        <v>43992</v>
      </c>
      <c r="G477" s="15">
        <f>MOD(E477,2)</f>
        <v>0.72916666666424135</v>
      </c>
      <c r="H477" s="15" t="str">
        <f t="shared" si="51"/>
        <v>17:30</v>
      </c>
      <c r="I477" t="s">
        <v>1642</v>
      </c>
      <c r="J477" t="s">
        <v>31</v>
      </c>
      <c r="K477" t="str">
        <f t="shared" si="52"/>
        <v>Facebook</v>
      </c>
      <c r="L477" t="s">
        <v>1643</v>
      </c>
      <c r="M477">
        <v>28</v>
      </c>
      <c r="N477">
        <v>55</v>
      </c>
      <c r="O477">
        <f t="shared" si="53"/>
        <v>83</v>
      </c>
      <c r="P477" t="s">
        <v>1535</v>
      </c>
      <c r="Q477" t="str">
        <f t="shared" si="54"/>
        <v>Germany</v>
      </c>
      <c r="R477">
        <v>2020</v>
      </c>
      <c r="S477">
        <v>6</v>
      </c>
      <c r="T477">
        <v>10</v>
      </c>
      <c r="U477">
        <v>17</v>
      </c>
      <c r="Y477" s="4">
        <f t="shared" si="55"/>
        <v>17</v>
      </c>
    </row>
    <row r="478" spans="1:25" ht="18" x14ac:dyDescent="0.25">
      <c r="A478" t="s">
        <v>1644</v>
      </c>
      <c r="B478" t="s">
        <v>1645</v>
      </c>
      <c r="C478" s="12" t="str">
        <f t="shared" si="49"/>
        <v>Neutral</v>
      </c>
      <c r="D478" s="18">
        <f t="shared" si="50"/>
        <v>0</v>
      </c>
      <c r="E478" s="1">
        <v>42631.822916666664</v>
      </c>
      <c r="F478" s="10">
        <f>INT(E478)</f>
        <v>42631</v>
      </c>
      <c r="G478" s="15">
        <f>MOD(E478,2)</f>
        <v>1.8229166666642413</v>
      </c>
      <c r="H478" s="15" t="str">
        <f t="shared" si="51"/>
        <v>19:45</v>
      </c>
      <c r="I478" t="s">
        <v>1646</v>
      </c>
      <c r="J478" t="s">
        <v>26</v>
      </c>
      <c r="K478" t="str">
        <f t="shared" si="52"/>
        <v>Instagram</v>
      </c>
      <c r="L478" t="s">
        <v>1647</v>
      </c>
      <c r="M478">
        <v>18</v>
      </c>
      <c r="N478">
        <v>35</v>
      </c>
      <c r="O478">
        <f t="shared" si="53"/>
        <v>53</v>
      </c>
      <c r="P478" t="s">
        <v>1544</v>
      </c>
      <c r="Q478" t="str">
        <f t="shared" si="54"/>
        <v>France</v>
      </c>
      <c r="R478">
        <v>2016</v>
      </c>
      <c r="S478">
        <v>9</v>
      </c>
      <c r="T478">
        <v>18</v>
      </c>
      <c r="U478">
        <v>19</v>
      </c>
      <c r="Y478" s="4">
        <f t="shared" si="55"/>
        <v>19</v>
      </c>
    </row>
    <row r="479" spans="1:25" ht="18" x14ac:dyDescent="0.25">
      <c r="A479" t="s">
        <v>1648</v>
      </c>
      <c r="B479" t="s">
        <v>1624</v>
      </c>
      <c r="C479" s="12" t="str">
        <f t="shared" si="49"/>
        <v>Positive</v>
      </c>
      <c r="D479" s="18">
        <f t="shared" si="50"/>
        <v>1</v>
      </c>
      <c r="E479" s="1">
        <v>44995.604166666664</v>
      </c>
      <c r="F479" s="10">
        <f>INT(E479)</f>
        <v>44995</v>
      </c>
      <c r="G479" s="15">
        <f>MOD(E479,2)</f>
        <v>1.6041666666642413</v>
      </c>
      <c r="H479" s="15" t="str">
        <f t="shared" si="51"/>
        <v>14:30</v>
      </c>
      <c r="I479" t="s">
        <v>1649</v>
      </c>
      <c r="J479" t="s">
        <v>874</v>
      </c>
      <c r="K479" t="str">
        <f t="shared" si="52"/>
        <v>Twitter</v>
      </c>
      <c r="L479" t="s">
        <v>1650</v>
      </c>
      <c r="M479">
        <v>20</v>
      </c>
      <c r="N479">
        <v>40</v>
      </c>
      <c r="O479">
        <f t="shared" si="53"/>
        <v>60</v>
      </c>
      <c r="P479" t="s">
        <v>1557</v>
      </c>
      <c r="Q479" t="str">
        <f t="shared" si="54"/>
        <v>Japan</v>
      </c>
      <c r="R479">
        <v>2023</v>
      </c>
      <c r="S479">
        <v>3</v>
      </c>
      <c r="T479">
        <v>10</v>
      </c>
      <c r="U479">
        <v>14</v>
      </c>
      <c r="Y479" s="4">
        <f t="shared" si="55"/>
        <v>14</v>
      </c>
    </row>
    <row r="480" spans="1:25" ht="18" x14ac:dyDescent="0.25">
      <c r="A480" t="s">
        <v>1651</v>
      </c>
      <c r="B480" t="s">
        <v>1652</v>
      </c>
      <c r="C480" s="12" t="str">
        <f t="shared" si="49"/>
        <v>Positive</v>
      </c>
      <c r="D480" s="18">
        <f t="shared" si="50"/>
        <v>1</v>
      </c>
      <c r="E480" s="1">
        <v>43590.510416666664</v>
      </c>
      <c r="F480" s="10">
        <f>INT(E480)</f>
        <v>43590</v>
      </c>
      <c r="G480" s="15">
        <f>MOD(E480,2)</f>
        <v>0.51041666666424135</v>
      </c>
      <c r="H480" s="15" t="str">
        <f t="shared" si="51"/>
        <v>12:15</v>
      </c>
      <c r="I480" t="s">
        <v>1653</v>
      </c>
      <c r="J480" t="s">
        <v>31</v>
      </c>
      <c r="K480" t="str">
        <f t="shared" si="52"/>
        <v>Facebook</v>
      </c>
      <c r="L480" t="s">
        <v>1654</v>
      </c>
      <c r="M480">
        <v>25</v>
      </c>
      <c r="N480">
        <v>50</v>
      </c>
      <c r="O480">
        <f t="shared" si="53"/>
        <v>75</v>
      </c>
      <c r="P480" t="s">
        <v>1539</v>
      </c>
      <c r="Q480" t="str">
        <f t="shared" si="54"/>
        <v>Brazil</v>
      </c>
      <c r="R480">
        <v>2019</v>
      </c>
      <c r="S480">
        <v>5</v>
      </c>
      <c r="T480">
        <v>5</v>
      </c>
      <c r="U480">
        <v>12</v>
      </c>
      <c r="Y480" s="4">
        <f t="shared" si="55"/>
        <v>12</v>
      </c>
    </row>
    <row r="481" spans="1:25" ht="18" x14ac:dyDescent="0.25">
      <c r="A481" t="s">
        <v>1655</v>
      </c>
      <c r="B481" t="s">
        <v>1656</v>
      </c>
      <c r="C481" s="12" t="str">
        <f t="shared" si="49"/>
        <v>Positive</v>
      </c>
      <c r="D481" s="18">
        <f t="shared" si="50"/>
        <v>1</v>
      </c>
      <c r="E481" s="1">
        <v>43340.666666666664</v>
      </c>
      <c r="F481" s="10">
        <f>INT(E481)</f>
        <v>43340</v>
      </c>
      <c r="G481" s="15">
        <f>MOD(E481,2)</f>
        <v>0.66666666666424135</v>
      </c>
      <c r="H481" s="15" t="str">
        <f t="shared" si="51"/>
        <v>16:00</v>
      </c>
      <c r="I481" t="s">
        <v>1657</v>
      </c>
      <c r="J481" t="s">
        <v>26</v>
      </c>
      <c r="K481" t="str">
        <f t="shared" si="52"/>
        <v>Instagram</v>
      </c>
      <c r="L481" t="s">
        <v>1658</v>
      </c>
      <c r="M481">
        <v>30</v>
      </c>
      <c r="N481">
        <v>60</v>
      </c>
      <c r="O481">
        <f t="shared" si="53"/>
        <v>90</v>
      </c>
      <c r="P481" t="s">
        <v>1485</v>
      </c>
      <c r="Q481" t="str">
        <f t="shared" si="54"/>
        <v>South Africa</v>
      </c>
      <c r="R481">
        <v>2018</v>
      </c>
      <c r="S481">
        <v>8</v>
      </c>
      <c r="T481">
        <v>28</v>
      </c>
      <c r="U481">
        <v>16</v>
      </c>
      <c r="Y481" s="4">
        <f t="shared" si="55"/>
        <v>16</v>
      </c>
    </row>
    <row r="482" spans="1:25" ht="18" x14ac:dyDescent="0.25">
      <c r="A482" t="s">
        <v>1659</v>
      </c>
      <c r="B482" t="s">
        <v>1660</v>
      </c>
      <c r="C482" s="12" t="str">
        <f t="shared" si="49"/>
        <v>Positive</v>
      </c>
      <c r="D482" s="18">
        <f t="shared" si="50"/>
        <v>1</v>
      </c>
      <c r="E482" s="1">
        <v>44880.864583333336</v>
      </c>
      <c r="F482" s="10">
        <f>INT(E482)</f>
        <v>44880</v>
      </c>
      <c r="G482" s="15">
        <f>MOD(E482,2)</f>
        <v>0.86458333333575865</v>
      </c>
      <c r="H482" s="15" t="str">
        <f t="shared" si="51"/>
        <v>20:45</v>
      </c>
      <c r="I482" t="s">
        <v>1661</v>
      </c>
      <c r="J482" t="s">
        <v>874</v>
      </c>
      <c r="K482" t="str">
        <f t="shared" si="52"/>
        <v>Twitter</v>
      </c>
      <c r="L482" t="s">
        <v>1662</v>
      </c>
      <c r="M482">
        <v>35</v>
      </c>
      <c r="N482">
        <v>70</v>
      </c>
      <c r="O482">
        <f t="shared" si="53"/>
        <v>105</v>
      </c>
      <c r="P482" t="s">
        <v>98</v>
      </c>
      <c r="Q482" t="str">
        <f t="shared" si="54"/>
        <v>USA</v>
      </c>
      <c r="R482">
        <v>2022</v>
      </c>
      <c r="S482">
        <v>11</v>
      </c>
      <c r="T482">
        <v>15</v>
      </c>
      <c r="U482">
        <v>20</v>
      </c>
      <c r="Y482" s="4">
        <f t="shared" si="55"/>
        <v>20</v>
      </c>
    </row>
    <row r="483" spans="1:25" ht="18" x14ac:dyDescent="0.25">
      <c r="A483" t="s">
        <v>1663</v>
      </c>
      <c r="B483" t="s">
        <v>1624</v>
      </c>
      <c r="C483" s="12" t="str">
        <f t="shared" si="49"/>
        <v>Positive</v>
      </c>
      <c r="D483" s="18">
        <f t="shared" si="50"/>
        <v>1</v>
      </c>
      <c r="E483" s="1">
        <v>43648.708333333336</v>
      </c>
      <c r="F483" s="10">
        <f>INT(E483)</f>
        <v>43648</v>
      </c>
      <c r="G483" s="15">
        <f>MOD(E483,2)</f>
        <v>0.70833333333575865</v>
      </c>
      <c r="H483" s="15" t="str">
        <f t="shared" si="51"/>
        <v>17:00</v>
      </c>
      <c r="I483" t="s">
        <v>1664</v>
      </c>
      <c r="J483" t="s">
        <v>26</v>
      </c>
      <c r="K483" t="str">
        <f t="shared" si="52"/>
        <v>Instagram</v>
      </c>
      <c r="L483" t="s">
        <v>1665</v>
      </c>
      <c r="M483">
        <v>40</v>
      </c>
      <c r="N483">
        <v>80</v>
      </c>
      <c r="O483">
        <f t="shared" si="53"/>
        <v>120</v>
      </c>
      <c r="P483" t="s">
        <v>123</v>
      </c>
      <c r="Q483" t="str">
        <f t="shared" si="54"/>
        <v>Canada</v>
      </c>
      <c r="R483">
        <v>2019</v>
      </c>
      <c r="S483">
        <v>7</v>
      </c>
      <c r="T483">
        <v>2</v>
      </c>
      <c r="U483">
        <v>17</v>
      </c>
      <c r="Y483" s="4">
        <f t="shared" si="55"/>
        <v>17</v>
      </c>
    </row>
    <row r="484" spans="1:25" ht="18" x14ac:dyDescent="0.25">
      <c r="A484" t="s">
        <v>1666</v>
      </c>
      <c r="B484" t="s">
        <v>388</v>
      </c>
      <c r="C484" s="12" t="str">
        <f t="shared" si="49"/>
        <v>Positive</v>
      </c>
      <c r="D484" s="18">
        <f t="shared" si="50"/>
        <v>1</v>
      </c>
      <c r="E484" s="1">
        <v>44304.597222222219</v>
      </c>
      <c r="F484" s="10">
        <f>INT(E484)</f>
        <v>44304</v>
      </c>
      <c r="G484" s="15">
        <f>MOD(E484,2)</f>
        <v>0.59722222221898846</v>
      </c>
      <c r="H484" s="15" t="str">
        <f t="shared" si="51"/>
        <v>14:20</v>
      </c>
      <c r="I484" t="s">
        <v>1667</v>
      </c>
      <c r="J484" t="s">
        <v>31</v>
      </c>
      <c r="K484" t="str">
        <f t="shared" si="52"/>
        <v>Facebook</v>
      </c>
      <c r="L484" t="s">
        <v>1668</v>
      </c>
      <c r="M484">
        <v>30</v>
      </c>
      <c r="N484">
        <v>60</v>
      </c>
      <c r="O484">
        <f t="shared" si="53"/>
        <v>90</v>
      </c>
      <c r="P484" t="s">
        <v>109</v>
      </c>
      <c r="Q484" t="str">
        <f t="shared" si="54"/>
        <v>UK</v>
      </c>
      <c r="R484">
        <v>2021</v>
      </c>
      <c r="S484">
        <v>4</v>
      </c>
      <c r="T484">
        <v>18</v>
      </c>
      <c r="U484">
        <v>14</v>
      </c>
      <c r="Y484" s="4">
        <f t="shared" si="55"/>
        <v>14</v>
      </c>
    </row>
    <row r="485" spans="1:25" ht="18" x14ac:dyDescent="0.25">
      <c r="A485" t="s">
        <v>1669</v>
      </c>
      <c r="B485" t="s">
        <v>1670</v>
      </c>
      <c r="C485" s="12" t="str">
        <f t="shared" si="49"/>
        <v>Neutral</v>
      </c>
      <c r="D485" s="18">
        <f t="shared" si="50"/>
        <v>0</v>
      </c>
      <c r="E485" s="1">
        <v>44962.8125</v>
      </c>
      <c r="F485" s="10">
        <f>INT(E485)</f>
        <v>44962</v>
      </c>
      <c r="G485" s="15">
        <f>MOD(E485,2)</f>
        <v>0.8125</v>
      </c>
      <c r="H485" s="15" t="str">
        <f t="shared" si="51"/>
        <v>19:30</v>
      </c>
      <c r="I485" t="s">
        <v>1671</v>
      </c>
      <c r="J485" t="s">
        <v>874</v>
      </c>
      <c r="K485" t="str">
        <f t="shared" si="52"/>
        <v>Twitter</v>
      </c>
      <c r="L485" t="s">
        <v>1672</v>
      </c>
      <c r="M485">
        <v>25</v>
      </c>
      <c r="N485">
        <v>50</v>
      </c>
      <c r="O485">
        <f t="shared" si="53"/>
        <v>75</v>
      </c>
      <c r="P485" t="s">
        <v>38</v>
      </c>
      <c r="Q485" t="str">
        <f t="shared" si="54"/>
        <v>Australia</v>
      </c>
      <c r="R485">
        <v>2023</v>
      </c>
      <c r="S485">
        <v>2</v>
      </c>
      <c r="T485">
        <v>5</v>
      </c>
      <c r="U485">
        <v>19</v>
      </c>
      <c r="Y485" s="4">
        <f t="shared" si="55"/>
        <v>19</v>
      </c>
    </row>
    <row r="486" spans="1:25" ht="18" x14ac:dyDescent="0.25">
      <c r="A486" t="s">
        <v>1673</v>
      </c>
      <c r="B486" t="s">
        <v>924</v>
      </c>
      <c r="C486" s="12" t="str">
        <f t="shared" si="49"/>
        <v>Neutral</v>
      </c>
      <c r="D486" s="18">
        <f t="shared" si="50"/>
        <v>0</v>
      </c>
      <c r="E486" s="1">
        <v>43365.53125</v>
      </c>
      <c r="F486" s="10">
        <f>INT(E486)</f>
        <v>43365</v>
      </c>
      <c r="G486" s="15">
        <f>MOD(E486,2)</f>
        <v>1.53125</v>
      </c>
      <c r="H486" s="15" t="str">
        <f t="shared" si="51"/>
        <v>12:45</v>
      </c>
      <c r="I486" t="s">
        <v>1674</v>
      </c>
      <c r="J486" t="s">
        <v>26</v>
      </c>
      <c r="K486" t="str">
        <f t="shared" si="52"/>
        <v>Instagram</v>
      </c>
      <c r="L486" t="s">
        <v>1675</v>
      </c>
      <c r="M486">
        <v>22</v>
      </c>
      <c r="N486">
        <v>45</v>
      </c>
      <c r="O486">
        <f t="shared" si="53"/>
        <v>67</v>
      </c>
      <c r="P486" t="s">
        <v>164</v>
      </c>
      <c r="Q486" t="str">
        <f t="shared" si="54"/>
        <v>India</v>
      </c>
      <c r="R486">
        <v>2018</v>
      </c>
      <c r="S486">
        <v>9</v>
      </c>
      <c r="T486">
        <v>22</v>
      </c>
      <c r="U486">
        <v>12</v>
      </c>
      <c r="Y486" s="4">
        <f t="shared" si="55"/>
        <v>12</v>
      </c>
    </row>
    <row r="487" spans="1:25" ht="18" x14ac:dyDescent="0.25">
      <c r="A487" t="s">
        <v>1676</v>
      </c>
      <c r="B487" t="s">
        <v>1638</v>
      </c>
      <c r="C487" s="12" t="str">
        <f t="shared" si="49"/>
        <v>Positive</v>
      </c>
      <c r="D487" s="18">
        <f t="shared" si="50"/>
        <v>1</v>
      </c>
      <c r="E487" s="1">
        <v>42714.885416666664</v>
      </c>
      <c r="F487" s="10">
        <f>INT(E487)</f>
        <v>42714</v>
      </c>
      <c r="G487" s="15">
        <f>MOD(E487,2)</f>
        <v>0.88541666666424135</v>
      </c>
      <c r="H487" s="15" t="str">
        <f t="shared" si="51"/>
        <v>21:15</v>
      </c>
      <c r="I487" t="s">
        <v>1677</v>
      </c>
      <c r="J487" t="s">
        <v>31</v>
      </c>
      <c r="K487" t="str">
        <f t="shared" si="52"/>
        <v>Facebook</v>
      </c>
      <c r="L487" t="s">
        <v>1678</v>
      </c>
      <c r="M487">
        <v>28</v>
      </c>
      <c r="N487">
        <v>55</v>
      </c>
      <c r="O487">
        <f t="shared" si="53"/>
        <v>83</v>
      </c>
      <c r="P487" t="s">
        <v>1535</v>
      </c>
      <c r="Q487" t="str">
        <f t="shared" si="54"/>
        <v>Germany</v>
      </c>
      <c r="R487">
        <v>2016</v>
      </c>
      <c r="S487">
        <v>12</v>
      </c>
      <c r="T487">
        <v>10</v>
      </c>
      <c r="U487">
        <v>21</v>
      </c>
      <c r="Y487" s="4">
        <f t="shared" si="55"/>
        <v>21</v>
      </c>
    </row>
    <row r="488" spans="1:25" ht="18" x14ac:dyDescent="0.25">
      <c r="A488" t="s">
        <v>1679</v>
      </c>
      <c r="B488" t="s">
        <v>1308</v>
      </c>
      <c r="C488" s="12" t="str">
        <f t="shared" si="49"/>
        <v>Positive</v>
      </c>
      <c r="D488" s="18">
        <f t="shared" si="50"/>
        <v>1</v>
      </c>
      <c r="E488" s="1">
        <v>43979.666666666664</v>
      </c>
      <c r="F488" s="10">
        <f>INT(E488)</f>
        <v>43979</v>
      </c>
      <c r="G488" s="15">
        <f>MOD(E488,2)</f>
        <v>1.6666666666642413</v>
      </c>
      <c r="H488" s="15" t="str">
        <f t="shared" si="51"/>
        <v>16:00</v>
      </c>
      <c r="I488" t="s">
        <v>1680</v>
      </c>
      <c r="J488" t="s">
        <v>874</v>
      </c>
      <c r="K488" t="str">
        <f t="shared" si="52"/>
        <v>Twitter</v>
      </c>
      <c r="L488" t="s">
        <v>1681</v>
      </c>
      <c r="M488">
        <v>18</v>
      </c>
      <c r="N488">
        <v>35</v>
      </c>
      <c r="O488">
        <f t="shared" si="53"/>
        <v>53</v>
      </c>
      <c r="P488" t="s">
        <v>1544</v>
      </c>
      <c r="Q488" t="str">
        <f t="shared" si="54"/>
        <v>France</v>
      </c>
      <c r="R488">
        <v>2020</v>
      </c>
      <c r="S488">
        <v>5</v>
      </c>
      <c r="T488">
        <v>28</v>
      </c>
      <c r="U488">
        <v>16</v>
      </c>
      <c r="Y488" s="4">
        <f t="shared" si="55"/>
        <v>16</v>
      </c>
    </row>
    <row r="489" spans="1:25" ht="18" x14ac:dyDescent="0.25">
      <c r="A489" t="s">
        <v>1682</v>
      </c>
      <c r="B489" t="s">
        <v>1683</v>
      </c>
      <c r="C489" s="12" t="str">
        <f t="shared" si="49"/>
        <v>Positive</v>
      </c>
      <c r="D489" s="18">
        <f t="shared" si="50"/>
        <v>1</v>
      </c>
      <c r="E489" s="1">
        <v>43054.9375</v>
      </c>
      <c r="F489" s="10">
        <f>INT(E489)</f>
        <v>43054</v>
      </c>
      <c r="G489" s="15">
        <f>MOD(E489,2)</f>
        <v>0.9375</v>
      </c>
      <c r="H489" s="15" t="str">
        <f t="shared" si="51"/>
        <v>22:30</v>
      </c>
      <c r="I489" t="s">
        <v>1684</v>
      </c>
      <c r="J489" t="s">
        <v>26</v>
      </c>
      <c r="K489" t="str">
        <f t="shared" si="52"/>
        <v>Instagram</v>
      </c>
      <c r="L489" t="s">
        <v>1685</v>
      </c>
      <c r="M489">
        <v>22</v>
      </c>
      <c r="N489">
        <v>45</v>
      </c>
      <c r="O489">
        <f t="shared" si="53"/>
        <v>67</v>
      </c>
      <c r="P489" t="s">
        <v>1557</v>
      </c>
      <c r="Q489" t="str">
        <f t="shared" si="54"/>
        <v>Japan</v>
      </c>
      <c r="R489">
        <v>2017</v>
      </c>
      <c r="S489">
        <v>11</v>
      </c>
      <c r="T489">
        <v>15</v>
      </c>
      <c r="U489">
        <v>22</v>
      </c>
      <c r="Y489" s="4">
        <f t="shared" si="55"/>
        <v>22</v>
      </c>
    </row>
    <row r="490" spans="1:25" ht="18" x14ac:dyDescent="0.25">
      <c r="A490" t="s">
        <v>1686</v>
      </c>
      <c r="B490" t="s">
        <v>1628</v>
      </c>
      <c r="C490" s="12" t="str">
        <f t="shared" si="49"/>
        <v>Positive</v>
      </c>
      <c r="D490" s="18">
        <f t="shared" si="50"/>
        <v>1</v>
      </c>
      <c r="E490" s="1">
        <v>44410.791666666664</v>
      </c>
      <c r="F490" s="10">
        <f>INT(E490)</f>
        <v>44410</v>
      </c>
      <c r="G490" s="15">
        <f>MOD(E490,2)</f>
        <v>0.79166666666424135</v>
      </c>
      <c r="H490" s="15" t="str">
        <f t="shared" si="51"/>
        <v>19:00</v>
      </c>
      <c r="I490" t="s">
        <v>1687</v>
      </c>
      <c r="J490" t="s">
        <v>31</v>
      </c>
      <c r="K490" t="str">
        <f t="shared" si="52"/>
        <v>Facebook</v>
      </c>
      <c r="L490" t="s">
        <v>1688</v>
      </c>
      <c r="M490">
        <v>30</v>
      </c>
      <c r="N490">
        <v>60</v>
      </c>
      <c r="O490">
        <f t="shared" si="53"/>
        <v>90</v>
      </c>
      <c r="P490" t="s">
        <v>1539</v>
      </c>
      <c r="Q490" t="str">
        <f t="shared" si="54"/>
        <v>Brazil</v>
      </c>
      <c r="R490">
        <v>2021</v>
      </c>
      <c r="S490">
        <v>8</v>
      </c>
      <c r="T490">
        <v>2</v>
      </c>
      <c r="U490">
        <v>19</v>
      </c>
      <c r="Y490" s="4">
        <f t="shared" si="55"/>
        <v>19</v>
      </c>
    </row>
    <row r="491" spans="1:25" ht="18" x14ac:dyDescent="0.25">
      <c r="A491" t="s">
        <v>1689</v>
      </c>
      <c r="B491" t="s">
        <v>1690</v>
      </c>
      <c r="C491" s="12" t="str">
        <f t="shared" si="49"/>
        <v>Positive</v>
      </c>
      <c r="D491" s="18">
        <f t="shared" si="50"/>
        <v>1</v>
      </c>
      <c r="E491" s="1">
        <v>43552.645833333336</v>
      </c>
      <c r="F491" s="10">
        <f>INT(E491)</f>
        <v>43552</v>
      </c>
      <c r="G491" s="15">
        <f>MOD(E491,2)</f>
        <v>0.64583333333575865</v>
      </c>
      <c r="H491" s="15" t="str">
        <f t="shared" si="51"/>
        <v>15:30</v>
      </c>
      <c r="I491" t="s">
        <v>1691</v>
      </c>
      <c r="J491" t="s">
        <v>26</v>
      </c>
      <c r="K491" t="str">
        <f t="shared" si="52"/>
        <v>Instagram</v>
      </c>
      <c r="L491" t="s">
        <v>1692</v>
      </c>
      <c r="M491">
        <v>35</v>
      </c>
      <c r="N491">
        <v>70</v>
      </c>
      <c r="O491">
        <f t="shared" si="53"/>
        <v>105</v>
      </c>
      <c r="P491" t="s">
        <v>1485</v>
      </c>
      <c r="Q491" t="str">
        <f t="shared" si="54"/>
        <v>South Africa</v>
      </c>
      <c r="R491">
        <v>2019</v>
      </c>
      <c r="S491">
        <v>3</v>
      </c>
      <c r="T491">
        <v>28</v>
      </c>
      <c r="U491">
        <v>15</v>
      </c>
      <c r="Y491" s="4">
        <f t="shared" si="55"/>
        <v>15</v>
      </c>
    </row>
    <row r="492" spans="1:25" ht="18" x14ac:dyDescent="0.25">
      <c r="A492" t="s">
        <v>1693</v>
      </c>
      <c r="B492" t="s">
        <v>1694</v>
      </c>
      <c r="C492" s="12" t="str">
        <f t="shared" si="49"/>
        <v>Neutral</v>
      </c>
      <c r="D492" s="18">
        <f t="shared" si="50"/>
        <v>0</v>
      </c>
      <c r="E492" s="1">
        <v>43232.729166666664</v>
      </c>
      <c r="F492" s="10">
        <f>INT(E492)</f>
        <v>43232</v>
      </c>
      <c r="G492" s="15">
        <f>MOD(E492,2)</f>
        <v>0.72916666666424135</v>
      </c>
      <c r="H492" s="15" t="str">
        <f t="shared" si="51"/>
        <v>17:30</v>
      </c>
      <c r="I492" t="s">
        <v>1695</v>
      </c>
      <c r="J492" t="s">
        <v>874</v>
      </c>
      <c r="K492" t="str">
        <f t="shared" si="52"/>
        <v>Twitter</v>
      </c>
      <c r="L492" t="s">
        <v>1696</v>
      </c>
      <c r="M492">
        <v>28</v>
      </c>
      <c r="N492">
        <v>55</v>
      </c>
      <c r="O492">
        <f t="shared" si="53"/>
        <v>83</v>
      </c>
      <c r="P492" t="s">
        <v>1544</v>
      </c>
      <c r="Q492" t="str">
        <f t="shared" si="54"/>
        <v>France</v>
      </c>
      <c r="R492">
        <v>2018</v>
      </c>
      <c r="S492">
        <v>5</v>
      </c>
      <c r="T492">
        <v>12</v>
      </c>
      <c r="U492">
        <v>17</v>
      </c>
      <c r="Y492" s="4">
        <f t="shared" si="55"/>
        <v>17</v>
      </c>
    </row>
    <row r="493" spans="1:25" ht="18" x14ac:dyDescent="0.25">
      <c r="A493" t="s">
        <v>1697</v>
      </c>
      <c r="B493" t="s">
        <v>1698</v>
      </c>
      <c r="C493" s="12" t="str">
        <f t="shared" si="49"/>
        <v>Positive</v>
      </c>
      <c r="D493" s="18">
        <f t="shared" si="50"/>
        <v>1</v>
      </c>
      <c r="E493" s="1">
        <v>44832.65625</v>
      </c>
      <c r="F493" s="10">
        <f>INT(E493)</f>
        <v>44832</v>
      </c>
      <c r="G493" s="15">
        <f>MOD(E493,2)</f>
        <v>0.65625</v>
      </c>
      <c r="H493" s="15" t="str">
        <f t="shared" si="51"/>
        <v>15:45</v>
      </c>
      <c r="I493" t="s">
        <v>1699</v>
      </c>
      <c r="J493" t="s">
        <v>26</v>
      </c>
      <c r="K493" t="str">
        <f t="shared" si="52"/>
        <v>Instagram</v>
      </c>
      <c r="L493" t="s">
        <v>1700</v>
      </c>
      <c r="M493">
        <v>30</v>
      </c>
      <c r="N493">
        <v>60</v>
      </c>
      <c r="O493">
        <f t="shared" si="53"/>
        <v>90</v>
      </c>
      <c r="P493" t="s">
        <v>98</v>
      </c>
      <c r="Q493" t="str">
        <f t="shared" si="54"/>
        <v>USA</v>
      </c>
      <c r="R493">
        <v>2022</v>
      </c>
      <c r="S493">
        <v>9</v>
      </c>
      <c r="T493">
        <v>28</v>
      </c>
      <c r="U493">
        <v>15</v>
      </c>
      <c r="Y493" s="4">
        <f t="shared" si="55"/>
        <v>15</v>
      </c>
    </row>
    <row r="494" spans="1:25" ht="18" x14ac:dyDescent="0.25">
      <c r="A494" t="s">
        <v>1701</v>
      </c>
      <c r="B494" t="s">
        <v>388</v>
      </c>
      <c r="C494" s="12" t="str">
        <f t="shared" si="49"/>
        <v>Positive</v>
      </c>
      <c r="D494" s="18">
        <f t="shared" si="50"/>
        <v>1</v>
      </c>
      <c r="E494" s="1">
        <v>43779.583333333336</v>
      </c>
      <c r="F494" s="10">
        <f>INT(E494)</f>
        <v>43779</v>
      </c>
      <c r="G494" s="15">
        <f>MOD(E494,2)</f>
        <v>1.5833333333357587</v>
      </c>
      <c r="H494" s="15" t="str">
        <f t="shared" si="51"/>
        <v>14:00</v>
      </c>
      <c r="I494" t="s">
        <v>1702</v>
      </c>
      <c r="J494" t="s">
        <v>31</v>
      </c>
      <c r="K494" t="str">
        <f t="shared" si="52"/>
        <v>Facebook</v>
      </c>
      <c r="L494" t="s">
        <v>1703</v>
      </c>
      <c r="M494">
        <v>22</v>
      </c>
      <c r="N494">
        <v>45</v>
      </c>
      <c r="O494">
        <f t="shared" si="53"/>
        <v>67</v>
      </c>
      <c r="P494" t="s">
        <v>1552</v>
      </c>
      <c r="Q494" t="str">
        <f t="shared" si="54"/>
        <v>Italy</v>
      </c>
      <c r="R494">
        <v>2019</v>
      </c>
      <c r="S494">
        <v>11</v>
      </c>
      <c r="T494">
        <v>10</v>
      </c>
      <c r="U494">
        <v>14</v>
      </c>
      <c r="Y494" s="4">
        <f t="shared" si="55"/>
        <v>14</v>
      </c>
    </row>
    <row r="495" spans="1:25" ht="18" x14ac:dyDescent="0.25">
      <c r="A495" t="s">
        <v>1704</v>
      </c>
      <c r="B495" t="s">
        <v>1624</v>
      </c>
      <c r="C495" s="12" t="str">
        <f t="shared" si="49"/>
        <v>Positive</v>
      </c>
      <c r="D495" s="18">
        <f t="shared" si="50"/>
        <v>1</v>
      </c>
      <c r="E495" s="1">
        <v>44288.763888888891</v>
      </c>
      <c r="F495" s="10">
        <f>INT(E495)</f>
        <v>44288</v>
      </c>
      <c r="G495" s="15">
        <f>MOD(E495,2)</f>
        <v>0.76388888889050577</v>
      </c>
      <c r="H495" s="15" t="str">
        <f t="shared" si="51"/>
        <v>18:20</v>
      </c>
      <c r="I495" t="s">
        <v>1705</v>
      </c>
      <c r="J495" t="s">
        <v>26</v>
      </c>
      <c r="K495" t="str">
        <f t="shared" si="52"/>
        <v>Instagram</v>
      </c>
      <c r="L495" t="s">
        <v>1706</v>
      </c>
      <c r="M495">
        <v>35</v>
      </c>
      <c r="N495">
        <v>70</v>
      </c>
      <c r="O495">
        <f t="shared" si="53"/>
        <v>105</v>
      </c>
      <c r="P495" t="s">
        <v>1707</v>
      </c>
      <c r="Q495" t="str">
        <f t="shared" si="54"/>
        <v>Netherlands</v>
      </c>
      <c r="R495">
        <v>2021</v>
      </c>
      <c r="S495">
        <v>4</v>
      </c>
      <c r="T495">
        <v>2</v>
      </c>
      <c r="U495">
        <v>18</v>
      </c>
      <c r="Y495" s="4">
        <f t="shared" si="55"/>
        <v>18</v>
      </c>
    </row>
    <row r="496" spans="1:25" ht="18" x14ac:dyDescent="0.25">
      <c r="A496" t="s">
        <v>1708</v>
      </c>
      <c r="B496" t="s">
        <v>1709</v>
      </c>
      <c r="C496" s="12" t="str">
        <f t="shared" si="49"/>
        <v>Positive</v>
      </c>
      <c r="D496" s="18">
        <f t="shared" si="50"/>
        <v>1</v>
      </c>
      <c r="E496" s="1">
        <v>42969.895833333336</v>
      </c>
      <c r="F496" s="10">
        <f>INT(E496)</f>
        <v>42969</v>
      </c>
      <c r="G496" s="15">
        <f>MOD(E496,2)</f>
        <v>1.8958333333357587</v>
      </c>
      <c r="H496" s="15" t="str">
        <f t="shared" si="51"/>
        <v>21:30</v>
      </c>
      <c r="I496" t="s">
        <v>1710</v>
      </c>
      <c r="J496" t="s">
        <v>874</v>
      </c>
      <c r="K496" t="str">
        <f t="shared" si="52"/>
        <v>Twitter</v>
      </c>
      <c r="L496" t="s">
        <v>1711</v>
      </c>
      <c r="M496">
        <v>18</v>
      </c>
      <c r="N496">
        <v>35</v>
      </c>
      <c r="O496">
        <f t="shared" si="53"/>
        <v>53</v>
      </c>
      <c r="P496" t="s">
        <v>1557</v>
      </c>
      <c r="Q496" t="str">
        <f t="shared" si="54"/>
        <v>Japan</v>
      </c>
      <c r="R496">
        <v>2017</v>
      </c>
      <c r="S496">
        <v>8</v>
      </c>
      <c r="T496">
        <v>22</v>
      </c>
      <c r="U496">
        <v>21</v>
      </c>
      <c r="Y496" s="4">
        <f t="shared" si="55"/>
        <v>21</v>
      </c>
    </row>
    <row r="497" spans="1:25" ht="18" x14ac:dyDescent="0.25">
      <c r="A497" t="s">
        <v>1712</v>
      </c>
      <c r="B497" t="s">
        <v>1713</v>
      </c>
      <c r="C497" s="12" t="str">
        <f t="shared" si="49"/>
        <v>Positive</v>
      </c>
      <c r="D497" s="18">
        <f t="shared" si="50"/>
        <v>1</v>
      </c>
      <c r="E497" s="1">
        <v>43997.697916666664</v>
      </c>
      <c r="F497" s="10">
        <f>INT(E497)</f>
        <v>43997</v>
      </c>
      <c r="G497" s="15">
        <f>MOD(E497,2)</f>
        <v>1.6979166666642413</v>
      </c>
      <c r="H497" s="15" t="str">
        <f t="shared" si="51"/>
        <v>16:45</v>
      </c>
      <c r="I497" t="s">
        <v>1714</v>
      </c>
      <c r="J497" t="s">
        <v>26</v>
      </c>
      <c r="K497" t="str">
        <f t="shared" si="52"/>
        <v>Instagram</v>
      </c>
      <c r="L497" t="s">
        <v>1715</v>
      </c>
      <c r="M497">
        <v>25</v>
      </c>
      <c r="N497">
        <v>50</v>
      </c>
      <c r="O497">
        <f t="shared" si="53"/>
        <v>75</v>
      </c>
      <c r="P497" t="s">
        <v>98</v>
      </c>
      <c r="Q497" t="str">
        <f t="shared" si="54"/>
        <v>USA</v>
      </c>
      <c r="R497">
        <v>2020</v>
      </c>
      <c r="S497">
        <v>6</v>
      </c>
      <c r="T497">
        <v>15</v>
      </c>
      <c r="U497">
        <v>16</v>
      </c>
      <c r="Y497" s="4">
        <f t="shared" si="55"/>
        <v>16</v>
      </c>
    </row>
    <row r="498" spans="1:25" ht="18" x14ac:dyDescent="0.25">
      <c r="A498" t="s">
        <v>1716</v>
      </c>
      <c r="B498" t="s">
        <v>920</v>
      </c>
      <c r="C498" s="12" t="str">
        <f t="shared" si="49"/>
        <v>Positive</v>
      </c>
      <c r="D498" s="18">
        <f t="shared" si="50"/>
        <v>1</v>
      </c>
      <c r="E498" s="1">
        <v>42623.802083333336</v>
      </c>
      <c r="F498" s="10">
        <f>INT(E498)</f>
        <v>42623</v>
      </c>
      <c r="G498" s="15">
        <f>MOD(E498,2)</f>
        <v>1.8020833333357587</v>
      </c>
      <c r="H498" s="15" t="str">
        <f t="shared" si="51"/>
        <v>19:15</v>
      </c>
      <c r="I498" t="s">
        <v>1717</v>
      </c>
      <c r="J498" t="s">
        <v>31</v>
      </c>
      <c r="K498" t="str">
        <f t="shared" si="52"/>
        <v>Facebook</v>
      </c>
      <c r="L498" t="s">
        <v>1718</v>
      </c>
      <c r="M498">
        <v>22</v>
      </c>
      <c r="N498">
        <v>45</v>
      </c>
      <c r="O498">
        <f t="shared" si="53"/>
        <v>67</v>
      </c>
      <c r="P498" t="s">
        <v>1719</v>
      </c>
      <c r="Q498" t="str">
        <f t="shared" si="54"/>
        <v>Greece</v>
      </c>
      <c r="R498">
        <v>2016</v>
      </c>
      <c r="S498">
        <v>9</v>
      </c>
      <c r="T498">
        <v>10</v>
      </c>
      <c r="U498">
        <v>19</v>
      </c>
      <c r="Y498" s="4">
        <f t="shared" si="55"/>
        <v>19</v>
      </c>
    </row>
    <row r="499" spans="1:25" ht="18" x14ac:dyDescent="0.25">
      <c r="A499" t="s">
        <v>1720</v>
      </c>
      <c r="B499" t="s">
        <v>1721</v>
      </c>
      <c r="C499" s="12" t="str">
        <f t="shared" si="49"/>
        <v>Positive</v>
      </c>
      <c r="D499" s="18">
        <f t="shared" si="50"/>
        <v>1</v>
      </c>
      <c r="E499" s="1">
        <v>44954.541666666664</v>
      </c>
      <c r="F499" s="10">
        <f>INT(E499)</f>
        <v>44954</v>
      </c>
      <c r="G499" s="15">
        <f>MOD(E499,2)</f>
        <v>0.54166666666424135</v>
      </c>
      <c r="H499" s="15" t="str">
        <f t="shared" si="51"/>
        <v>13:00</v>
      </c>
      <c r="I499" t="s">
        <v>1722</v>
      </c>
      <c r="J499" t="s">
        <v>874</v>
      </c>
      <c r="K499" t="str">
        <f t="shared" si="52"/>
        <v>Twitter</v>
      </c>
      <c r="L499" t="s">
        <v>1723</v>
      </c>
      <c r="M499">
        <v>30</v>
      </c>
      <c r="N499">
        <v>60</v>
      </c>
      <c r="O499">
        <f t="shared" si="53"/>
        <v>90</v>
      </c>
      <c r="P499" t="s">
        <v>1724</v>
      </c>
      <c r="Q499" t="str">
        <f t="shared" si="54"/>
        <v>Jordan</v>
      </c>
      <c r="R499">
        <v>2023</v>
      </c>
      <c r="S499">
        <v>1</v>
      </c>
      <c r="T499">
        <v>28</v>
      </c>
      <c r="U499">
        <v>13</v>
      </c>
      <c r="Y499" s="4">
        <f t="shared" si="55"/>
        <v>13</v>
      </c>
    </row>
    <row r="500" spans="1:25" ht="18" x14ac:dyDescent="0.25">
      <c r="A500" t="s">
        <v>1725</v>
      </c>
      <c r="B500" t="s">
        <v>1726</v>
      </c>
      <c r="C500" s="12" t="str">
        <f t="shared" si="49"/>
        <v>Positive</v>
      </c>
      <c r="D500" s="18">
        <f t="shared" si="50"/>
        <v>1</v>
      </c>
      <c r="E500" s="1">
        <v>43573.6875</v>
      </c>
      <c r="F500" s="10">
        <f>INT(E500)</f>
        <v>43573</v>
      </c>
      <c r="G500" s="15">
        <f>MOD(E500,2)</f>
        <v>1.6875</v>
      </c>
      <c r="H500" s="15" t="str">
        <f t="shared" si="51"/>
        <v>16:30</v>
      </c>
      <c r="I500" t="s">
        <v>1727</v>
      </c>
      <c r="J500" t="s">
        <v>26</v>
      </c>
      <c r="K500" t="str">
        <f t="shared" si="52"/>
        <v>Instagram</v>
      </c>
      <c r="L500" t="s">
        <v>1728</v>
      </c>
      <c r="M500">
        <v>20</v>
      </c>
      <c r="N500">
        <v>40</v>
      </c>
      <c r="O500">
        <f t="shared" si="53"/>
        <v>60</v>
      </c>
      <c r="P500" t="s">
        <v>1552</v>
      </c>
      <c r="Q500" t="str">
        <f t="shared" si="54"/>
        <v>Italy</v>
      </c>
      <c r="R500">
        <v>2019</v>
      </c>
      <c r="S500">
        <v>4</v>
      </c>
      <c r="T500">
        <v>18</v>
      </c>
      <c r="U500">
        <v>16</v>
      </c>
      <c r="Y500" s="4">
        <f t="shared" si="55"/>
        <v>16</v>
      </c>
    </row>
    <row r="501" spans="1:25" ht="18" x14ac:dyDescent="0.25">
      <c r="A501" t="s">
        <v>1729</v>
      </c>
      <c r="B501" t="s">
        <v>1713</v>
      </c>
      <c r="C501" s="12" t="str">
        <f t="shared" si="49"/>
        <v>Positive</v>
      </c>
      <c r="D501" s="18">
        <f t="shared" si="50"/>
        <v>1</v>
      </c>
      <c r="E501" s="1">
        <v>43044.916666666664</v>
      </c>
      <c r="F501" s="10">
        <f>INT(E501)</f>
        <v>43044</v>
      </c>
      <c r="G501" s="15">
        <f>MOD(E501,2)</f>
        <v>0.91666666666424135</v>
      </c>
      <c r="H501" s="15" t="str">
        <f t="shared" si="51"/>
        <v>22:00</v>
      </c>
      <c r="I501" t="s">
        <v>1730</v>
      </c>
      <c r="J501" t="s">
        <v>31</v>
      </c>
      <c r="K501" t="str">
        <f t="shared" si="52"/>
        <v>Facebook</v>
      </c>
      <c r="L501" t="s">
        <v>1731</v>
      </c>
      <c r="M501">
        <v>28</v>
      </c>
      <c r="N501">
        <v>55</v>
      </c>
      <c r="O501">
        <f t="shared" si="53"/>
        <v>83</v>
      </c>
      <c r="P501" t="s">
        <v>1732</v>
      </c>
      <c r="Q501" t="str">
        <f t="shared" si="54"/>
        <v>Peru</v>
      </c>
      <c r="R501">
        <v>2017</v>
      </c>
      <c r="S501">
        <v>11</v>
      </c>
      <c r="T501">
        <v>5</v>
      </c>
      <c r="U501">
        <v>22</v>
      </c>
      <c r="Y501" s="4">
        <f t="shared" si="55"/>
        <v>22</v>
      </c>
    </row>
    <row r="502" spans="1:25" ht="18" x14ac:dyDescent="0.25">
      <c r="A502" t="s">
        <v>1733</v>
      </c>
      <c r="B502" t="s">
        <v>388</v>
      </c>
      <c r="C502" s="12" t="str">
        <f t="shared" si="49"/>
        <v>Positive</v>
      </c>
      <c r="D502" s="18">
        <f t="shared" si="50"/>
        <v>1</v>
      </c>
      <c r="E502" s="1">
        <v>44762.90625</v>
      </c>
      <c r="F502" s="10">
        <f>INT(E502)</f>
        <v>44762</v>
      </c>
      <c r="G502" s="15">
        <f>MOD(E502,2)</f>
        <v>0.90625</v>
      </c>
      <c r="H502" s="15" t="str">
        <f t="shared" si="51"/>
        <v>21:45</v>
      </c>
      <c r="I502" t="s">
        <v>1734</v>
      </c>
      <c r="J502" t="s">
        <v>26</v>
      </c>
      <c r="K502" t="str">
        <f t="shared" si="52"/>
        <v>Instagram</v>
      </c>
      <c r="L502" t="s">
        <v>1735</v>
      </c>
      <c r="M502">
        <v>35</v>
      </c>
      <c r="N502">
        <v>70</v>
      </c>
      <c r="O502">
        <f t="shared" si="53"/>
        <v>105</v>
      </c>
      <c r="P502" t="s">
        <v>98</v>
      </c>
      <c r="Q502" t="str">
        <f t="shared" si="54"/>
        <v>USA</v>
      </c>
      <c r="R502">
        <v>2022</v>
      </c>
      <c r="S502">
        <v>7</v>
      </c>
      <c r="T502">
        <v>20</v>
      </c>
      <c r="U502">
        <v>21</v>
      </c>
      <c r="Y502" s="4">
        <f t="shared" si="55"/>
        <v>21</v>
      </c>
    </row>
    <row r="503" spans="1:25" ht="18" x14ac:dyDescent="0.25">
      <c r="A503" t="s">
        <v>1736</v>
      </c>
      <c r="B503" t="s">
        <v>1737</v>
      </c>
      <c r="C503" s="12" t="str">
        <f t="shared" si="49"/>
        <v>Positive</v>
      </c>
      <c r="D503" s="18">
        <f t="shared" si="50"/>
        <v>1</v>
      </c>
      <c r="E503" s="1">
        <v>43174.729166666664</v>
      </c>
      <c r="F503" s="10">
        <f>INT(E503)</f>
        <v>43174</v>
      </c>
      <c r="G503" s="15">
        <f>MOD(E503,2)</f>
        <v>0.72916666666424135</v>
      </c>
      <c r="H503" s="15" t="str">
        <f t="shared" si="51"/>
        <v>17:30</v>
      </c>
      <c r="I503" t="s">
        <v>1738</v>
      </c>
      <c r="J503" t="s">
        <v>874</v>
      </c>
      <c r="K503" t="str">
        <f t="shared" si="52"/>
        <v>Twitter</v>
      </c>
      <c r="L503" t="s">
        <v>1739</v>
      </c>
      <c r="M503">
        <v>25</v>
      </c>
      <c r="N503">
        <v>50</v>
      </c>
      <c r="O503">
        <f t="shared" si="53"/>
        <v>75</v>
      </c>
      <c r="P503" t="s">
        <v>1552</v>
      </c>
      <c r="Q503" t="str">
        <f t="shared" si="54"/>
        <v>Italy</v>
      </c>
      <c r="R503">
        <v>2018</v>
      </c>
      <c r="S503">
        <v>3</v>
      </c>
      <c r="T503">
        <v>15</v>
      </c>
      <c r="U503">
        <v>17</v>
      </c>
      <c r="Y503" s="4">
        <f t="shared" si="55"/>
        <v>17</v>
      </c>
    </row>
    <row r="504" spans="1:25" ht="18" x14ac:dyDescent="0.25">
      <c r="A504" t="s">
        <v>1740</v>
      </c>
      <c r="B504" t="s">
        <v>920</v>
      </c>
      <c r="C504" s="12" t="str">
        <f t="shared" si="49"/>
        <v>Positive</v>
      </c>
      <c r="D504" s="18">
        <f t="shared" si="50"/>
        <v>1</v>
      </c>
      <c r="E504" s="1">
        <v>43766.59375</v>
      </c>
      <c r="F504" s="10">
        <f>INT(E504)</f>
        <v>43766</v>
      </c>
      <c r="G504" s="15">
        <f>MOD(E504,2)</f>
        <v>0.59375</v>
      </c>
      <c r="H504" s="15" t="str">
        <f t="shared" si="51"/>
        <v>14:15</v>
      </c>
      <c r="I504" t="s">
        <v>1741</v>
      </c>
      <c r="J504" t="s">
        <v>31</v>
      </c>
      <c r="K504" t="str">
        <f t="shared" si="52"/>
        <v>Facebook</v>
      </c>
      <c r="L504" t="s">
        <v>1742</v>
      </c>
      <c r="M504">
        <v>22</v>
      </c>
      <c r="N504">
        <v>45</v>
      </c>
      <c r="O504">
        <f t="shared" si="53"/>
        <v>67</v>
      </c>
      <c r="P504" t="s">
        <v>1743</v>
      </c>
      <c r="Q504" t="str">
        <f t="shared" si="54"/>
        <v>Maldives</v>
      </c>
      <c r="R504">
        <v>2019</v>
      </c>
      <c r="S504">
        <v>10</v>
      </c>
      <c r="T504">
        <v>28</v>
      </c>
      <c r="U504">
        <v>14</v>
      </c>
      <c r="Y504" s="4">
        <f t="shared" si="55"/>
        <v>14</v>
      </c>
    </row>
    <row r="505" spans="1:25" ht="18" x14ac:dyDescent="0.25">
      <c r="A505" t="s">
        <v>1744</v>
      </c>
      <c r="B505" t="s">
        <v>1745</v>
      </c>
      <c r="C505" s="12" t="str">
        <f t="shared" si="49"/>
        <v>Positive</v>
      </c>
      <c r="D505" s="18">
        <f t="shared" si="50"/>
        <v>1</v>
      </c>
      <c r="E505" s="1">
        <v>44357.666666666664</v>
      </c>
      <c r="F505" s="10">
        <f>INT(E505)</f>
        <v>44357</v>
      </c>
      <c r="G505" s="15">
        <f>MOD(E505,2)</f>
        <v>1.6666666666642413</v>
      </c>
      <c r="H505" s="15" t="str">
        <f t="shared" si="51"/>
        <v>16:00</v>
      </c>
      <c r="I505" t="s">
        <v>1746</v>
      </c>
      <c r="J505" t="s">
        <v>26</v>
      </c>
      <c r="K505" t="str">
        <f t="shared" si="52"/>
        <v>Instagram</v>
      </c>
      <c r="L505" t="s">
        <v>1747</v>
      </c>
      <c r="M505">
        <v>30</v>
      </c>
      <c r="N505">
        <v>60</v>
      </c>
      <c r="O505">
        <f t="shared" si="53"/>
        <v>90</v>
      </c>
      <c r="P505" t="s">
        <v>1539</v>
      </c>
      <c r="Q505" t="str">
        <f t="shared" si="54"/>
        <v>Brazil</v>
      </c>
      <c r="R505">
        <v>2021</v>
      </c>
      <c r="S505">
        <v>6</v>
      </c>
      <c r="T505">
        <v>10</v>
      </c>
      <c r="U505">
        <v>16</v>
      </c>
      <c r="Y505" s="4">
        <f t="shared" si="55"/>
        <v>16</v>
      </c>
    </row>
    <row r="506" spans="1:25" ht="18" x14ac:dyDescent="0.25">
      <c r="A506" t="s">
        <v>1748</v>
      </c>
      <c r="B506" t="s">
        <v>1713</v>
      </c>
      <c r="C506" s="12" t="str">
        <f t="shared" si="49"/>
        <v>Positive</v>
      </c>
      <c r="D506" s="18">
        <f t="shared" si="50"/>
        <v>1</v>
      </c>
      <c r="E506" s="1">
        <v>42965.8125</v>
      </c>
      <c r="F506" s="10">
        <f>INT(E506)</f>
        <v>42965</v>
      </c>
      <c r="G506" s="15">
        <f>MOD(E506,2)</f>
        <v>1.8125</v>
      </c>
      <c r="H506" s="15" t="str">
        <f t="shared" si="51"/>
        <v>19:30</v>
      </c>
      <c r="I506" t="s">
        <v>1749</v>
      </c>
      <c r="J506" t="s">
        <v>874</v>
      </c>
      <c r="K506" t="str">
        <f t="shared" si="52"/>
        <v>Twitter</v>
      </c>
      <c r="L506" t="s">
        <v>1750</v>
      </c>
      <c r="M506">
        <v>18</v>
      </c>
      <c r="N506">
        <v>35</v>
      </c>
      <c r="O506">
        <f t="shared" si="53"/>
        <v>53</v>
      </c>
      <c r="P506" t="s">
        <v>1751</v>
      </c>
      <c r="Q506" t="str">
        <f t="shared" si="54"/>
        <v>China</v>
      </c>
      <c r="R506">
        <v>2017</v>
      </c>
      <c r="S506">
        <v>8</v>
      </c>
      <c r="T506">
        <v>18</v>
      </c>
      <c r="U506">
        <v>19</v>
      </c>
      <c r="Y506" s="4">
        <f t="shared" si="55"/>
        <v>19</v>
      </c>
    </row>
    <row r="507" spans="1:25" ht="18" x14ac:dyDescent="0.25">
      <c r="A507" t="s">
        <v>1752</v>
      </c>
      <c r="B507" t="s">
        <v>1212</v>
      </c>
      <c r="C507" s="12" t="str">
        <f t="shared" si="49"/>
        <v>Positive</v>
      </c>
      <c r="D507" s="18">
        <f t="shared" si="50"/>
        <v>1</v>
      </c>
      <c r="E507" s="1">
        <v>43936.229166666664</v>
      </c>
      <c r="F507" s="10">
        <f>INT(E507)</f>
        <v>43936</v>
      </c>
      <c r="G507" s="15">
        <f>MOD(E507,2)</f>
        <v>0.22916666666424135</v>
      </c>
      <c r="H507" s="15" t="str">
        <f t="shared" si="51"/>
        <v>05:30</v>
      </c>
      <c r="I507" t="s">
        <v>1753</v>
      </c>
      <c r="J507" t="s">
        <v>31</v>
      </c>
      <c r="K507" t="str">
        <f t="shared" si="52"/>
        <v>Facebook</v>
      </c>
      <c r="L507" t="s">
        <v>1754</v>
      </c>
      <c r="M507">
        <v>28</v>
      </c>
      <c r="N507">
        <v>55</v>
      </c>
      <c r="O507">
        <f t="shared" si="53"/>
        <v>83</v>
      </c>
      <c r="P507" t="s">
        <v>1557</v>
      </c>
      <c r="Q507" t="str">
        <f t="shared" si="54"/>
        <v>Japan</v>
      </c>
      <c r="R507">
        <v>2020</v>
      </c>
      <c r="S507">
        <v>4</v>
      </c>
      <c r="T507">
        <v>15</v>
      </c>
      <c r="U507">
        <v>5</v>
      </c>
      <c r="Y507" s="4">
        <f t="shared" si="55"/>
        <v>5</v>
      </c>
    </row>
    <row r="508" spans="1:25" ht="18" x14ac:dyDescent="0.25">
      <c r="A508" t="s">
        <v>1755</v>
      </c>
      <c r="B508" t="s">
        <v>1709</v>
      </c>
      <c r="C508" s="12" t="str">
        <f t="shared" si="49"/>
        <v>Positive</v>
      </c>
      <c r="D508" s="18">
        <f t="shared" si="50"/>
        <v>1</v>
      </c>
      <c r="E508" s="1">
        <v>42696.541666666664</v>
      </c>
      <c r="F508" s="10">
        <f>INT(E508)</f>
        <v>42696</v>
      </c>
      <c r="G508" s="15">
        <f>MOD(E508,2)</f>
        <v>0.54166666666424135</v>
      </c>
      <c r="H508" s="15" t="str">
        <f t="shared" si="51"/>
        <v>13:00</v>
      </c>
      <c r="I508" t="s">
        <v>1756</v>
      </c>
      <c r="J508" t="s">
        <v>26</v>
      </c>
      <c r="K508" t="str">
        <f t="shared" si="52"/>
        <v>Instagram</v>
      </c>
      <c r="L508" t="s">
        <v>1757</v>
      </c>
      <c r="M508">
        <v>20</v>
      </c>
      <c r="N508">
        <v>40</v>
      </c>
      <c r="O508">
        <f t="shared" si="53"/>
        <v>60</v>
      </c>
      <c r="P508" t="s">
        <v>1758</v>
      </c>
      <c r="Q508" t="str">
        <f t="shared" si="54"/>
        <v>Cambodia</v>
      </c>
      <c r="R508">
        <v>2016</v>
      </c>
      <c r="S508">
        <v>11</v>
      </c>
      <c r="T508">
        <v>22</v>
      </c>
      <c r="U508">
        <v>13</v>
      </c>
      <c r="Y508" s="4">
        <f t="shared" si="55"/>
        <v>13</v>
      </c>
    </row>
    <row r="509" spans="1:25" ht="18" x14ac:dyDescent="0.25">
      <c r="A509" t="s">
        <v>1759</v>
      </c>
      <c r="B509" t="s">
        <v>1322</v>
      </c>
      <c r="C509" s="12" t="str">
        <f t="shared" si="49"/>
        <v>Positive</v>
      </c>
      <c r="D509" s="18">
        <f t="shared" si="50"/>
        <v>1</v>
      </c>
      <c r="E509" s="1">
        <v>43475.614583333336</v>
      </c>
      <c r="F509" s="10">
        <f>INT(E509)</f>
        <v>43475</v>
      </c>
      <c r="G509" s="15">
        <f>MOD(E509,2)</f>
        <v>1.6145833333357587</v>
      </c>
      <c r="H509" s="15" t="str">
        <f t="shared" si="51"/>
        <v>14:45</v>
      </c>
      <c r="I509" t="s">
        <v>1760</v>
      </c>
      <c r="J509" t="s">
        <v>874</v>
      </c>
      <c r="K509" t="str">
        <f t="shared" si="52"/>
        <v>Twitter</v>
      </c>
      <c r="L509" t="s">
        <v>1761</v>
      </c>
      <c r="M509">
        <v>22</v>
      </c>
      <c r="N509">
        <v>45</v>
      </c>
      <c r="O509">
        <f t="shared" si="53"/>
        <v>67</v>
      </c>
      <c r="P509" t="s">
        <v>1762</v>
      </c>
      <c r="Q509" t="str">
        <f t="shared" si="54"/>
        <v>Switzerland</v>
      </c>
      <c r="R509">
        <v>2019</v>
      </c>
      <c r="S509">
        <v>1</v>
      </c>
      <c r="T509">
        <v>10</v>
      </c>
      <c r="U509">
        <v>14</v>
      </c>
      <c r="Y509" s="4">
        <f t="shared" si="55"/>
        <v>14</v>
      </c>
    </row>
    <row r="510" spans="1:25" ht="18" x14ac:dyDescent="0.25">
      <c r="A510" t="s">
        <v>1763</v>
      </c>
      <c r="B510" t="s">
        <v>1764</v>
      </c>
      <c r="C510" s="12" t="str">
        <f t="shared" si="49"/>
        <v>Positive</v>
      </c>
      <c r="D510" s="18">
        <f t="shared" si="50"/>
        <v>1</v>
      </c>
      <c r="E510" s="1">
        <v>44985.680555555555</v>
      </c>
      <c r="F510" s="10">
        <f>INT(E510)</f>
        <v>44985</v>
      </c>
      <c r="G510" s="15">
        <f>MOD(E510,2)</f>
        <v>1.6805555555547471</v>
      </c>
      <c r="H510" s="15" t="str">
        <f t="shared" si="51"/>
        <v>16:20</v>
      </c>
      <c r="I510" t="s">
        <v>1765</v>
      </c>
      <c r="J510" t="s">
        <v>31</v>
      </c>
      <c r="K510" t="str">
        <f t="shared" si="52"/>
        <v>Facebook</v>
      </c>
      <c r="L510" t="s">
        <v>1766</v>
      </c>
      <c r="M510">
        <v>25</v>
      </c>
      <c r="N510">
        <v>50</v>
      </c>
      <c r="O510">
        <f t="shared" si="53"/>
        <v>75</v>
      </c>
      <c r="P510" t="s">
        <v>1557</v>
      </c>
      <c r="Q510" t="str">
        <f t="shared" si="54"/>
        <v>Japan</v>
      </c>
      <c r="R510">
        <v>2023</v>
      </c>
      <c r="S510">
        <v>2</v>
      </c>
      <c r="T510">
        <v>28</v>
      </c>
      <c r="U510">
        <v>16</v>
      </c>
      <c r="Y510" s="4">
        <f t="shared" si="55"/>
        <v>16</v>
      </c>
    </row>
    <row r="511" spans="1:25" ht="18" x14ac:dyDescent="0.25">
      <c r="A511" t="s">
        <v>1767</v>
      </c>
      <c r="B511" t="s">
        <v>1768</v>
      </c>
      <c r="C511" s="12" t="str">
        <f t="shared" si="49"/>
        <v>Positive</v>
      </c>
      <c r="D511" s="18">
        <f t="shared" si="50"/>
        <v>1</v>
      </c>
      <c r="E511" s="1">
        <v>43248.770833333336</v>
      </c>
      <c r="F511" s="10">
        <f>INT(E511)</f>
        <v>43248</v>
      </c>
      <c r="G511" s="15">
        <f>MOD(E511,2)</f>
        <v>0.77083333333575865</v>
      </c>
      <c r="H511" s="15" t="str">
        <f t="shared" si="51"/>
        <v>18:30</v>
      </c>
      <c r="I511" t="s">
        <v>1769</v>
      </c>
      <c r="J511" t="s">
        <v>26</v>
      </c>
      <c r="K511" t="str">
        <f t="shared" si="52"/>
        <v>Instagram</v>
      </c>
      <c r="L511" t="s">
        <v>1770</v>
      </c>
      <c r="M511">
        <v>22</v>
      </c>
      <c r="N511">
        <v>45</v>
      </c>
      <c r="O511">
        <f t="shared" si="53"/>
        <v>67</v>
      </c>
      <c r="P511" t="s">
        <v>1771</v>
      </c>
      <c r="Q511" t="str">
        <f t="shared" si="54"/>
        <v>Norway</v>
      </c>
      <c r="R511">
        <v>2018</v>
      </c>
      <c r="S511">
        <v>5</v>
      </c>
      <c r="T511">
        <v>28</v>
      </c>
      <c r="U511">
        <v>18</v>
      </c>
      <c r="Y511" s="4">
        <f t="shared" si="55"/>
        <v>18</v>
      </c>
    </row>
    <row r="512" spans="1:25" ht="18" x14ac:dyDescent="0.25">
      <c r="A512" t="s">
        <v>1772</v>
      </c>
      <c r="B512" t="s">
        <v>1773</v>
      </c>
      <c r="C512" s="12" t="str">
        <f t="shared" si="49"/>
        <v>Neutral</v>
      </c>
      <c r="D512" s="18">
        <f t="shared" si="50"/>
        <v>0</v>
      </c>
      <c r="E512" s="1">
        <v>44819.833333333336</v>
      </c>
      <c r="F512" s="10">
        <f>INT(E512)</f>
        <v>44819</v>
      </c>
      <c r="G512" s="15">
        <f>MOD(E512,2)</f>
        <v>1.8333333333357587</v>
      </c>
      <c r="H512" s="15" t="str">
        <f t="shared" si="51"/>
        <v>20:00</v>
      </c>
      <c r="I512" t="s">
        <v>1774</v>
      </c>
      <c r="J512" t="s">
        <v>26</v>
      </c>
      <c r="K512" t="str">
        <f t="shared" si="52"/>
        <v>Instagram</v>
      </c>
      <c r="L512" t="s">
        <v>1775</v>
      </c>
      <c r="M512">
        <v>40</v>
      </c>
      <c r="N512">
        <v>80</v>
      </c>
      <c r="O512">
        <f t="shared" si="53"/>
        <v>120</v>
      </c>
      <c r="P512" t="s">
        <v>98</v>
      </c>
      <c r="Q512" t="str">
        <f t="shared" si="54"/>
        <v>USA</v>
      </c>
      <c r="R512">
        <v>2022</v>
      </c>
      <c r="S512">
        <v>9</v>
      </c>
      <c r="T512">
        <v>15</v>
      </c>
      <c r="U512">
        <v>20</v>
      </c>
      <c r="Y512" s="4">
        <f t="shared" si="55"/>
        <v>20</v>
      </c>
    </row>
    <row r="513" spans="1:25" ht="18" x14ac:dyDescent="0.25">
      <c r="A513" t="s">
        <v>1776</v>
      </c>
      <c r="B513" t="s">
        <v>1777</v>
      </c>
      <c r="C513" s="12" t="str">
        <f t="shared" si="49"/>
        <v>Positive</v>
      </c>
      <c r="D513" s="18">
        <f t="shared" si="50"/>
        <v>1</v>
      </c>
      <c r="E513" s="1">
        <v>43674.895833333336</v>
      </c>
      <c r="F513" s="10">
        <f>INT(E513)</f>
        <v>43674</v>
      </c>
      <c r="G513" s="15">
        <f>MOD(E513,2)</f>
        <v>0.89583333333575865</v>
      </c>
      <c r="H513" s="15" t="str">
        <f t="shared" si="51"/>
        <v>21:30</v>
      </c>
      <c r="I513" t="s">
        <v>1778</v>
      </c>
      <c r="J513" t="s">
        <v>874</v>
      </c>
      <c r="K513" t="str">
        <f t="shared" si="52"/>
        <v>Twitter</v>
      </c>
      <c r="L513" t="s">
        <v>1779</v>
      </c>
      <c r="M513">
        <v>35</v>
      </c>
      <c r="N513">
        <v>70</v>
      </c>
      <c r="O513">
        <f t="shared" si="53"/>
        <v>105</v>
      </c>
      <c r="P513" t="s">
        <v>98</v>
      </c>
      <c r="Q513" t="str">
        <f t="shared" si="54"/>
        <v>USA</v>
      </c>
      <c r="R513">
        <v>2019</v>
      </c>
      <c r="S513">
        <v>7</v>
      </c>
      <c r="T513">
        <v>28</v>
      </c>
      <c r="U513">
        <v>21</v>
      </c>
      <c r="Y513" s="4">
        <f t="shared" si="55"/>
        <v>21</v>
      </c>
    </row>
    <row r="514" spans="1:25" ht="18" x14ac:dyDescent="0.25">
      <c r="A514" t="s">
        <v>1780</v>
      </c>
      <c r="B514" t="s">
        <v>1698</v>
      </c>
      <c r="C514" s="12" t="str">
        <f t="shared" si="49"/>
        <v>Positive</v>
      </c>
      <c r="D514" s="18">
        <f t="shared" si="50"/>
        <v>1</v>
      </c>
      <c r="E514" s="1">
        <v>44326.822916666664</v>
      </c>
      <c r="F514" s="10">
        <f>INT(E514)</f>
        <v>44326</v>
      </c>
      <c r="G514" s="15">
        <f>MOD(E514,2)</f>
        <v>0.82291666666424135</v>
      </c>
      <c r="H514" s="15" t="str">
        <f t="shared" si="51"/>
        <v>19:45</v>
      </c>
      <c r="I514" t="s">
        <v>1781</v>
      </c>
      <c r="J514" t="s">
        <v>31</v>
      </c>
      <c r="K514" t="str">
        <f t="shared" si="52"/>
        <v>Facebook</v>
      </c>
      <c r="L514" t="s">
        <v>1782</v>
      </c>
      <c r="M514">
        <v>30</v>
      </c>
      <c r="N514">
        <v>60</v>
      </c>
      <c r="O514">
        <f t="shared" si="53"/>
        <v>90</v>
      </c>
      <c r="P514" t="s">
        <v>98</v>
      </c>
      <c r="Q514" t="str">
        <f t="shared" si="54"/>
        <v>USA</v>
      </c>
      <c r="R514">
        <v>2021</v>
      </c>
      <c r="S514">
        <v>5</v>
      </c>
      <c r="T514">
        <v>10</v>
      </c>
      <c r="U514">
        <v>19</v>
      </c>
      <c r="Y514" s="4">
        <f t="shared" si="55"/>
        <v>19</v>
      </c>
    </row>
    <row r="515" spans="1:25" ht="18" x14ac:dyDescent="0.25">
      <c r="A515" t="s">
        <v>1783</v>
      </c>
      <c r="B515" t="s">
        <v>1405</v>
      </c>
      <c r="C515" s="12" t="str">
        <f t="shared" ref="C515:C578" si="56">IF(OR(ISNUMBER(SEARCH("happ",B515)),ISNUMBER(SEARCH("joy",B515)),ISNUMBER(SEARCH("love",B515)),ISNUMBER(SEARCH("amuse",B515)),ISNUMBER(SEARCH("enjoy",B515)),ISNUMBER(SEARCH("admire",B515)),ISNUMBER(SEARCH("affection",B515)),ISNUMBER(SEARCH("awe",B515)),ISNUMBER(SEARCH("accept",B515)),ISNUMBER(SEARCH("ador",B515)),ISNUMBER(SEARCH("calm",B515)),ISNUMBER(SEARCH("excit",B515)),ISNUMBER(SEARCH("kind",B515)),ISNUMBER(SEARCH("pride",B515)),ISNUMBER(SEARCH("elat",B515)),ISNUMBER(SEARCH("euphor",B515)),ISNUMBER(SEARCH("content",B515)),ISNUMBER(SEARCH("seren",B515)),ISNUMBER(SEARCH("grat",B515)),ISNUMBER(SEARCH("hope",B515)),ISNUMBER(SEARCH("empower",B515)),ISNUMBER(SEARCH("compass",B515)),ISNUMBER(SEARCH("tender",B515)),ISNUMBER(SEARCH("enthus",B515)),ISNUMBER(SEARCH("fulfill",B515)),ISNUMBER(SEARCH("rever",B515)),ISNUMBER(SEARCH("zest",B515)),ISNUMBER(SEARCH("play",B515)),ISNUMBER(SEARCH("inspir",B515)),ISNUMBER(SEARCH("confid",B515)),ISNUMBER(SEARCH("determin",B515)),ISNUMBER(SEARCH("thrill",B515)),ISNUMBER(SEARCH("overjoy",B515)),ISNUMBER(SEARCH("motiv",B515)),ISNUMBER(SEARCH("satisf",B515)),ISNUMBER(SEARCH("bless",B515)),ISNUMBER(SEARCH("appreci",B515)),ISNUMBER(SEARCH("accomplish",B515)),ISNUMBER(SEARCH("wonder",B515)),ISNUMBER(SEARCH("optim",B515)),ISNUMBER(SEARCH("enchant",B515)),ISNUMBER(SEARCH("intrigu",B515)),ISNUMBER(SEARCH("mindful",B515)),ISNUMBER(SEARCH("eleg",B515)),ISNUMBER(SEARCH("whims",B515)),ISNUMBER(SEARCH("harmon",B515)),ISNUMBER(SEARCH("creativ",B515)),ISNUMBER(SEARCH("radian",B515)),ISNUMBER(SEARCH("rejuven",B515)),ISNUMBER(SEARCH("cozy",B515)),ISNUMBER(SEARCH("adventur",B515)),ISNUMBER(SEARCH("melod",B515)),ISNUMBER(SEARCH("festiv",B515)),ISNUMBER(SEARCH("free",B515)),ISNUMBER(SEARCH("dazzl",B515)),ISNUMBER(SEARCH("adrenal",B515)),ISNUMBER(SEARCH("artistic",B515)),ISNUMBER(SEARCH("resil",B515)),ISNUMBER(SEARCH("immers",B515)),ISNUMBER(SEARCH("spark",B515)),ISNUMBER(SEARCH("marvel",B515)),ISNUMBER(SEARCH("friend",B515)),ISNUMBER(SEARCH("success",B515)),ISNUMBER(SEARCH("explor",B515)),ISNUMBER(SEARCH("amaz",B515)),ISNUMBER(SEARCH("romanc",B515)),ISNUMBER(SEARCH("captiv",B515)),ISNUMBER(SEARCH("tranquil",B515)),ISNUMBER(SEARCH("grand",B515)),ISNUMBER(SEARCH("energ",B515)),ISNUMBER(SEARCH("celebr",B515)),ISNUMBER(SEARCH("charm",B515)),ISNUMBER(SEARCH("ecstasy",B515)),ISNUMBER(SEARCH("color",B515)),ISNUMBER(SEARCH("hypnot",B515)),ISNUMBER(SEARCH("connect",B515)),ISNUMBER(SEARCH("icon",B515)),ISNUMBER(SEARCH("engag",B515)),ISNUMBER(SEARCH("triumph",B515)),ISNUMBER(SEARCH("heartwarm",B515)),ISNUMBER(SEARCH("solac",B515)),ISNUMBER(SEARCH("breakthrough",B515)),ISNUMBER(SEARCH("imagin",B515)),ISNUMBER(SEARCH("vibran",B515)),ISNUMBER(SEARCH("mesmer",B515)),ISNUMBER(SEARCH("winter magic",B515)),ISNUMBER(SEARCH("nature",B515)),ISNUMBER(SEARCH("celestial",B515)),ISNUMBER(SEARCH("positive",B515)),ISNUMBER(SEARCH("arous",B515))),"Positive",IF(OR(ISNUMBER(SEARCH("anger",B515)),ISNUMBER(SEARCH("fear",B515)),ISNUMBER(SEARCH("sad",B515)),ISNUMBER(SEARCH("disgust",B515)),ISNUMBER(SEARCH("disappoint",B515)),ISNUMBER(SEARCH("bitter",B515)),ISNUMBER(SEARCH("shame",B515)),ISNUMBER(SEARCH("despair",B515)),ISNUMBER(SEARCH("grief",B515)),ISNUMBER(SEARCH("lonel",B515)),ISNUMBER(SEARCH("jealous",B515)),ISNUMBER(SEARCH("resent",B515)),ISNUMBER(SEARCH("frustrat",B515)),ISNUMBER(SEARCH("bored",B515)),ISNUMBER(SEARCH("anxi",B515)),ISNUMBER(SEARCH("intimid",B515)),ISNUMBER(SEARCH("helpless",B515)),ISNUMBER(SEARCH("envy",B515)),ISNUMBER(SEARCH("regret",B515)),ISNUMBER(SEARCH("melanchol",B515)),ISNUMBER(SEARCH("yearn",B515)),ISNUMBER(SEARCH("apprehens",B515)),ISNUMBER(SEARCH("overwhelm",B515)),ISNUMBER(SEARCH("devastat",B515)),ISNUMBER(SEARCH("dismiss",B515)),ISNUMBER(SEARCH("heartbreak",B515)),ISNUMBER(SEARCH("betray",B515)),ISNUMBER(SEARCH("suffer",B515)),ISNUMBER(SEARCH("isolat",B515)),ISNUMBER(SEARCH("lost",B515)),ISNUMBER(SEARCH("exhaust",B515)),ISNUMBER(SEARCH("sorrow",B515)),ISNUMBER(SEARCH("darkness",B515)),ISNUMBER(SEARCH("desperat",B515)),ISNUMBER(SEARCH("ruins",B515)),ISNUMBER(SEARCH("desolat",B515)),ISNUMBER(SEARCH("heartache",B515)),ISNUMBER(SEARCH("solitude",B515)),ISNUMBER(SEARCH("obstacle",B515)),ISNUMBER(SEARCH("pressure",B515)),ISNUMBER(SEARCH("miscalcul",B515)),ISNUMBER(SEARCH("challenge",B515)),ISNUMBER(SEARCH("embarrass",B515)),ISNUMBER(SEARCH("hate",B515)),ISNUMBER(SEARCH("bad",B515)),ISNUMBER(SEARCH("negative",B515))),"Negative","Neutral"))</f>
        <v>Neutral</v>
      </c>
      <c r="D515" s="18">
        <f t="shared" ref="D515:D578" si="57">IF(C515="Positive", 1, IF(C515="Negative", -1, 0))</f>
        <v>0</v>
      </c>
      <c r="E515" s="1">
        <v>43436.927083333336</v>
      </c>
      <c r="F515" s="10">
        <f>INT(E515)</f>
        <v>43436</v>
      </c>
      <c r="G515" s="15">
        <f>MOD(E515,2)</f>
        <v>0.92708333333575865</v>
      </c>
      <c r="H515" s="15" t="str">
        <f t="shared" ref="H515:H578" si="58">TEXT(G515, "hh:mm")</f>
        <v>22:15</v>
      </c>
      <c r="I515" t="s">
        <v>1784</v>
      </c>
      <c r="J515" t="s">
        <v>26</v>
      </c>
      <c r="K515" t="str">
        <f t="shared" ref="K515:K578" si="59">TRIM(CLEAN(J515))</f>
        <v>Instagram</v>
      </c>
      <c r="L515" t="s">
        <v>1785</v>
      </c>
      <c r="M515">
        <v>22</v>
      </c>
      <c r="N515">
        <v>45</v>
      </c>
      <c r="O515">
        <f t="shared" ref="O515:O578" si="60">M515+N515</f>
        <v>67</v>
      </c>
      <c r="P515" t="s">
        <v>109</v>
      </c>
      <c r="Q515" t="str">
        <f t="shared" ref="Q515:Q578" si="61">TRIM(CLEAN(P515))</f>
        <v>UK</v>
      </c>
      <c r="R515">
        <v>2018</v>
      </c>
      <c r="S515">
        <v>12</v>
      </c>
      <c r="T515">
        <v>2</v>
      </c>
      <c r="U515">
        <v>22</v>
      </c>
      <c r="Y515" s="4">
        <f t="shared" ref="Y515:Y578" si="62">HOUR(H515)</f>
        <v>22</v>
      </c>
    </row>
    <row r="516" spans="1:25" ht="18" x14ac:dyDescent="0.25">
      <c r="A516" t="s">
        <v>1786</v>
      </c>
      <c r="B516" t="s">
        <v>920</v>
      </c>
      <c r="C516" s="12" t="str">
        <f t="shared" si="56"/>
        <v>Positive</v>
      </c>
      <c r="D516" s="18">
        <f t="shared" si="57"/>
        <v>1</v>
      </c>
      <c r="E516" s="1">
        <v>44061.791666666664</v>
      </c>
      <c r="F516" s="10">
        <f>INT(E516)</f>
        <v>44061</v>
      </c>
      <c r="G516" s="15">
        <f>MOD(E516,2)</f>
        <v>1.7916666666642413</v>
      </c>
      <c r="H516" s="15" t="str">
        <f t="shared" si="58"/>
        <v>19:00</v>
      </c>
      <c r="I516" t="s">
        <v>1787</v>
      </c>
      <c r="J516" t="s">
        <v>874</v>
      </c>
      <c r="K516" t="str">
        <f t="shared" si="59"/>
        <v>Twitter</v>
      </c>
      <c r="L516" t="s">
        <v>1788</v>
      </c>
      <c r="M516">
        <v>18</v>
      </c>
      <c r="N516">
        <v>35</v>
      </c>
      <c r="O516">
        <f t="shared" si="60"/>
        <v>53</v>
      </c>
      <c r="P516" t="s">
        <v>109</v>
      </c>
      <c r="Q516" t="str">
        <f t="shared" si="61"/>
        <v>UK</v>
      </c>
      <c r="R516">
        <v>2020</v>
      </c>
      <c r="S516">
        <v>8</v>
      </c>
      <c r="T516">
        <v>18</v>
      </c>
      <c r="U516">
        <v>19</v>
      </c>
      <c r="Y516" s="4">
        <f t="shared" si="62"/>
        <v>19</v>
      </c>
    </row>
    <row r="517" spans="1:25" ht="18" x14ac:dyDescent="0.25">
      <c r="A517" t="s">
        <v>1789</v>
      </c>
      <c r="B517" t="s">
        <v>1624</v>
      </c>
      <c r="C517" s="12" t="str">
        <f t="shared" si="56"/>
        <v>Positive</v>
      </c>
      <c r="D517" s="18">
        <f t="shared" si="57"/>
        <v>1</v>
      </c>
      <c r="E517" s="1">
        <v>42822.854166666664</v>
      </c>
      <c r="F517" s="10">
        <f>INT(E517)</f>
        <v>42822</v>
      </c>
      <c r="G517" s="15">
        <f>MOD(E517,2)</f>
        <v>0.85416666666424135</v>
      </c>
      <c r="H517" s="15" t="str">
        <f t="shared" si="58"/>
        <v>20:30</v>
      </c>
      <c r="I517" t="s">
        <v>1790</v>
      </c>
      <c r="J517" t="s">
        <v>31</v>
      </c>
      <c r="K517" t="str">
        <f t="shared" si="59"/>
        <v>Facebook</v>
      </c>
      <c r="L517" t="s">
        <v>1791</v>
      </c>
      <c r="M517">
        <v>28</v>
      </c>
      <c r="N517">
        <v>55</v>
      </c>
      <c r="O517">
        <f t="shared" si="60"/>
        <v>83</v>
      </c>
      <c r="P517" t="s">
        <v>98</v>
      </c>
      <c r="Q517" t="str">
        <f t="shared" si="61"/>
        <v>USA</v>
      </c>
      <c r="R517">
        <v>2017</v>
      </c>
      <c r="S517">
        <v>3</v>
      </c>
      <c r="T517">
        <v>28</v>
      </c>
      <c r="U517">
        <v>20</v>
      </c>
      <c r="Y517" s="4">
        <f t="shared" si="62"/>
        <v>20</v>
      </c>
    </row>
    <row r="518" spans="1:25" ht="18" x14ac:dyDescent="0.25">
      <c r="A518" t="s">
        <v>1792</v>
      </c>
      <c r="B518" t="s">
        <v>1793</v>
      </c>
      <c r="C518" s="12" t="str">
        <f t="shared" si="56"/>
        <v>Positive</v>
      </c>
      <c r="D518" s="18">
        <f t="shared" si="57"/>
        <v>1</v>
      </c>
      <c r="E518" s="1">
        <v>44576.885416666664</v>
      </c>
      <c r="F518" s="10">
        <f>INT(E518)</f>
        <v>44576</v>
      </c>
      <c r="G518" s="15">
        <f>MOD(E518,2)</f>
        <v>0.88541666666424135</v>
      </c>
      <c r="H518" s="15" t="str">
        <f t="shared" si="58"/>
        <v>21:15</v>
      </c>
      <c r="I518" t="s">
        <v>1794</v>
      </c>
      <c r="J518" t="s">
        <v>26</v>
      </c>
      <c r="K518" t="str">
        <f t="shared" si="59"/>
        <v>Instagram</v>
      </c>
      <c r="L518" t="s">
        <v>1795</v>
      </c>
      <c r="M518">
        <v>25</v>
      </c>
      <c r="N518">
        <v>50</v>
      </c>
      <c r="O518">
        <f t="shared" si="60"/>
        <v>75</v>
      </c>
      <c r="P518" t="s">
        <v>98</v>
      </c>
      <c r="Q518" t="str">
        <f t="shared" si="61"/>
        <v>USA</v>
      </c>
      <c r="R518">
        <v>2022</v>
      </c>
      <c r="S518">
        <v>1</v>
      </c>
      <c r="T518">
        <v>15</v>
      </c>
      <c r="U518">
        <v>21</v>
      </c>
      <c r="Y518" s="4">
        <f t="shared" si="62"/>
        <v>21</v>
      </c>
    </row>
    <row r="519" spans="1:25" ht="18" x14ac:dyDescent="0.25">
      <c r="A519" t="s">
        <v>1796</v>
      </c>
      <c r="B519" t="s">
        <v>1797</v>
      </c>
      <c r="C519" s="12" t="str">
        <f t="shared" si="56"/>
        <v>Positive</v>
      </c>
      <c r="D519" s="18">
        <f t="shared" si="57"/>
        <v>1</v>
      </c>
      <c r="E519" s="1">
        <v>43626.78125</v>
      </c>
      <c r="F519" s="10">
        <f>INT(E519)</f>
        <v>43626</v>
      </c>
      <c r="G519" s="15">
        <f>MOD(E519,2)</f>
        <v>0.78125</v>
      </c>
      <c r="H519" s="15" t="str">
        <f t="shared" si="58"/>
        <v>18:45</v>
      </c>
      <c r="I519" t="s">
        <v>1798</v>
      </c>
      <c r="J519" t="s">
        <v>874</v>
      </c>
      <c r="K519" t="str">
        <f t="shared" si="59"/>
        <v>Twitter</v>
      </c>
      <c r="L519" t="s">
        <v>1799</v>
      </c>
      <c r="M519">
        <v>22</v>
      </c>
      <c r="N519">
        <v>45</v>
      </c>
      <c r="O519">
        <f t="shared" si="60"/>
        <v>67</v>
      </c>
      <c r="P519" t="s">
        <v>98</v>
      </c>
      <c r="Q519" t="str">
        <f t="shared" si="61"/>
        <v>USA</v>
      </c>
      <c r="R519">
        <v>2019</v>
      </c>
      <c r="S519">
        <v>6</v>
      </c>
      <c r="T519">
        <v>10</v>
      </c>
      <c r="U519">
        <v>18</v>
      </c>
      <c r="Y519" s="4">
        <f t="shared" si="62"/>
        <v>18</v>
      </c>
    </row>
    <row r="520" spans="1:25" ht="18" x14ac:dyDescent="0.25">
      <c r="A520" t="s">
        <v>1800</v>
      </c>
      <c r="B520" t="s">
        <v>1801</v>
      </c>
      <c r="C520" s="12" t="str">
        <f t="shared" si="56"/>
        <v>Positive</v>
      </c>
      <c r="D520" s="18">
        <f t="shared" si="57"/>
        <v>1</v>
      </c>
      <c r="E520" s="1">
        <v>45005.9375</v>
      </c>
      <c r="F520" s="10">
        <f>INT(E520)</f>
        <v>45005</v>
      </c>
      <c r="G520" s="15">
        <f>MOD(E520,2)</f>
        <v>1.9375</v>
      </c>
      <c r="H520" s="15" t="str">
        <f t="shared" si="58"/>
        <v>22:30</v>
      </c>
      <c r="I520" t="s">
        <v>1802</v>
      </c>
      <c r="J520" t="s">
        <v>31</v>
      </c>
      <c r="K520" t="str">
        <f t="shared" si="59"/>
        <v>Facebook</v>
      </c>
      <c r="L520" t="s">
        <v>1803</v>
      </c>
      <c r="M520">
        <v>35</v>
      </c>
      <c r="N520">
        <v>70</v>
      </c>
      <c r="O520">
        <f t="shared" si="60"/>
        <v>105</v>
      </c>
      <c r="P520" t="s">
        <v>98</v>
      </c>
      <c r="Q520" t="str">
        <f t="shared" si="61"/>
        <v>USA</v>
      </c>
      <c r="R520">
        <v>2023</v>
      </c>
      <c r="S520">
        <v>3</v>
      </c>
      <c r="T520">
        <v>20</v>
      </c>
      <c r="U520">
        <v>22</v>
      </c>
      <c r="Y520" s="4">
        <f t="shared" si="62"/>
        <v>22</v>
      </c>
    </row>
    <row r="521" spans="1:25" ht="18" x14ac:dyDescent="0.25">
      <c r="A521" t="s">
        <v>1804</v>
      </c>
      <c r="B521" t="s">
        <v>1805</v>
      </c>
      <c r="C521" s="12" t="str">
        <f t="shared" si="56"/>
        <v>Positive</v>
      </c>
      <c r="D521" s="18">
        <f t="shared" si="57"/>
        <v>1</v>
      </c>
      <c r="E521" s="1">
        <v>42702.791666666664</v>
      </c>
      <c r="F521" s="10">
        <f>INT(E521)</f>
        <v>42702</v>
      </c>
      <c r="G521" s="15">
        <f>MOD(E521,2)</f>
        <v>0.79166666666424135</v>
      </c>
      <c r="H521" s="15" t="str">
        <f t="shared" si="58"/>
        <v>19:00</v>
      </c>
      <c r="I521" t="s">
        <v>1806</v>
      </c>
      <c r="J521" t="s">
        <v>26</v>
      </c>
      <c r="K521" t="str">
        <f t="shared" si="59"/>
        <v>Instagram</v>
      </c>
      <c r="L521" t="s">
        <v>1807</v>
      </c>
      <c r="M521">
        <v>30</v>
      </c>
      <c r="N521">
        <v>60</v>
      </c>
      <c r="O521">
        <f t="shared" si="60"/>
        <v>90</v>
      </c>
      <c r="P521" t="s">
        <v>109</v>
      </c>
      <c r="Q521" t="str">
        <f t="shared" si="61"/>
        <v>UK</v>
      </c>
      <c r="R521">
        <v>2016</v>
      </c>
      <c r="S521">
        <v>11</v>
      </c>
      <c r="T521">
        <v>28</v>
      </c>
      <c r="U521">
        <v>19</v>
      </c>
      <c r="Y521" s="4">
        <f t="shared" si="62"/>
        <v>19</v>
      </c>
    </row>
    <row r="522" spans="1:25" ht="18" x14ac:dyDescent="0.25">
      <c r="A522" t="s">
        <v>1808</v>
      </c>
      <c r="B522" t="s">
        <v>1634</v>
      </c>
      <c r="C522" s="12" t="str">
        <f t="shared" si="56"/>
        <v>Positive</v>
      </c>
      <c r="D522" s="18">
        <f t="shared" si="57"/>
        <v>1</v>
      </c>
      <c r="E522" s="1">
        <v>43317.833333333336</v>
      </c>
      <c r="F522" s="10">
        <f>INT(E522)</f>
        <v>43317</v>
      </c>
      <c r="G522" s="15">
        <f>MOD(E522,2)</f>
        <v>1.8333333333357587</v>
      </c>
      <c r="H522" s="15" t="str">
        <f t="shared" si="58"/>
        <v>20:00</v>
      </c>
      <c r="I522" t="s">
        <v>1809</v>
      </c>
      <c r="J522" t="s">
        <v>26</v>
      </c>
      <c r="K522" t="str">
        <f t="shared" si="59"/>
        <v>Instagram</v>
      </c>
      <c r="L522" t="s">
        <v>1810</v>
      </c>
      <c r="M522">
        <v>40</v>
      </c>
      <c r="N522">
        <v>80</v>
      </c>
      <c r="O522">
        <f t="shared" si="60"/>
        <v>120</v>
      </c>
      <c r="P522" t="s">
        <v>123</v>
      </c>
      <c r="Q522" t="str">
        <f t="shared" si="61"/>
        <v>Canada</v>
      </c>
      <c r="R522">
        <v>2018</v>
      </c>
      <c r="S522">
        <v>8</v>
      </c>
      <c r="T522">
        <v>5</v>
      </c>
      <c r="U522">
        <v>20</v>
      </c>
      <c r="Y522" s="4">
        <f t="shared" si="62"/>
        <v>20</v>
      </c>
    </row>
    <row r="523" spans="1:25" ht="18" x14ac:dyDescent="0.25">
      <c r="A523" t="s">
        <v>1811</v>
      </c>
      <c r="B523" t="s">
        <v>1812</v>
      </c>
      <c r="C523" s="12" t="str">
        <f t="shared" si="56"/>
        <v>Positive</v>
      </c>
      <c r="D523" s="18">
        <f t="shared" si="57"/>
        <v>1</v>
      </c>
      <c r="E523" s="1">
        <v>44301.895833333336</v>
      </c>
      <c r="F523" s="10">
        <f>INT(E523)</f>
        <v>44301</v>
      </c>
      <c r="G523" s="15">
        <f>MOD(E523,2)</f>
        <v>1.8958333333357587</v>
      </c>
      <c r="H523" s="15" t="str">
        <f t="shared" si="58"/>
        <v>21:30</v>
      </c>
      <c r="I523" t="s">
        <v>1813</v>
      </c>
      <c r="J523" t="s">
        <v>874</v>
      </c>
      <c r="K523" t="str">
        <f t="shared" si="59"/>
        <v>Twitter</v>
      </c>
      <c r="L523" t="s">
        <v>1814</v>
      </c>
      <c r="M523">
        <v>35</v>
      </c>
      <c r="N523">
        <v>70</v>
      </c>
      <c r="O523">
        <f t="shared" si="60"/>
        <v>105</v>
      </c>
      <c r="P523" t="s">
        <v>98</v>
      </c>
      <c r="Q523" t="str">
        <f t="shared" si="61"/>
        <v>USA</v>
      </c>
      <c r="R523">
        <v>2021</v>
      </c>
      <c r="S523">
        <v>4</v>
      </c>
      <c r="T523">
        <v>15</v>
      </c>
      <c r="U523">
        <v>21</v>
      </c>
      <c r="Y523" s="4">
        <f t="shared" si="62"/>
        <v>21</v>
      </c>
    </row>
    <row r="524" spans="1:25" ht="18" x14ac:dyDescent="0.25">
      <c r="A524" t="s">
        <v>1815</v>
      </c>
      <c r="B524" t="s">
        <v>1773</v>
      </c>
      <c r="C524" s="12" t="str">
        <f t="shared" si="56"/>
        <v>Neutral</v>
      </c>
      <c r="D524" s="18">
        <f t="shared" si="57"/>
        <v>0</v>
      </c>
      <c r="E524" s="1">
        <v>43797.822916666664</v>
      </c>
      <c r="F524" s="10">
        <f>INT(E524)</f>
        <v>43797</v>
      </c>
      <c r="G524" s="15">
        <f>MOD(E524,2)</f>
        <v>1.8229166666642413</v>
      </c>
      <c r="H524" s="15" t="str">
        <f t="shared" si="58"/>
        <v>19:45</v>
      </c>
      <c r="I524" t="s">
        <v>1816</v>
      </c>
      <c r="J524" t="s">
        <v>31</v>
      </c>
      <c r="K524" t="str">
        <f t="shared" si="59"/>
        <v>Facebook</v>
      </c>
      <c r="L524" t="s">
        <v>1817</v>
      </c>
      <c r="M524">
        <v>30</v>
      </c>
      <c r="N524">
        <v>60</v>
      </c>
      <c r="O524">
        <f t="shared" si="60"/>
        <v>90</v>
      </c>
      <c r="P524" t="s">
        <v>109</v>
      </c>
      <c r="Q524" t="str">
        <f t="shared" si="61"/>
        <v>UK</v>
      </c>
      <c r="R524">
        <v>2019</v>
      </c>
      <c r="S524">
        <v>11</v>
      </c>
      <c r="T524">
        <v>28</v>
      </c>
      <c r="U524">
        <v>19</v>
      </c>
      <c r="Y524" s="4">
        <f t="shared" si="62"/>
        <v>19</v>
      </c>
    </row>
    <row r="525" spans="1:25" ht="18" x14ac:dyDescent="0.25">
      <c r="A525" t="s">
        <v>1818</v>
      </c>
      <c r="B525" t="s">
        <v>1819</v>
      </c>
      <c r="C525" s="12" t="str">
        <f t="shared" si="56"/>
        <v>Positive</v>
      </c>
      <c r="D525" s="18">
        <f t="shared" si="57"/>
        <v>1</v>
      </c>
      <c r="E525" s="1">
        <v>44004.916666666664</v>
      </c>
      <c r="F525" s="10">
        <f>INT(E525)</f>
        <v>44004</v>
      </c>
      <c r="G525" s="15">
        <f>MOD(E525,2)</f>
        <v>0.91666666666424135</v>
      </c>
      <c r="H525" s="15" t="str">
        <f t="shared" si="58"/>
        <v>22:00</v>
      </c>
      <c r="I525" t="s">
        <v>1820</v>
      </c>
      <c r="J525" t="s">
        <v>26</v>
      </c>
      <c r="K525" t="str">
        <f t="shared" si="59"/>
        <v>Instagram</v>
      </c>
      <c r="L525" t="s">
        <v>1821</v>
      </c>
      <c r="M525">
        <v>22</v>
      </c>
      <c r="N525">
        <v>45</v>
      </c>
      <c r="O525">
        <f t="shared" si="60"/>
        <v>67</v>
      </c>
      <c r="P525" t="s">
        <v>98</v>
      </c>
      <c r="Q525" t="str">
        <f t="shared" si="61"/>
        <v>USA</v>
      </c>
      <c r="R525">
        <v>2020</v>
      </c>
      <c r="S525">
        <v>6</v>
      </c>
      <c r="T525">
        <v>22</v>
      </c>
      <c r="U525">
        <v>22</v>
      </c>
      <c r="Y525" s="4">
        <f t="shared" si="62"/>
        <v>22</v>
      </c>
    </row>
    <row r="526" spans="1:25" ht="18" x14ac:dyDescent="0.25">
      <c r="A526" t="s">
        <v>1822</v>
      </c>
      <c r="B526" t="s">
        <v>1823</v>
      </c>
      <c r="C526" s="12" t="str">
        <f t="shared" si="56"/>
        <v>Positive</v>
      </c>
      <c r="D526" s="18">
        <f t="shared" si="57"/>
        <v>1</v>
      </c>
      <c r="E526" s="1">
        <v>42988.84375</v>
      </c>
      <c r="F526" s="10">
        <f>INT(E526)</f>
        <v>42988</v>
      </c>
      <c r="G526" s="15">
        <f>MOD(E526,2)</f>
        <v>0.84375</v>
      </c>
      <c r="H526" s="15" t="str">
        <f t="shared" si="58"/>
        <v>20:15</v>
      </c>
      <c r="I526" t="s">
        <v>1824</v>
      </c>
      <c r="J526" t="s">
        <v>874</v>
      </c>
      <c r="K526" t="str">
        <f t="shared" si="59"/>
        <v>Twitter</v>
      </c>
      <c r="L526" t="s">
        <v>1825</v>
      </c>
      <c r="M526">
        <v>18</v>
      </c>
      <c r="N526">
        <v>35</v>
      </c>
      <c r="O526">
        <f t="shared" si="60"/>
        <v>53</v>
      </c>
      <c r="P526" t="s">
        <v>98</v>
      </c>
      <c r="Q526" t="str">
        <f t="shared" si="61"/>
        <v>USA</v>
      </c>
      <c r="R526">
        <v>2017</v>
      </c>
      <c r="S526">
        <v>9</v>
      </c>
      <c r="T526">
        <v>10</v>
      </c>
      <c r="U526">
        <v>20</v>
      </c>
      <c r="Y526" s="4">
        <f t="shared" si="62"/>
        <v>20</v>
      </c>
    </row>
    <row r="527" spans="1:25" ht="18" x14ac:dyDescent="0.25">
      <c r="A527" t="s">
        <v>1826</v>
      </c>
      <c r="B527" t="s">
        <v>1827</v>
      </c>
      <c r="C527" s="12" t="str">
        <f t="shared" si="56"/>
        <v>Positive</v>
      </c>
      <c r="D527" s="18">
        <f t="shared" si="57"/>
        <v>1</v>
      </c>
      <c r="E527" s="1">
        <v>44620.885416666664</v>
      </c>
      <c r="F527" s="10">
        <f>INT(E527)</f>
        <v>44620</v>
      </c>
      <c r="G527" s="15">
        <f>MOD(E527,2)</f>
        <v>0.88541666666424135</v>
      </c>
      <c r="H527" s="15" t="str">
        <f t="shared" si="58"/>
        <v>21:15</v>
      </c>
      <c r="I527" t="s">
        <v>1828</v>
      </c>
      <c r="J527" t="s">
        <v>31</v>
      </c>
      <c r="K527" t="str">
        <f t="shared" si="59"/>
        <v>Facebook</v>
      </c>
      <c r="L527" t="s">
        <v>1829</v>
      </c>
      <c r="M527">
        <v>28</v>
      </c>
      <c r="N527">
        <v>55</v>
      </c>
      <c r="O527">
        <f t="shared" si="60"/>
        <v>83</v>
      </c>
      <c r="P527" t="s">
        <v>1830</v>
      </c>
      <c r="Q527" t="str">
        <f t="shared" si="61"/>
        <v>Colombia</v>
      </c>
      <c r="R527">
        <v>2022</v>
      </c>
      <c r="S527">
        <v>2</v>
      </c>
      <c r="T527">
        <v>28</v>
      </c>
      <c r="U527">
        <v>21</v>
      </c>
      <c r="Y527" s="4">
        <f t="shared" si="62"/>
        <v>21</v>
      </c>
    </row>
    <row r="528" spans="1:25" ht="18" x14ac:dyDescent="0.25">
      <c r="A528" t="s">
        <v>1831</v>
      </c>
      <c r="B528" t="s">
        <v>1832</v>
      </c>
      <c r="C528" s="12" t="str">
        <f t="shared" si="56"/>
        <v>Positive</v>
      </c>
      <c r="D528" s="18">
        <f t="shared" si="57"/>
        <v>1</v>
      </c>
      <c r="E528" s="1">
        <v>42505.8125</v>
      </c>
      <c r="F528" s="10">
        <f>INT(E528)</f>
        <v>42505</v>
      </c>
      <c r="G528" s="15">
        <f>MOD(E528,2)</f>
        <v>1.8125</v>
      </c>
      <c r="H528" s="15" t="str">
        <f t="shared" si="58"/>
        <v>19:30</v>
      </c>
      <c r="I528" t="s">
        <v>1833</v>
      </c>
      <c r="J528" t="s">
        <v>26</v>
      </c>
      <c r="K528" t="str">
        <f t="shared" si="59"/>
        <v>Instagram</v>
      </c>
      <c r="L528" t="s">
        <v>1834</v>
      </c>
      <c r="M528">
        <v>25</v>
      </c>
      <c r="N528">
        <v>50</v>
      </c>
      <c r="O528">
        <f t="shared" si="60"/>
        <v>75</v>
      </c>
      <c r="P528" t="s">
        <v>1835</v>
      </c>
      <c r="Q528" t="str">
        <f t="shared" si="61"/>
        <v>Ireland</v>
      </c>
      <c r="R528">
        <v>2016</v>
      </c>
      <c r="S528">
        <v>5</v>
      </c>
      <c r="T528">
        <v>15</v>
      </c>
      <c r="U528">
        <v>19</v>
      </c>
      <c r="Y528" s="4">
        <f t="shared" si="62"/>
        <v>19</v>
      </c>
    </row>
    <row r="529" spans="1:25" ht="18" x14ac:dyDescent="0.25">
      <c r="A529" t="s">
        <v>1836</v>
      </c>
      <c r="B529" t="s">
        <v>1837</v>
      </c>
      <c r="C529" s="12" t="str">
        <f t="shared" si="56"/>
        <v>Positive</v>
      </c>
      <c r="D529" s="18">
        <f t="shared" si="57"/>
        <v>1</v>
      </c>
      <c r="E529" s="1">
        <v>43444.9375</v>
      </c>
      <c r="F529" s="10">
        <f>INT(E529)</f>
        <v>43444</v>
      </c>
      <c r="G529" s="15">
        <f>MOD(E529,2)</f>
        <v>0.9375</v>
      </c>
      <c r="H529" s="15" t="str">
        <f t="shared" si="58"/>
        <v>22:30</v>
      </c>
      <c r="I529" t="s">
        <v>1838</v>
      </c>
      <c r="J529" t="s">
        <v>874</v>
      </c>
      <c r="K529" t="str">
        <f t="shared" si="59"/>
        <v>Twitter</v>
      </c>
      <c r="L529" t="s">
        <v>1839</v>
      </c>
      <c r="M529">
        <v>22</v>
      </c>
      <c r="N529">
        <v>45</v>
      </c>
      <c r="O529">
        <f t="shared" si="60"/>
        <v>67</v>
      </c>
      <c r="P529" t="s">
        <v>98</v>
      </c>
      <c r="Q529" t="str">
        <f t="shared" si="61"/>
        <v>USA</v>
      </c>
      <c r="R529">
        <v>2018</v>
      </c>
      <c r="S529">
        <v>12</v>
      </c>
      <c r="T529">
        <v>10</v>
      </c>
      <c r="U529">
        <v>22</v>
      </c>
      <c r="Y529" s="4">
        <f t="shared" si="62"/>
        <v>22</v>
      </c>
    </row>
    <row r="530" spans="1:25" ht="18" x14ac:dyDescent="0.25">
      <c r="A530" t="s">
        <v>1840</v>
      </c>
      <c r="B530" t="s">
        <v>1841</v>
      </c>
      <c r="C530" s="12" t="str">
        <f t="shared" si="56"/>
        <v>Positive</v>
      </c>
      <c r="D530" s="18">
        <f t="shared" si="57"/>
        <v>1</v>
      </c>
      <c r="E530" s="1">
        <v>44948.833333333336</v>
      </c>
      <c r="F530" s="10">
        <f>INT(E530)</f>
        <v>44948</v>
      </c>
      <c r="G530" s="15">
        <f>MOD(E530,2)</f>
        <v>0.83333333333575865</v>
      </c>
      <c r="H530" s="15" t="str">
        <f t="shared" si="58"/>
        <v>20:00</v>
      </c>
      <c r="I530" t="s">
        <v>1842</v>
      </c>
      <c r="J530" t="s">
        <v>31</v>
      </c>
      <c r="K530" t="str">
        <f t="shared" si="59"/>
        <v>Facebook</v>
      </c>
      <c r="L530" t="s">
        <v>1843</v>
      </c>
      <c r="M530">
        <v>35</v>
      </c>
      <c r="N530">
        <v>70</v>
      </c>
      <c r="O530">
        <f t="shared" si="60"/>
        <v>105</v>
      </c>
      <c r="P530" t="s">
        <v>98</v>
      </c>
      <c r="Q530" t="str">
        <f t="shared" si="61"/>
        <v>USA</v>
      </c>
      <c r="R530">
        <v>2023</v>
      </c>
      <c r="S530">
        <v>1</v>
      </c>
      <c r="T530">
        <v>22</v>
      </c>
      <c r="U530">
        <v>20</v>
      </c>
      <c r="Y530" s="4">
        <f t="shared" si="62"/>
        <v>20</v>
      </c>
    </row>
    <row r="531" spans="1:25" ht="18" x14ac:dyDescent="0.25">
      <c r="A531" t="s">
        <v>1844</v>
      </c>
      <c r="B531" t="s">
        <v>1845</v>
      </c>
      <c r="C531" s="12" t="str">
        <f t="shared" si="56"/>
        <v>Neutral</v>
      </c>
      <c r="D531" s="18">
        <f t="shared" si="57"/>
        <v>0</v>
      </c>
      <c r="E531" s="1">
        <v>43895.78125</v>
      </c>
      <c r="F531" s="10">
        <f>INT(E531)</f>
        <v>43895</v>
      </c>
      <c r="G531" s="15">
        <f>MOD(E531,2)</f>
        <v>1.78125</v>
      </c>
      <c r="H531" s="15" t="str">
        <f t="shared" si="58"/>
        <v>18:45</v>
      </c>
      <c r="I531" t="s">
        <v>1846</v>
      </c>
      <c r="J531" t="s">
        <v>26</v>
      </c>
      <c r="K531" t="str">
        <f t="shared" si="59"/>
        <v>Instagram</v>
      </c>
      <c r="L531" t="s">
        <v>1847</v>
      </c>
      <c r="M531">
        <v>30</v>
      </c>
      <c r="N531">
        <v>60</v>
      </c>
      <c r="O531">
        <f t="shared" si="60"/>
        <v>90</v>
      </c>
      <c r="P531" t="s">
        <v>1848</v>
      </c>
      <c r="Q531" t="str">
        <f t="shared" si="61"/>
        <v>Jamaica</v>
      </c>
      <c r="R531">
        <v>2020</v>
      </c>
      <c r="S531">
        <v>3</v>
      </c>
      <c r="T531">
        <v>5</v>
      </c>
      <c r="U531">
        <v>18</v>
      </c>
      <c r="Y531" s="4">
        <f t="shared" si="62"/>
        <v>18</v>
      </c>
    </row>
    <row r="532" spans="1:25" ht="18" x14ac:dyDescent="0.25">
      <c r="A532" t="s">
        <v>1849</v>
      </c>
      <c r="B532" t="s">
        <v>388</v>
      </c>
      <c r="C532" s="12" t="str">
        <f t="shared" si="56"/>
        <v>Positive</v>
      </c>
      <c r="D532" s="18">
        <f t="shared" si="57"/>
        <v>1</v>
      </c>
      <c r="E532" s="1">
        <v>43385.833333333336</v>
      </c>
      <c r="F532" s="10">
        <f>INT(E532)</f>
        <v>43385</v>
      </c>
      <c r="G532" s="15">
        <f>MOD(E532,2)</f>
        <v>1.8333333333357587</v>
      </c>
      <c r="H532" s="15" t="str">
        <f t="shared" si="58"/>
        <v>20:00</v>
      </c>
      <c r="I532" t="s">
        <v>1850</v>
      </c>
      <c r="J532" t="s">
        <v>874</v>
      </c>
      <c r="K532" t="str">
        <f t="shared" si="59"/>
        <v>Twitter</v>
      </c>
      <c r="L532" t="s">
        <v>1851</v>
      </c>
      <c r="M532">
        <v>40</v>
      </c>
      <c r="N532">
        <v>80</v>
      </c>
      <c r="O532">
        <f t="shared" si="60"/>
        <v>120</v>
      </c>
      <c r="P532" t="s">
        <v>98</v>
      </c>
      <c r="Q532" t="str">
        <f t="shared" si="61"/>
        <v>USA</v>
      </c>
      <c r="R532">
        <v>2018</v>
      </c>
      <c r="S532">
        <v>10</v>
      </c>
      <c r="T532">
        <v>12</v>
      </c>
      <c r="U532">
        <v>20</v>
      </c>
      <c r="Y532" s="4">
        <f t="shared" si="62"/>
        <v>20</v>
      </c>
    </row>
    <row r="533" spans="1:25" ht="18" x14ac:dyDescent="0.25">
      <c r="A533" t="s">
        <v>1852</v>
      </c>
      <c r="B533" t="s">
        <v>1405</v>
      </c>
      <c r="C533" s="12" t="str">
        <f t="shared" si="56"/>
        <v>Neutral</v>
      </c>
      <c r="D533" s="18">
        <f t="shared" si="57"/>
        <v>0</v>
      </c>
      <c r="E533" s="1">
        <v>43641.927083333336</v>
      </c>
      <c r="F533" s="10">
        <f>INT(E533)</f>
        <v>43641</v>
      </c>
      <c r="G533" s="15">
        <f>MOD(E533,2)</f>
        <v>1.9270833333357587</v>
      </c>
      <c r="H533" s="15" t="str">
        <f t="shared" si="58"/>
        <v>22:15</v>
      </c>
      <c r="I533" t="s">
        <v>1853</v>
      </c>
      <c r="J533" t="s">
        <v>26</v>
      </c>
      <c r="K533" t="str">
        <f t="shared" si="59"/>
        <v>Instagram</v>
      </c>
      <c r="L533" t="s">
        <v>1854</v>
      </c>
      <c r="M533">
        <v>35</v>
      </c>
      <c r="N533">
        <v>70</v>
      </c>
      <c r="O533">
        <f t="shared" si="60"/>
        <v>105</v>
      </c>
      <c r="P533" t="s">
        <v>109</v>
      </c>
      <c r="Q533" t="str">
        <f t="shared" si="61"/>
        <v>UK</v>
      </c>
      <c r="R533">
        <v>2019</v>
      </c>
      <c r="S533">
        <v>6</v>
      </c>
      <c r="T533">
        <v>25</v>
      </c>
      <c r="U533">
        <v>22</v>
      </c>
      <c r="Y533" s="4">
        <f t="shared" si="62"/>
        <v>22</v>
      </c>
    </row>
    <row r="534" spans="1:25" ht="18" x14ac:dyDescent="0.25">
      <c r="A534" t="s">
        <v>1855</v>
      </c>
      <c r="B534" t="s">
        <v>1856</v>
      </c>
      <c r="C534" s="12" t="str">
        <f t="shared" si="56"/>
        <v>Positive</v>
      </c>
      <c r="D534" s="18">
        <f t="shared" si="57"/>
        <v>1</v>
      </c>
      <c r="E534" s="1">
        <v>44020.8125</v>
      </c>
      <c r="F534" s="10">
        <f>INT(E534)</f>
        <v>44020</v>
      </c>
      <c r="G534" s="15">
        <f>MOD(E534,2)</f>
        <v>0.8125</v>
      </c>
      <c r="H534" s="15" t="str">
        <f t="shared" si="58"/>
        <v>19:30</v>
      </c>
      <c r="I534" t="s">
        <v>1857</v>
      </c>
      <c r="J534" t="s">
        <v>31</v>
      </c>
      <c r="K534" t="str">
        <f t="shared" si="59"/>
        <v>Facebook</v>
      </c>
      <c r="L534" t="s">
        <v>1858</v>
      </c>
      <c r="M534">
        <v>30</v>
      </c>
      <c r="N534">
        <v>60</v>
      </c>
      <c r="O534">
        <f t="shared" si="60"/>
        <v>90</v>
      </c>
      <c r="P534" t="s">
        <v>123</v>
      </c>
      <c r="Q534" t="str">
        <f t="shared" si="61"/>
        <v>Canada</v>
      </c>
      <c r="R534">
        <v>2020</v>
      </c>
      <c r="S534">
        <v>7</v>
      </c>
      <c r="T534">
        <v>8</v>
      </c>
      <c r="U534">
        <v>19</v>
      </c>
      <c r="Y534" s="4">
        <f t="shared" si="62"/>
        <v>19</v>
      </c>
    </row>
    <row r="535" spans="1:25" ht="18" x14ac:dyDescent="0.25">
      <c r="A535" t="s">
        <v>1859</v>
      </c>
      <c r="B535" t="s">
        <v>1823</v>
      </c>
      <c r="C535" s="12" t="str">
        <f t="shared" si="56"/>
        <v>Positive</v>
      </c>
      <c r="D535" s="18">
        <f t="shared" si="57"/>
        <v>1</v>
      </c>
      <c r="E535" s="1">
        <v>42996.90625</v>
      </c>
      <c r="F535" s="10">
        <f>INT(E535)</f>
        <v>42996</v>
      </c>
      <c r="G535" s="15">
        <f>MOD(E535,2)</f>
        <v>0.90625</v>
      </c>
      <c r="H535" s="15" t="str">
        <f t="shared" si="58"/>
        <v>21:45</v>
      </c>
      <c r="I535" t="s">
        <v>1860</v>
      </c>
      <c r="J535" t="s">
        <v>874</v>
      </c>
      <c r="K535" t="str">
        <f t="shared" si="59"/>
        <v>Twitter</v>
      </c>
      <c r="L535" t="s">
        <v>1861</v>
      </c>
      <c r="M535">
        <v>22</v>
      </c>
      <c r="N535">
        <v>45</v>
      </c>
      <c r="O535">
        <f t="shared" si="60"/>
        <v>67</v>
      </c>
      <c r="P535" t="s">
        <v>38</v>
      </c>
      <c r="Q535" t="str">
        <f t="shared" si="61"/>
        <v>Australia</v>
      </c>
      <c r="R535">
        <v>2017</v>
      </c>
      <c r="S535">
        <v>9</v>
      </c>
      <c r="T535">
        <v>18</v>
      </c>
      <c r="U535">
        <v>21</v>
      </c>
      <c r="Y535" s="4">
        <f t="shared" si="62"/>
        <v>21</v>
      </c>
    </row>
    <row r="536" spans="1:25" ht="18" x14ac:dyDescent="0.25">
      <c r="A536" t="s">
        <v>1862</v>
      </c>
      <c r="B536" t="s">
        <v>1863</v>
      </c>
      <c r="C536" s="12" t="str">
        <f t="shared" si="56"/>
        <v>Neutral</v>
      </c>
      <c r="D536" s="18">
        <f t="shared" si="57"/>
        <v>0</v>
      </c>
      <c r="E536" s="1">
        <v>44211.75</v>
      </c>
      <c r="F536" s="10">
        <f>INT(E536)</f>
        <v>44211</v>
      </c>
      <c r="G536" s="15">
        <f>MOD(E536,2)</f>
        <v>1.75</v>
      </c>
      <c r="H536" s="15" t="str">
        <f t="shared" si="58"/>
        <v>18:00</v>
      </c>
      <c r="I536" t="s">
        <v>1864</v>
      </c>
      <c r="J536" t="s">
        <v>26</v>
      </c>
      <c r="K536" t="str">
        <f t="shared" si="59"/>
        <v>Instagram</v>
      </c>
      <c r="L536" t="s">
        <v>1865</v>
      </c>
      <c r="M536">
        <v>28</v>
      </c>
      <c r="N536">
        <v>55</v>
      </c>
      <c r="O536">
        <f t="shared" si="60"/>
        <v>83</v>
      </c>
      <c r="P536" t="s">
        <v>164</v>
      </c>
      <c r="Q536" t="str">
        <f t="shared" si="61"/>
        <v>India</v>
      </c>
      <c r="R536">
        <v>2021</v>
      </c>
      <c r="S536">
        <v>1</v>
      </c>
      <c r="T536">
        <v>15</v>
      </c>
      <c r="U536">
        <v>18</v>
      </c>
      <c r="Y536" s="4">
        <f t="shared" si="62"/>
        <v>18</v>
      </c>
    </row>
    <row r="537" spans="1:25" ht="18" x14ac:dyDescent="0.25">
      <c r="A537" t="s">
        <v>1866</v>
      </c>
      <c r="B537" t="s">
        <v>1638</v>
      </c>
      <c r="C537" s="12" t="str">
        <f t="shared" si="56"/>
        <v>Positive</v>
      </c>
      <c r="D537" s="18">
        <f t="shared" si="57"/>
        <v>1</v>
      </c>
      <c r="E537" s="1">
        <v>42428.854166666664</v>
      </c>
      <c r="F537" s="10">
        <f>INT(E537)</f>
        <v>42428</v>
      </c>
      <c r="G537" s="15">
        <f>MOD(E537,2)</f>
        <v>0.85416666666424135</v>
      </c>
      <c r="H537" s="15" t="str">
        <f t="shared" si="58"/>
        <v>20:30</v>
      </c>
      <c r="I537" t="s">
        <v>1867</v>
      </c>
      <c r="J537" t="s">
        <v>31</v>
      </c>
      <c r="K537" t="str">
        <f t="shared" si="59"/>
        <v>Facebook</v>
      </c>
      <c r="L537" t="s">
        <v>1868</v>
      </c>
      <c r="M537">
        <v>18</v>
      </c>
      <c r="N537">
        <v>35</v>
      </c>
      <c r="O537">
        <f t="shared" si="60"/>
        <v>53</v>
      </c>
      <c r="P537" t="s">
        <v>98</v>
      </c>
      <c r="Q537" t="str">
        <f t="shared" si="61"/>
        <v>USA</v>
      </c>
      <c r="R537">
        <v>2016</v>
      </c>
      <c r="S537">
        <v>2</v>
      </c>
      <c r="T537">
        <v>28</v>
      </c>
      <c r="U537">
        <v>20</v>
      </c>
      <c r="Y537" s="4">
        <f t="shared" si="62"/>
        <v>20</v>
      </c>
    </row>
    <row r="538" spans="1:25" ht="18" x14ac:dyDescent="0.25">
      <c r="A538" t="s">
        <v>1869</v>
      </c>
      <c r="B538" t="s">
        <v>1308</v>
      </c>
      <c r="C538" s="12" t="str">
        <f t="shared" si="56"/>
        <v>Positive</v>
      </c>
      <c r="D538" s="18">
        <f t="shared" si="57"/>
        <v>1</v>
      </c>
      <c r="E538" s="1">
        <v>44671.729166666664</v>
      </c>
      <c r="F538" s="10">
        <f>INT(E538)</f>
        <v>44671</v>
      </c>
      <c r="G538" s="15">
        <f>MOD(E538,2)</f>
        <v>1.7291666666642413</v>
      </c>
      <c r="H538" s="15" t="str">
        <f t="shared" si="58"/>
        <v>17:30</v>
      </c>
      <c r="I538" t="s">
        <v>1870</v>
      </c>
      <c r="J538" t="s">
        <v>874</v>
      </c>
      <c r="K538" t="str">
        <f t="shared" si="59"/>
        <v>Twitter</v>
      </c>
      <c r="L538" t="s">
        <v>1871</v>
      </c>
      <c r="M538">
        <v>22</v>
      </c>
      <c r="N538">
        <v>45</v>
      </c>
      <c r="O538">
        <f t="shared" si="60"/>
        <v>67</v>
      </c>
      <c r="P538" t="s">
        <v>1544</v>
      </c>
      <c r="Q538" t="str">
        <f t="shared" si="61"/>
        <v>France</v>
      </c>
      <c r="R538">
        <v>2022</v>
      </c>
      <c r="S538">
        <v>4</v>
      </c>
      <c r="T538">
        <v>20</v>
      </c>
      <c r="U538">
        <v>17</v>
      </c>
      <c r="Y538" s="4">
        <f t="shared" si="62"/>
        <v>17</v>
      </c>
    </row>
    <row r="539" spans="1:25" ht="18" x14ac:dyDescent="0.25">
      <c r="A539" t="s">
        <v>1872</v>
      </c>
      <c r="B539" t="s">
        <v>1162</v>
      </c>
      <c r="C539" s="12" t="str">
        <f t="shared" si="56"/>
        <v>Neutral</v>
      </c>
      <c r="D539" s="18">
        <f t="shared" si="57"/>
        <v>0</v>
      </c>
      <c r="E539" s="1">
        <v>43774.885416666664</v>
      </c>
      <c r="F539" s="10">
        <f>INT(E539)</f>
        <v>43774</v>
      </c>
      <c r="G539" s="15">
        <f>MOD(E539,2)</f>
        <v>0.88541666666424135</v>
      </c>
      <c r="H539" s="15" t="str">
        <f t="shared" si="58"/>
        <v>21:15</v>
      </c>
      <c r="I539" t="s">
        <v>1873</v>
      </c>
      <c r="J539" t="s">
        <v>26</v>
      </c>
      <c r="K539" t="str">
        <f t="shared" si="59"/>
        <v>Instagram</v>
      </c>
      <c r="L539" t="s">
        <v>1874</v>
      </c>
      <c r="M539">
        <v>28</v>
      </c>
      <c r="N539">
        <v>55</v>
      </c>
      <c r="O539">
        <f t="shared" si="60"/>
        <v>83</v>
      </c>
      <c r="P539" t="s">
        <v>1535</v>
      </c>
      <c r="Q539" t="str">
        <f t="shared" si="61"/>
        <v>Germany</v>
      </c>
      <c r="R539">
        <v>2019</v>
      </c>
      <c r="S539">
        <v>11</v>
      </c>
      <c r="T539">
        <v>5</v>
      </c>
      <c r="U539">
        <v>21</v>
      </c>
      <c r="Y539" s="4">
        <f t="shared" si="62"/>
        <v>21</v>
      </c>
    </row>
    <row r="540" spans="1:25" ht="18" x14ac:dyDescent="0.25">
      <c r="A540" t="s">
        <v>1875</v>
      </c>
      <c r="B540" t="s">
        <v>1876</v>
      </c>
      <c r="C540" s="12" t="str">
        <f t="shared" si="56"/>
        <v>Neutral</v>
      </c>
      <c r="D540" s="18">
        <f t="shared" si="57"/>
        <v>0</v>
      </c>
      <c r="E540" s="1">
        <v>42197.916666666664</v>
      </c>
      <c r="F540" s="10">
        <f>INT(E540)</f>
        <v>42197</v>
      </c>
      <c r="G540" s="15">
        <f>MOD(E540,2)</f>
        <v>1.9166666666642413</v>
      </c>
      <c r="H540" s="15" t="str">
        <f t="shared" si="58"/>
        <v>22:00</v>
      </c>
      <c r="I540" t="s">
        <v>1877</v>
      </c>
      <c r="J540" t="s">
        <v>31</v>
      </c>
      <c r="K540" t="str">
        <f t="shared" si="59"/>
        <v>Facebook</v>
      </c>
      <c r="L540" t="s">
        <v>1878</v>
      </c>
      <c r="M540">
        <v>35</v>
      </c>
      <c r="N540">
        <v>70</v>
      </c>
      <c r="O540">
        <f t="shared" si="60"/>
        <v>105</v>
      </c>
      <c r="P540" t="s">
        <v>1557</v>
      </c>
      <c r="Q540" t="str">
        <f t="shared" si="61"/>
        <v>Japan</v>
      </c>
      <c r="R540">
        <v>2015</v>
      </c>
      <c r="S540">
        <v>7</v>
      </c>
      <c r="T540">
        <v>12</v>
      </c>
      <c r="U540">
        <v>22</v>
      </c>
      <c r="Y540" s="4">
        <f t="shared" si="62"/>
        <v>22</v>
      </c>
    </row>
    <row r="541" spans="1:25" ht="18" x14ac:dyDescent="0.25">
      <c r="A541" t="s">
        <v>1879</v>
      </c>
      <c r="B541" t="s">
        <v>1880</v>
      </c>
      <c r="C541" s="12" t="str">
        <f t="shared" si="56"/>
        <v>Positive</v>
      </c>
      <c r="D541" s="18">
        <f t="shared" si="57"/>
        <v>1</v>
      </c>
      <c r="E541" s="1">
        <v>44084.822916666664</v>
      </c>
      <c r="F541" s="10">
        <f>INT(E541)</f>
        <v>44084</v>
      </c>
      <c r="G541" s="15">
        <f>MOD(E541,2)</f>
        <v>0.82291666666424135</v>
      </c>
      <c r="H541" s="15" t="str">
        <f t="shared" si="58"/>
        <v>19:45</v>
      </c>
      <c r="I541" t="s">
        <v>1881</v>
      </c>
      <c r="J541" t="s">
        <v>874</v>
      </c>
      <c r="K541" t="str">
        <f t="shared" si="59"/>
        <v>Twitter</v>
      </c>
      <c r="L541" t="s">
        <v>1882</v>
      </c>
      <c r="M541">
        <v>22</v>
      </c>
      <c r="N541">
        <v>45</v>
      </c>
      <c r="O541">
        <f t="shared" si="60"/>
        <v>67</v>
      </c>
      <c r="P541" t="s">
        <v>1539</v>
      </c>
      <c r="Q541" t="str">
        <f t="shared" si="61"/>
        <v>Brazil</v>
      </c>
      <c r="R541">
        <v>2020</v>
      </c>
      <c r="S541">
        <v>9</v>
      </c>
      <c r="T541">
        <v>10</v>
      </c>
      <c r="U541">
        <v>19</v>
      </c>
      <c r="Y541" s="4">
        <f t="shared" si="62"/>
        <v>19</v>
      </c>
    </row>
    <row r="542" spans="1:25" ht="18" x14ac:dyDescent="0.25">
      <c r="A542" t="s">
        <v>1883</v>
      </c>
      <c r="B542" t="s">
        <v>1624</v>
      </c>
      <c r="C542" s="12" t="str">
        <f t="shared" si="56"/>
        <v>Positive</v>
      </c>
      <c r="D542" s="18">
        <f t="shared" si="57"/>
        <v>1</v>
      </c>
      <c r="E542" s="1">
        <v>43296.895833333336</v>
      </c>
      <c r="F542" s="10">
        <f>INT(E542)</f>
        <v>43296</v>
      </c>
      <c r="G542" s="15">
        <f>MOD(E542,2)</f>
        <v>0.89583333333575865</v>
      </c>
      <c r="H542" s="15" t="str">
        <f t="shared" si="58"/>
        <v>21:30</v>
      </c>
      <c r="I542" t="s">
        <v>1884</v>
      </c>
      <c r="J542" t="s">
        <v>26</v>
      </c>
      <c r="K542" t="str">
        <f t="shared" si="59"/>
        <v>Instagram</v>
      </c>
      <c r="L542" t="s">
        <v>1885</v>
      </c>
      <c r="M542">
        <v>40</v>
      </c>
      <c r="N542">
        <v>80</v>
      </c>
      <c r="O542">
        <f t="shared" si="60"/>
        <v>120</v>
      </c>
      <c r="P542" t="s">
        <v>1539</v>
      </c>
      <c r="Q542" t="str">
        <f t="shared" si="61"/>
        <v>Brazil</v>
      </c>
      <c r="R542">
        <v>2018</v>
      </c>
      <c r="S542">
        <v>7</v>
      </c>
      <c r="T542">
        <v>15</v>
      </c>
      <c r="U542">
        <v>21</v>
      </c>
      <c r="Y542" s="4">
        <f t="shared" si="62"/>
        <v>21</v>
      </c>
    </row>
    <row r="543" spans="1:25" ht="18" x14ac:dyDescent="0.25">
      <c r="A543" t="s">
        <v>1886</v>
      </c>
      <c r="B543" t="s">
        <v>1308</v>
      </c>
      <c r="C543" s="12" t="str">
        <f t="shared" si="56"/>
        <v>Positive</v>
      </c>
      <c r="D543" s="18">
        <f t="shared" si="57"/>
        <v>1</v>
      </c>
      <c r="E543" s="1">
        <v>44051.822916666664</v>
      </c>
      <c r="F543" s="10">
        <f>INT(E543)</f>
        <v>44051</v>
      </c>
      <c r="G543" s="15">
        <f>MOD(E543,2)</f>
        <v>1.8229166666642413</v>
      </c>
      <c r="H543" s="15" t="str">
        <f t="shared" si="58"/>
        <v>19:45</v>
      </c>
      <c r="I543" t="s">
        <v>1887</v>
      </c>
      <c r="J543" t="s">
        <v>874</v>
      </c>
      <c r="K543" t="str">
        <f t="shared" si="59"/>
        <v>Twitter</v>
      </c>
      <c r="L543" t="s">
        <v>1888</v>
      </c>
      <c r="M543">
        <v>35</v>
      </c>
      <c r="N543">
        <v>70</v>
      </c>
      <c r="O543">
        <f t="shared" si="60"/>
        <v>105</v>
      </c>
      <c r="P543" t="s">
        <v>98</v>
      </c>
      <c r="Q543" t="str">
        <f t="shared" si="61"/>
        <v>USA</v>
      </c>
      <c r="R543">
        <v>2020</v>
      </c>
      <c r="S543">
        <v>8</v>
      </c>
      <c r="T543">
        <v>8</v>
      </c>
      <c r="U543">
        <v>19</v>
      </c>
      <c r="Y543" s="4">
        <f t="shared" si="62"/>
        <v>19</v>
      </c>
    </row>
    <row r="544" spans="1:25" ht="18" x14ac:dyDescent="0.25">
      <c r="A544" t="s">
        <v>1889</v>
      </c>
      <c r="B544" t="s">
        <v>388</v>
      </c>
      <c r="C544" s="12" t="str">
        <f t="shared" si="56"/>
        <v>Positive</v>
      </c>
      <c r="D544" s="18">
        <f t="shared" si="57"/>
        <v>1</v>
      </c>
      <c r="E544" s="1">
        <v>43641.927083333336</v>
      </c>
      <c r="F544" s="10">
        <f>INT(E544)</f>
        <v>43641</v>
      </c>
      <c r="G544" s="15">
        <f>MOD(E544,2)</f>
        <v>1.9270833333357587</v>
      </c>
      <c r="H544" s="15" t="str">
        <f t="shared" si="58"/>
        <v>22:15</v>
      </c>
      <c r="I544" t="s">
        <v>1890</v>
      </c>
      <c r="J544" t="s">
        <v>31</v>
      </c>
      <c r="K544" t="str">
        <f t="shared" si="59"/>
        <v>Facebook</v>
      </c>
      <c r="L544" t="s">
        <v>1891</v>
      </c>
      <c r="M544">
        <v>30</v>
      </c>
      <c r="N544">
        <v>60</v>
      </c>
      <c r="O544">
        <f t="shared" si="60"/>
        <v>90</v>
      </c>
      <c r="P544" t="s">
        <v>164</v>
      </c>
      <c r="Q544" t="str">
        <f t="shared" si="61"/>
        <v>India</v>
      </c>
      <c r="R544">
        <v>2019</v>
      </c>
      <c r="S544">
        <v>6</v>
      </c>
      <c r="T544">
        <v>25</v>
      </c>
      <c r="U544">
        <v>22</v>
      </c>
      <c r="Y544" s="4">
        <f t="shared" si="62"/>
        <v>22</v>
      </c>
    </row>
    <row r="545" spans="1:25" ht="18" x14ac:dyDescent="0.25">
      <c r="A545" t="s">
        <v>1892</v>
      </c>
      <c r="B545" t="s">
        <v>1893</v>
      </c>
      <c r="C545" s="12" t="str">
        <f t="shared" si="56"/>
        <v>Neutral</v>
      </c>
      <c r="D545" s="18">
        <f t="shared" si="57"/>
        <v>0</v>
      </c>
      <c r="E545" s="1">
        <v>44507.729166666664</v>
      </c>
      <c r="F545" s="10">
        <f>INT(E545)</f>
        <v>44507</v>
      </c>
      <c r="G545" s="15">
        <f>MOD(E545,2)</f>
        <v>1.7291666666642413</v>
      </c>
      <c r="H545" s="15" t="str">
        <f t="shared" si="58"/>
        <v>17:30</v>
      </c>
      <c r="I545" t="s">
        <v>1894</v>
      </c>
      <c r="J545" t="s">
        <v>26</v>
      </c>
      <c r="K545" t="str">
        <f t="shared" si="59"/>
        <v>Instagram</v>
      </c>
      <c r="L545" t="s">
        <v>1895</v>
      </c>
      <c r="M545">
        <v>22</v>
      </c>
      <c r="N545">
        <v>45</v>
      </c>
      <c r="O545">
        <f t="shared" si="60"/>
        <v>67</v>
      </c>
      <c r="P545" t="s">
        <v>1896</v>
      </c>
      <c r="Q545" t="str">
        <f t="shared" si="61"/>
        <v>Kenya</v>
      </c>
      <c r="R545">
        <v>2021</v>
      </c>
      <c r="S545">
        <v>11</v>
      </c>
      <c r="T545">
        <v>7</v>
      </c>
      <c r="U545">
        <v>17</v>
      </c>
      <c r="Y545" s="4">
        <f t="shared" si="62"/>
        <v>17</v>
      </c>
    </row>
    <row r="546" spans="1:25" ht="18" x14ac:dyDescent="0.25">
      <c r="A546" t="s">
        <v>1897</v>
      </c>
      <c r="B546" t="s">
        <v>1737</v>
      </c>
      <c r="C546" s="12" t="str">
        <f t="shared" si="56"/>
        <v>Positive</v>
      </c>
      <c r="D546" s="18">
        <f t="shared" si="57"/>
        <v>1</v>
      </c>
      <c r="E546" s="1">
        <v>42988.84375</v>
      </c>
      <c r="F546" s="10">
        <f>INT(E546)</f>
        <v>42988</v>
      </c>
      <c r="G546" s="15">
        <f>MOD(E546,2)</f>
        <v>0.84375</v>
      </c>
      <c r="H546" s="15" t="str">
        <f t="shared" si="58"/>
        <v>20:15</v>
      </c>
      <c r="I546" t="s">
        <v>1898</v>
      </c>
      <c r="J546" t="s">
        <v>874</v>
      </c>
      <c r="K546" t="str">
        <f t="shared" si="59"/>
        <v>Twitter</v>
      </c>
      <c r="L546" t="s">
        <v>1899</v>
      </c>
      <c r="M546">
        <v>28</v>
      </c>
      <c r="N546">
        <v>55</v>
      </c>
      <c r="O546">
        <f t="shared" si="60"/>
        <v>83</v>
      </c>
      <c r="P546" t="s">
        <v>109</v>
      </c>
      <c r="Q546" t="str">
        <f t="shared" si="61"/>
        <v>UK</v>
      </c>
      <c r="R546">
        <v>2017</v>
      </c>
      <c r="S546">
        <v>9</v>
      </c>
      <c r="T546">
        <v>10</v>
      </c>
      <c r="U546">
        <v>20</v>
      </c>
      <c r="Y546" s="4">
        <f t="shared" si="62"/>
        <v>20</v>
      </c>
    </row>
    <row r="547" spans="1:25" ht="18" x14ac:dyDescent="0.25">
      <c r="A547" t="s">
        <v>1900</v>
      </c>
      <c r="B547" t="s">
        <v>1901</v>
      </c>
      <c r="C547" s="12" t="str">
        <f t="shared" si="56"/>
        <v>Positive</v>
      </c>
      <c r="D547" s="18">
        <f t="shared" si="57"/>
        <v>1</v>
      </c>
      <c r="E547" s="1">
        <v>44732.875</v>
      </c>
      <c r="F547" s="10">
        <f>INT(E547)</f>
        <v>44732</v>
      </c>
      <c r="G547" s="15">
        <f>MOD(E547,2)</f>
        <v>0.875</v>
      </c>
      <c r="H547" s="15" t="str">
        <f t="shared" si="58"/>
        <v>21:00</v>
      </c>
      <c r="I547" t="s">
        <v>1902</v>
      </c>
      <c r="J547" t="s">
        <v>31</v>
      </c>
      <c r="K547" t="str">
        <f t="shared" si="59"/>
        <v>Facebook</v>
      </c>
      <c r="L547" t="s">
        <v>1903</v>
      </c>
      <c r="M547">
        <v>18</v>
      </c>
      <c r="N547">
        <v>35</v>
      </c>
      <c r="O547">
        <f t="shared" si="60"/>
        <v>53</v>
      </c>
      <c r="P547" t="s">
        <v>98</v>
      </c>
      <c r="Q547" t="str">
        <f t="shared" si="61"/>
        <v>USA</v>
      </c>
      <c r="R547">
        <v>2022</v>
      </c>
      <c r="S547">
        <v>6</v>
      </c>
      <c r="T547">
        <v>20</v>
      </c>
      <c r="U547">
        <v>21</v>
      </c>
      <c r="Y547" s="4">
        <f t="shared" si="62"/>
        <v>21</v>
      </c>
    </row>
    <row r="548" spans="1:25" ht="18" x14ac:dyDescent="0.25">
      <c r="A548" t="s">
        <v>1904</v>
      </c>
      <c r="B548" t="s">
        <v>1713</v>
      </c>
      <c r="C548" s="12" t="str">
        <f t="shared" si="56"/>
        <v>Positive</v>
      </c>
      <c r="D548" s="18">
        <f t="shared" si="57"/>
        <v>1</v>
      </c>
      <c r="E548" s="1">
        <v>42470.770833333336</v>
      </c>
      <c r="F548" s="10">
        <f>INT(E548)</f>
        <v>42470</v>
      </c>
      <c r="G548" s="15">
        <f>MOD(E548,2)</f>
        <v>0.77083333333575865</v>
      </c>
      <c r="H548" s="15" t="str">
        <f t="shared" si="58"/>
        <v>18:30</v>
      </c>
      <c r="I548" t="s">
        <v>1905</v>
      </c>
      <c r="J548" t="s">
        <v>26</v>
      </c>
      <c r="K548" t="str">
        <f t="shared" si="59"/>
        <v>Instagram</v>
      </c>
      <c r="L548" t="s">
        <v>1906</v>
      </c>
      <c r="M548">
        <v>22</v>
      </c>
      <c r="N548">
        <v>45</v>
      </c>
      <c r="O548">
        <f t="shared" si="60"/>
        <v>67</v>
      </c>
      <c r="P548" t="s">
        <v>1907</v>
      </c>
      <c r="Q548" t="str">
        <f t="shared" si="61"/>
        <v>Scotland</v>
      </c>
      <c r="R548">
        <v>2016</v>
      </c>
      <c r="S548">
        <v>4</v>
      </c>
      <c r="T548">
        <v>10</v>
      </c>
      <c r="U548">
        <v>18</v>
      </c>
      <c r="Y548" s="4">
        <f t="shared" si="62"/>
        <v>18</v>
      </c>
    </row>
    <row r="549" spans="1:25" ht="18" x14ac:dyDescent="0.25">
      <c r="A549" t="s">
        <v>1908</v>
      </c>
      <c r="B549" t="s">
        <v>1690</v>
      </c>
      <c r="C549" s="12" t="str">
        <f t="shared" si="56"/>
        <v>Positive</v>
      </c>
      <c r="D549" s="18">
        <f t="shared" si="57"/>
        <v>1</v>
      </c>
      <c r="E549" s="1">
        <v>43793.822916666664</v>
      </c>
      <c r="F549" s="10">
        <f>INT(E549)</f>
        <v>43793</v>
      </c>
      <c r="G549" s="15">
        <f>MOD(E549,2)</f>
        <v>1.8229166666642413</v>
      </c>
      <c r="H549" s="15" t="str">
        <f t="shared" si="58"/>
        <v>19:45</v>
      </c>
      <c r="I549" t="s">
        <v>1909</v>
      </c>
      <c r="J549" t="s">
        <v>874</v>
      </c>
      <c r="K549" t="str">
        <f t="shared" si="59"/>
        <v>Twitter</v>
      </c>
      <c r="L549" t="s">
        <v>1910</v>
      </c>
      <c r="M549">
        <v>28</v>
      </c>
      <c r="N549">
        <v>55</v>
      </c>
      <c r="O549">
        <f t="shared" si="60"/>
        <v>83</v>
      </c>
      <c r="P549" t="s">
        <v>1535</v>
      </c>
      <c r="Q549" t="str">
        <f t="shared" si="61"/>
        <v>Germany</v>
      </c>
      <c r="R549">
        <v>2019</v>
      </c>
      <c r="S549">
        <v>11</v>
      </c>
      <c r="T549">
        <v>24</v>
      </c>
      <c r="U549">
        <v>19</v>
      </c>
      <c r="Y549" s="4">
        <f t="shared" si="62"/>
        <v>19</v>
      </c>
    </row>
    <row r="550" spans="1:25" ht="18" x14ac:dyDescent="0.25">
      <c r="A550" t="s">
        <v>1911</v>
      </c>
      <c r="B550" t="s">
        <v>1093</v>
      </c>
      <c r="C550" s="12" t="str">
        <f t="shared" si="56"/>
        <v>Positive</v>
      </c>
      <c r="D550" s="18">
        <f t="shared" si="57"/>
        <v>1</v>
      </c>
      <c r="E550" s="1">
        <v>42275.9375</v>
      </c>
      <c r="F550" s="10">
        <f>INT(E550)</f>
        <v>42275</v>
      </c>
      <c r="G550" s="15">
        <f>MOD(E550,2)</f>
        <v>1.9375</v>
      </c>
      <c r="H550" s="15" t="str">
        <f t="shared" si="58"/>
        <v>22:30</v>
      </c>
      <c r="I550" t="s">
        <v>1912</v>
      </c>
      <c r="J550" t="s">
        <v>31</v>
      </c>
      <c r="K550" t="str">
        <f t="shared" si="59"/>
        <v>Facebook</v>
      </c>
      <c r="L550" t="s">
        <v>1913</v>
      </c>
      <c r="M550">
        <v>35</v>
      </c>
      <c r="N550">
        <v>70</v>
      </c>
      <c r="O550">
        <f t="shared" si="60"/>
        <v>105</v>
      </c>
      <c r="P550" t="s">
        <v>1552</v>
      </c>
      <c r="Q550" t="str">
        <f t="shared" si="61"/>
        <v>Italy</v>
      </c>
      <c r="R550">
        <v>2015</v>
      </c>
      <c r="S550">
        <v>9</v>
      </c>
      <c r="T550">
        <v>28</v>
      </c>
      <c r="U550">
        <v>22</v>
      </c>
      <c r="Y550" s="4">
        <f t="shared" si="62"/>
        <v>22</v>
      </c>
    </row>
    <row r="551" spans="1:25" ht="18" x14ac:dyDescent="0.25">
      <c r="A551" t="s">
        <v>1914</v>
      </c>
      <c r="B551" t="s">
        <v>1915</v>
      </c>
      <c r="C551" s="12" t="str">
        <f t="shared" si="56"/>
        <v>Positive</v>
      </c>
      <c r="D551" s="18">
        <f t="shared" si="57"/>
        <v>1</v>
      </c>
      <c r="E551" s="1">
        <v>44177.833333333336</v>
      </c>
      <c r="F551" s="10">
        <f>INT(E551)</f>
        <v>44177</v>
      </c>
      <c r="G551" s="15">
        <f>MOD(E551,2)</f>
        <v>1.8333333333357587</v>
      </c>
      <c r="H551" s="15" t="str">
        <f t="shared" si="58"/>
        <v>20:00</v>
      </c>
      <c r="I551" t="s">
        <v>1916</v>
      </c>
      <c r="J551" t="s">
        <v>26</v>
      </c>
      <c r="K551" t="str">
        <f t="shared" si="59"/>
        <v>Instagram</v>
      </c>
      <c r="L551" t="s">
        <v>1917</v>
      </c>
      <c r="M551">
        <v>22</v>
      </c>
      <c r="N551">
        <v>45</v>
      </c>
      <c r="O551">
        <f t="shared" si="60"/>
        <v>67</v>
      </c>
      <c r="P551" t="s">
        <v>123</v>
      </c>
      <c r="Q551" t="str">
        <f t="shared" si="61"/>
        <v>Canada</v>
      </c>
      <c r="R551">
        <v>2020</v>
      </c>
      <c r="S551">
        <v>12</v>
      </c>
      <c r="T551">
        <v>12</v>
      </c>
      <c r="U551">
        <v>20</v>
      </c>
      <c r="Y551" s="4">
        <f t="shared" si="62"/>
        <v>20</v>
      </c>
    </row>
    <row r="552" spans="1:25" ht="18" x14ac:dyDescent="0.25">
      <c r="A552" t="s">
        <v>1918</v>
      </c>
      <c r="B552" t="s">
        <v>1473</v>
      </c>
      <c r="C552" s="12" t="str">
        <f t="shared" si="56"/>
        <v>Negative</v>
      </c>
      <c r="D552" s="18">
        <f t="shared" si="57"/>
        <v>-1</v>
      </c>
      <c r="E552" s="1">
        <v>43771.78125</v>
      </c>
      <c r="F552" s="10">
        <f>INT(E552)</f>
        <v>43771</v>
      </c>
      <c r="G552" s="15">
        <f>MOD(E552,2)</f>
        <v>1.78125</v>
      </c>
      <c r="H552" s="15" t="str">
        <f t="shared" si="58"/>
        <v>18:45</v>
      </c>
      <c r="I552" t="s">
        <v>1919</v>
      </c>
      <c r="J552" t="s">
        <v>874</v>
      </c>
      <c r="K552" t="str">
        <f t="shared" si="59"/>
        <v>Twitter</v>
      </c>
      <c r="L552" t="s">
        <v>1920</v>
      </c>
      <c r="M552">
        <v>40</v>
      </c>
      <c r="N552">
        <v>80</v>
      </c>
      <c r="O552">
        <f t="shared" si="60"/>
        <v>120</v>
      </c>
      <c r="P552" t="s">
        <v>1539</v>
      </c>
      <c r="Q552" t="str">
        <f t="shared" si="61"/>
        <v>Brazil</v>
      </c>
      <c r="R552">
        <v>2019</v>
      </c>
      <c r="S552">
        <v>11</v>
      </c>
      <c r="T552">
        <v>2</v>
      </c>
      <c r="U552">
        <v>18</v>
      </c>
      <c r="Y552" s="4">
        <f t="shared" si="62"/>
        <v>18</v>
      </c>
    </row>
    <row r="553" spans="1:25" ht="18" x14ac:dyDescent="0.25">
      <c r="A553" t="s">
        <v>1921</v>
      </c>
      <c r="B553" t="s">
        <v>660</v>
      </c>
      <c r="C553" s="12" t="str">
        <f t="shared" si="56"/>
        <v>Negative</v>
      </c>
      <c r="D553" s="18">
        <f t="shared" si="57"/>
        <v>-1</v>
      </c>
      <c r="E553" s="1">
        <v>43291.885416666664</v>
      </c>
      <c r="F553" s="10">
        <f>INT(E553)</f>
        <v>43291</v>
      </c>
      <c r="G553" s="15">
        <f>MOD(E553,2)</f>
        <v>1.8854166666642413</v>
      </c>
      <c r="H553" s="15" t="str">
        <f t="shared" si="58"/>
        <v>21:15</v>
      </c>
      <c r="I553" t="s">
        <v>1922</v>
      </c>
      <c r="J553" t="s">
        <v>26</v>
      </c>
      <c r="K553" t="str">
        <f t="shared" si="59"/>
        <v>Instagram</v>
      </c>
      <c r="L553" t="s">
        <v>1923</v>
      </c>
      <c r="M553">
        <v>35</v>
      </c>
      <c r="N553">
        <v>70</v>
      </c>
      <c r="O553">
        <f t="shared" si="60"/>
        <v>105</v>
      </c>
      <c r="P553" t="s">
        <v>98</v>
      </c>
      <c r="Q553" t="str">
        <f t="shared" si="61"/>
        <v>USA</v>
      </c>
      <c r="R553">
        <v>2018</v>
      </c>
      <c r="S553">
        <v>7</v>
      </c>
      <c r="T553">
        <v>10</v>
      </c>
      <c r="U553">
        <v>21</v>
      </c>
      <c r="Y553" s="4">
        <f t="shared" si="62"/>
        <v>21</v>
      </c>
    </row>
    <row r="554" spans="1:25" ht="18" x14ac:dyDescent="0.25">
      <c r="A554" t="s">
        <v>1924</v>
      </c>
      <c r="B554" t="s">
        <v>1694</v>
      </c>
      <c r="C554" s="12" t="str">
        <f t="shared" si="56"/>
        <v>Neutral</v>
      </c>
      <c r="D554" s="18">
        <f t="shared" si="57"/>
        <v>0</v>
      </c>
      <c r="E554" s="1">
        <v>44092.8125</v>
      </c>
      <c r="F554" s="10">
        <f>INT(E554)</f>
        <v>44092</v>
      </c>
      <c r="G554" s="15">
        <f>MOD(E554,2)</f>
        <v>0.8125</v>
      </c>
      <c r="H554" s="15" t="str">
        <f t="shared" si="58"/>
        <v>19:30</v>
      </c>
      <c r="I554" t="s">
        <v>1925</v>
      </c>
      <c r="J554" t="s">
        <v>31</v>
      </c>
      <c r="K554" t="str">
        <f t="shared" si="59"/>
        <v>Facebook</v>
      </c>
      <c r="L554" t="s">
        <v>1926</v>
      </c>
      <c r="M554">
        <v>30</v>
      </c>
      <c r="N554">
        <v>60</v>
      </c>
      <c r="O554">
        <f t="shared" si="60"/>
        <v>90</v>
      </c>
      <c r="P554" t="s">
        <v>109</v>
      </c>
      <c r="Q554" t="str">
        <f t="shared" si="61"/>
        <v>UK</v>
      </c>
      <c r="R554">
        <v>2020</v>
      </c>
      <c r="S554">
        <v>9</v>
      </c>
      <c r="T554">
        <v>18</v>
      </c>
      <c r="U554">
        <v>19</v>
      </c>
      <c r="Y554" s="4">
        <f t="shared" si="62"/>
        <v>19</v>
      </c>
    </row>
    <row r="555" spans="1:25" ht="18" x14ac:dyDescent="0.25">
      <c r="A555" t="s">
        <v>1927</v>
      </c>
      <c r="B555" t="s">
        <v>1928</v>
      </c>
      <c r="C555" s="12" t="str">
        <f t="shared" si="56"/>
        <v>Negative</v>
      </c>
      <c r="D555" s="18">
        <f t="shared" si="57"/>
        <v>-1</v>
      </c>
      <c r="E555" s="1">
        <v>42870.916666666664</v>
      </c>
      <c r="F555" s="10">
        <f>INT(E555)</f>
        <v>42870</v>
      </c>
      <c r="G555" s="15">
        <f>MOD(E555,2)</f>
        <v>0.91666666666424135</v>
      </c>
      <c r="H555" s="15" t="str">
        <f t="shared" si="58"/>
        <v>22:00</v>
      </c>
      <c r="I555" t="s">
        <v>1929</v>
      </c>
      <c r="J555" t="s">
        <v>874</v>
      </c>
      <c r="K555" t="str">
        <f t="shared" si="59"/>
        <v>Twitter</v>
      </c>
      <c r="L555" t="s">
        <v>1930</v>
      </c>
      <c r="M555">
        <v>22</v>
      </c>
      <c r="N555">
        <v>45</v>
      </c>
      <c r="O555">
        <f t="shared" si="60"/>
        <v>67</v>
      </c>
      <c r="P555" t="s">
        <v>1544</v>
      </c>
      <c r="Q555" t="str">
        <f t="shared" si="61"/>
        <v>France</v>
      </c>
      <c r="R555">
        <v>2017</v>
      </c>
      <c r="S555">
        <v>5</v>
      </c>
      <c r="T555">
        <v>15</v>
      </c>
      <c r="U555">
        <v>22</v>
      </c>
      <c r="Y555" s="4">
        <f t="shared" si="62"/>
        <v>22</v>
      </c>
    </row>
    <row r="556" spans="1:25" ht="18" x14ac:dyDescent="0.25">
      <c r="A556" t="s">
        <v>1931</v>
      </c>
      <c r="B556" t="s">
        <v>1932</v>
      </c>
      <c r="C556" s="12" t="str">
        <f t="shared" si="56"/>
        <v>Neutral</v>
      </c>
      <c r="D556" s="18">
        <f t="shared" si="57"/>
        <v>0</v>
      </c>
      <c r="E556" s="1">
        <v>44291.84375</v>
      </c>
      <c r="F556" s="10">
        <f>INT(E556)</f>
        <v>44291</v>
      </c>
      <c r="G556" s="15">
        <f>MOD(E556,2)</f>
        <v>1.84375</v>
      </c>
      <c r="H556" s="15" t="str">
        <f t="shared" si="58"/>
        <v>20:15</v>
      </c>
      <c r="I556" t="s">
        <v>1933</v>
      </c>
      <c r="J556" t="s">
        <v>26</v>
      </c>
      <c r="K556" t="str">
        <f t="shared" si="59"/>
        <v>Instagram</v>
      </c>
      <c r="L556" t="s">
        <v>1934</v>
      </c>
      <c r="M556">
        <v>28</v>
      </c>
      <c r="N556">
        <v>55</v>
      </c>
      <c r="O556">
        <f t="shared" si="60"/>
        <v>83</v>
      </c>
      <c r="P556" t="s">
        <v>1557</v>
      </c>
      <c r="Q556" t="str">
        <f t="shared" si="61"/>
        <v>Japan</v>
      </c>
      <c r="R556">
        <v>2021</v>
      </c>
      <c r="S556">
        <v>4</v>
      </c>
      <c r="T556">
        <v>5</v>
      </c>
      <c r="U556">
        <v>20</v>
      </c>
      <c r="Y556" s="4">
        <f t="shared" si="62"/>
        <v>20</v>
      </c>
    </row>
    <row r="557" spans="1:25" ht="18" x14ac:dyDescent="0.25">
      <c r="A557" t="s">
        <v>1935</v>
      </c>
      <c r="B557" t="s">
        <v>1936</v>
      </c>
      <c r="C557" s="12" t="str">
        <f t="shared" si="56"/>
        <v>Negative</v>
      </c>
      <c r="D557" s="18">
        <f t="shared" si="57"/>
        <v>-1</v>
      </c>
      <c r="E557" s="1">
        <v>42602.770833333336</v>
      </c>
      <c r="F557" s="10">
        <f>INT(E557)</f>
        <v>42602</v>
      </c>
      <c r="G557" s="15">
        <f>MOD(E557,2)</f>
        <v>0.77083333333575865</v>
      </c>
      <c r="H557" s="15" t="str">
        <f t="shared" si="58"/>
        <v>18:30</v>
      </c>
      <c r="I557" t="s">
        <v>1937</v>
      </c>
      <c r="J557" t="s">
        <v>31</v>
      </c>
      <c r="K557" t="str">
        <f t="shared" si="59"/>
        <v>Facebook</v>
      </c>
      <c r="L557" t="s">
        <v>1938</v>
      </c>
      <c r="M557">
        <v>18</v>
      </c>
      <c r="N557">
        <v>35</v>
      </c>
      <c r="O557">
        <f t="shared" si="60"/>
        <v>53</v>
      </c>
      <c r="P557" t="s">
        <v>98</v>
      </c>
      <c r="Q557" t="str">
        <f t="shared" si="61"/>
        <v>USA</v>
      </c>
      <c r="R557">
        <v>2016</v>
      </c>
      <c r="S557">
        <v>8</v>
      </c>
      <c r="T557">
        <v>20</v>
      </c>
      <c r="U557">
        <v>18</v>
      </c>
      <c r="Y557" s="4">
        <f t="shared" si="62"/>
        <v>18</v>
      </c>
    </row>
    <row r="558" spans="1:25" ht="18" x14ac:dyDescent="0.25">
      <c r="A558" t="s">
        <v>1939</v>
      </c>
      <c r="B558" t="s">
        <v>1940</v>
      </c>
      <c r="C558" s="12" t="str">
        <f t="shared" si="56"/>
        <v>Neutral</v>
      </c>
      <c r="D558" s="18">
        <f t="shared" si="57"/>
        <v>0</v>
      </c>
      <c r="E558" s="1">
        <v>43508.822916666664</v>
      </c>
      <c r="F558" s="10">
        <f>INT(E558)</f>
        <v>43508</v>
      </c>
      <c r="G558" s="15">
        <f>MOD(E558,2)</f>
        <v>0.82291666666424135</v>
      </c>
      <c r="H558" s="15" t="str">
        <f t="shared" si="58"/>
        <v>19:45</v>
      </c>
      <c r="I558" t="s">
        <v>1941</v>
      </c>
      <c r="J558" t="s">
        <v>874</v>
      </c>
      <c r="K558" t="str">
        <f t="shared" si="59"/>
        <v>Twitter</v>
      </c>
      <c r="L558" t="s">
        <v>1942</v>
      </c>
      <c r="M558">
        <v>22</v>
      </c>
      <c r="N558">
        <v>45</v>
      </c>
      <c r="O558">
        <f t="shared" si="60"/>
        <v>67</v>
      </c>
      <c r="P558" t="s">
        <v>123</v>
      </c>
      <c r="Q558" t="str">
        <f t="shared" si="61"/>
        <v>Canada</v>
      </c>
      <c r="R558">
        <v>2019</v>
      </c>
      <c r="S558">
        <v>2</v>
      </c>
      <c r="T558">
        <v>12</v>
      </c>
      <c r="U558">
        <v>19</v>
      </c>
      <c r="Y558" s="4">
        <f t="shared" si="62"/>
        <v>19</v>
      </c>
    </row>
    <row r="559" spans="1:25" ht="18" x14ac:dyDescent="0.25">
      <c r="A559" t="s">
        <v>1943</v>
      </c>
      <c r="B559" t="s">
        <v>1944</v>
      </c>
      <c r="C559" s="12" t="str">
        <f t="shared" si="56"/>
        <v>Negative</v>
      </c>
      <c r="D559" s="18">
        <f t="shared" si="57"/>
        <v>-1</v>
      </c>
      <c r="E559" s="1">
        <v>42183.833333333336</v>
      </c>
      <c r="F559" s="10">
        <f>INT(E559)</f>
        <v>42183</v>
      </c>
      <c r="G559" s="15">
        <f>MOD(E559,2)</f>
        <v>1.8333333333357587</v>
      </c>
      <c r="H559" s="15" t="str">
        <f t="shared" si="58"/>
        <v>20:00</v>
      </c>
      <c r="I559" t="s">
        <v>1945</v>
      </c>
      <c r="J559" t="s">
        <v>26</v>
      </c>
      <c r="K559" t="str">
        <f t="shared" si="59"/>
        <v>Instagram</v>
      </c>
      <c r="L559" t="s">
        <v>1946</v>
      </c>
      <c r="M559">
        <v>28</v>
      </c>
      <c r="N559">
        <v>55</v>
      </c>
      <c r="O559">
        <f t="shared" si="60"/>
        <v>83</v>
      </c>
      <c r="P559" t="s">
        <v>38</v>
      </c>
      <c r="Q559" t="str">
        <f t="shared" si="61"/>
        <v>Australia</v>
      </c>
      <c r="R559">
        <v>2015</v>
      </c>
      <c r="S559">
        <v>6</v>
      </c>
      <c r="T559">
        <v>28</v>
      </c>
      <c r="U559">
        <v>20</v>
      </c>
      <c r="Y559" s="4">
        <f t="shared" si="62"/>
        <v>20</v>
      </c>
    </row>
    <row r="560" spans="1:25" ht="18" x14ac:dyDescent="0.25">
      <c r="A560" t="s">
        <v>1947</v>
      </c>
      <c r="B560" t="s">
        <v>1948</v>
      </c>
      <c r="C560" s="12" t="str">
        <f t="shared" si="56"/>
        <v>Negative</v>
      </c>
      <c r="D560" s="18">
        <f t="shared" si="57"/>
        <v>-1</v>
      </c>
      <c r="E560" s="1">
        <v>44569.895833333336</v>
      </c>
      <c r="F560" s="10">
        <f>INT(E560)</f>
        <v>44569</v>
      </c>
      <c r="G560" s="15">
        <f>MOD(E560,2)</f>
        <v>1.8958333333357587</v>
      </c>
      <c r="H560" s="15" t="str">
        <f t="shared" si="58"/>
        <v>21:30</v>
      </c>
      <c r="I560" t="s">
        <v>1949</v>
      </c>
      <c r="J560" t="s">
        <v>31</v>
      </c>
      <c r="K560" t="str">
        <f t="shared" si="59"/>
        <v>Facebook</v>
      </c>
      <c r="L560" t="s">
        <v>1950</v>
      </c>
      <c r="M560">
        <v>35</v>
      </c>
      <c r="N560">
        <v>70</v>
      </c>
      <c r="O560">
        <f t="shared" si="60"/>
        <v>105</v>
      </c>
      <c r="P560" t="s">
        <v>1535</v>
      </c>
      <c r="Q560" t="str">
        <f t="shared" si="61"/>
        <v>Germany</v>
      </c>
      <c r="R560">
        <v>2022</v>
      </c>
      <c r="S560">
        <v>1</v>
      </c>
      <c r="T560">
        <v>8</v>
      </c>
      <c r="U560">
        <v>21</v>
      </c>
      <c r="Y560" s="4">
        <f t="shared" si="62"/>
        <v>21</v>
      </c>
    </row>
    <row r="561" spans="1:25" ht="18" x14ac:dyDescent="0.25">
      <c r="A561" t="s">
        <v>1951</v>
      </c>
      <c r="B561" t="s">
        <v>980</v>
      </c>
      <c r="C561" s="12" t="str">
        <f t="shared" si="56"/>
        <v>Negative</v>
      </c>
      <c r="D561" s="18">
        <f t="shared" si="57"/>
        <v>-1</v>
      </c>
      <c r="E561" s="1">
        <v>43449.84375</v>
      </c>
      <c r="F561" s="10">
        <f>INT(E561)</f>
        <v>43449</v>
      </c>
      <c r="G561" s="15">
        <f>MOD(E561,2)</f>
        <v>1.84375</v>
      </c>
      <c r="H561" s="15" t="str">
        <f t="shared" si="58"/>
        <v>20:15</v>
      </c>
      <c r="I561" t="s">
        <v>1952</v>
      </c>
      <c r="J561" t="s">
        <v>874</v>
      </c>
      <c r="K561" t="str">
        <f t="shared" si="59"/>
        <v>Twitter</v>
      </c>
      <c r="L561" t="s">
        <v>1953</v>
      </c>
      <c r="M561">
        <v>22</v>
      </c>
      <c r="N561">
        <v>45</v>
      </c>
      <c r="O561">
        <f t="shared" si="60"/>
        <v>67</v>
      </c>
      <c r="P561" t="s">
        <v>1564</v>
      </c>
      <c r="Q561" t="str">
        <f t="shared" si="61"/>
        <v>Spain</v>
      </c>
      <c r="R561">
        <v>2018</v>
      </c>
      <c r="S561">
        <v>12</v>
      </c>
      <c r="T561">
        <v>15</v>
      </c>
      <c r="U561">
        <v>20</v>
      </c>
      <c r="Y561" s="4">
        <f t="shared" si="62"/>
        <v>20</v>
      </c>
    </row>
    <row r="562" spans="1:25" ht="18" x14ac:dyDescent="0.25">
      <c r="A562" t="s">
        <v>1954</v>
      </c>
      <c r="B562" t="s">
        <v>1764</v>
      </c>
      <c r="C562" s="12" t="str">
        <f t="shared" si="56"/>
        <v>Positive</v>
      </c>
      <c r="D562" s="18">
        <f t="shared" si="57"/>
        <v>1</v>
      </c>
      <c r="E562" s="1">
        <v>44387.791666666664</v>
      </c>
      <c r="F562" s="10">
        <f>INT(E562)</f>
        <v>44387</v>
      </c>
      <c r="G562" s="15">
        <f>MOD(E562,2)</f>
        <v>1.7916666666642413</v>
      </c>
      <c r="H562" s="15" t="str">
        <f t="shared" si="58"/>
        <v>19:00</v>
      </c>
      <c r="I562" t="s">
        <v>1955</v>
      </c>
      <c r="J562" t="s">
        <v>26</v>
      </c>
      <c r="K562" t="str">
        <f t="shared" si="59"/>
        <v>Instagram</v>
      </c>
      <c r="L562" t="s">
        <v>1956</v>
      </c>
      <c r="M562">
        <v>40</v>
      </c>
      <c r="N562">
        <v>80</v>
      </c>
      <c r="O562">
        <f t="shared" si="60"/>
        <v>120</v>
      </c>
      <c r="P562" t="s">
        <v>123</v>
      </c>
      <c r="Q562" t="str">
        <f t="shared" si="61"/>
        <v>Canada</v>
      </c>
      <c r="R562">
        <v>2021</v>
      </c>
      <c r="S562">
        <v>7</v>
      </c>
      <c r="T562">
        <v>10</v>
      </c>
      <c r="U562">
        <v>19</v>
      </c>
      <c r="Y562" s="4">
        <f t="shared" si="62"/>
        <v>19</v>
      </c>
    </row>
    <row r="563" spans="1:25" ht="18" x14ac:dyDescent="0.25">
      <c r="A563" t="s">
        <v>1957</v>
      </c>
      <c r="B563" t="s">
        <v>1322</v>
      </c>
      <c r="C563" s="12" t="str">
        <f t="shared" si="56"/>
        <v>Positive</v>
      </c>
      <c r="D563" s="18">
        <f t="shared" si="57"/>
        <v>1</v>
      </c>
      <c r="E563" s="1">
        <v>43736.854166666664</v>
      </c>
      <c r="F563" s="10">
        <f>INT(E563)</f>
        <v>43736</v>
      </c>
      <c r="G563" s="15">
        <f>MOD(E563,2)</f>
        <v>0.85416666666424135</v>
      </c>
      <c r="H563" s="15" t="str">
        <f t="shared" si="58"/>
        <v>20:30</v>
      </c>
      <c r="I563" t="s">
        <v>1958</v>
      </c>
      <c r="J563" t="s">
        <v>874</v>
      </c>
      <c r="K563" t="str">
        <f t="shared" si="59"/>
        <v>Twitter</v>
      </c>
      <c r="L563" t="s">
        <v>1959</v>
      </c>
      <c r="M563">
        <v>35</v>
      </c>
      <c r="N563">
        <v>70</v>
      </c>
      <c r="O563">
        <f t="shared" si="60"/>
        <v>105</v>
      </c>
      <c r="P563" t="s">
        <v>98</v>
      </c>
      <c r="Q563" t="str">
        <f t="shared" si="61"/>
        <v>USA</v>
      </c>
      <c r="R563">
        <v>2019</v>
      </c>
      <c r="S563">
        <v>9</v>
      </c>
      <c r="T563">
        <v>28</v>
      </c>
      <c r="U563">
        <v>20</v>
      </c>
      <c r="Y563" s="4">
        <f t="shared" si="62"/>
        <v>20</v>
      </c>
    </row>
    <row r="564" spans="1:25" ht="18" x14ac:dyDescent="0.25">
      <c r="A564" t="s">
        <v>1960</v>
      </c>
      <c r="B564" t="s">
        <v>1961</v>
      </c>
      <c r="C564" s="12" t="str">
        <f t="shared" si="56"/>
        <v>Positive</v>
      </c>
      <c r="D564" s="18">
        <f t="shared" si="57"/>
        <v>1</v>
      </c>
      <c r="E564" s="1">
        <v>44635.78125</v>
      </c>
      <c r="F564" s="10">
        <f>INT(E564)</f>
        <v>44635</v>
      </c>
      <c r="G564" s="15">
        <f>MOD(E564,2)</f>
        <v>1.78125</v>
      </c>
      <c r="H564" s="15" t="str">
        <f t="shared" si="58"/>
        <v>18:45</v>
      </c>
      <c r="I564" t="s">
        <v>1962</v>
      </c>
      <c r="J564" t="s">
        <v>31</v>
      </c>
      <c r="K564" t="str">
        <f t="shared" si="59"/>
        <v>Facebook</v>
      </c>
      <c r="L564" t="s">
        <v>1963</v>
      </c>
      <c r="M564">
        <v>30</v>
      </c>
      <c r="N564">
        <v>60</v>
      </c>
      <c r="O564">
        <f t="shared" si="60"/>
        <v>90</v>
      </c>
      <c r="P564" t="s">
        <v>1544</v>
      </c>
      <c r="Q564" t="str">
        <f t="shared" si="61"/>
        <v>France</v>
      </c>
      <c r="R564">
        <v>2022</v>
      </c>
      <c r="S564">
        <v>3</v>
      </c>
      <c r="T564">
        <v>15</v>
      </c>
      <c r="U564">
        <v>18</v>
      </c>
      <c r="Y564" s="4">
        <f t="shared" si="62"/>
        <v>18</v>
      </c>
    </row>
    <row r="565" spans="1:25" ht="18" x14ac:dyDescent="0.25">
      <c r="A565" t="s">
        <v>1964</v>
      </c>
      <c r="B565" t="s">
        <v>1812</v>
      </c>
      <c r="C565" s="12" t="str">
        <f t="shared" si="56"/>
        <v>Positive</v>
      </c>
      <c r="D565" s="18">
        <f t="shared" si="57"/>
        <v>1</v>
      </c>
      <c r="E565" s="1">
        <v>43044.885416666664</v>
      </c>
      <c r="F565" s="10">
        <f>INT(E565)</f>
        <v>43044</v>
      </c>
      <c r="G565" s="15">
        <f>MOD(E565,2)</f>
        <v>0.88541666666424135</v>
      </c>
      <c r="H565" s="15" t="str">
        <f t="shared" si="58"/>
        <v>21:15</v>
      </c>
      <c r="I565" t="s">
        <v>1965</v>
      </c>
      <c r="J565" t="s">
        <v>26</v>
      </c>
      <c r="K565" t="str">
        <f t="shared" si="59"/>
        <v>Instagram</v>
      </c>
      <c r="L565" t="s">
        <v>1966</v>
      </c>
      <c r="M565">
        <v>22</v>
      </c>
      <c r="N565">
        <v>45</v>
      </c>
      <c r="O565">
        <f t="shared" si="60"/>
        <v>67</v>
      </c>
      <c r="P565" t="s">
        <v>1539</v>
      </c>
      <c r="Q565" t="str">
        <f t="shared" si="61"/>
        <v>Brazil</v>
      </c>
      <c r="R565">
        <v>2017</v>
      </c>
      <c r="S565">
        <v>11</v>
      </c>
      <c r="T565">
        <v>5</v>
      </c>
      <c r="U565">
        <v>21</v>
      </c>
      <c r="Y565" s="4">
        <f t="shared" si="62"/>
        <v>21</v>
      </c>
    </row>
    <row r="566" spans="1:25" ht="18" x14ac:dyDescent="0.25">
      <c r="A566" t="s">
        <v>1967</v>
      </c>
      <c r="B566" t="s">
        <v>1968</v>
      </c>
      <c r="C566" s="12" t="str">
        <f t="shared" si="56"/>
        <v>Positive</v>
      </c>
      <c r="D566" s="18">
        <f t="shared" si="57"/>
        <v>1</v>
      </c>
      <c r="E566" s="1">
        <v>43971.6875</v>
      </c>
      <c r="F566" s="10">
        <f>INT(E566)</f>
        <v>43971</v>
      </c>
      <c r="G566" s="15">
        <f>MOD(E566,2)</f>
        <v>1.6875</v>
      </c>
      <c r="H566" s="15" t="str">
        <f t="shared" si="58"/>
        <v>16:30</v>
      </c>
      <c r="I566" t="s">
        <v>1969</v>
      </c>
      <c r="J566" t="s">
        <v>874</v>
      </c>
      <c r="K566" t="str">
        <f t="shared" si="59"/>
        <v>Twitter</v>
      </c>
      <c r="L566" t="s">
        <v>1970</v>
      </c>
      <c r="M566">
        <v>28</v>
      </c>
      <c r="N566">
        <v>55</v>
      </c>
      <c r="O566">
        <f t="shared" si="60"/>
        <v>83</v>
      </c>
      <c r="P566" t="s">
        <v>1535</v>
      </c>
      <c r="Q566" t="str">
        <f t="shared" si="61"/>
        <v>Germany</v>
      </c>
      <c r="R566">
        <v>2020</v>
      </c>
      <c r="S566">
        <v>5</v>
      </c>
      <c r="T566">
        <v>20</v>
      </c>
      <c r="U566">
        <v>16</v>
      </c>
      <c r="Y566" s="4">
        <f t="shared" si="62"/>
        <v>16</v>
      </c>
    </row>
    <row r="567" spans="1:25" ht="18" x14ac:dyDescent="0.25">
      <c r="A567" t="s">
        <v>1971</v>
      </c>
      <c r="B567" t="s">
        <v>1972</v>
      </c>
      <c r="C567" s="12" t="str">
        <f t="shared" si="56"/>
        <v>Positive</v>
      </c>
      <c r="D567" s="18">
        <f t="shared" si="57"/>
        <v>1</v>
      </c>
      <c r="E567" s="1">
        <v>42604.822916666664</v>
      </c>
      <c r="F567" s="10">
        <f>INT(E567)</f>
        <v>42604</v>
      </c>
      <c r="G567" s="15">
        <f>MOD(E567,2)</f>
        <v>0.82291666666424135</v>
      </c>
      <c r="H567" s="15" t="str">
        <f t="shared" si="58"/>
        <v>19:45</v>
      </c>
      <c r="I567" t="s">
        <v>1973</v>
      </c>
      <c r="J567" t="s">
        <v>31</v>
      </c>
      <c r="K567" t="str">
        <f t="shared" si="59"/>
        <v>Facebook</v>
      </c>
      <c r="L567" t="s">
        <v>1974</v>
      </c>
      <c r="M567">
        <v>18</v>
      </c>
      <c r="N567">
        <v>35</v>
      </c>
      <c r="O567">
        <f t="shared" si="60"/>
        <v>53</v>
      </c>
      <c r="P567" t="s">
        <v>109</v>
      </c>
      <c r="Q567" t="str">
        <f t="shared" si="61"/>
        <v>UK</v>
      </c>
      <c r="R567">
        <v>2016</v>
      </c>
      <c r="S567">
        <v>8</v>
      </c>
      <c r="T567">
        <v>22</v>
      </c>
      <c r="U567">
        <v>19</v>
      </c>
      <c r="Y567" s="4">
        <f t="shared" si="62"/>
        <v>19</v>
      </c>
    </row>
    <row r="568" spans="1:25" ht="18" x14ac:dyDescent="0.25">
      <c r="A568" t="s">
        <v>1975</v>
      </c>
      <c r="B568" t="s">
        <v>1976</v>
      </c>
      <c r="C568" s="12" t="str">
        <f t="shared" si="56"/>
        <v>Positive</v>
      </c>
      <c r="D568" s="18">
        <f t="shared" si="57"/>
        <v>1</v>
      </c>
      <c r="E568" s="1">
        <v>45026.71875</v>
      </c>
      <c r="F568" s="10">
        <f>INT(E568)</f>
        <v>45026</v>
      </c>
      <c r="G568" s="15">
        <f>MOD(E568,2)</f>
        <v>0.71875</v>
      </c>
      <c r="H568" s="15" t="str">
        <f t="shared" si="58"/>
        <v>17:15</v>
      </c>
      <c r="I568" t="s">
        <v>1977</v>
      </c>
      <c r="J568" t="s">
        <v>26</v>
      </c>
      <c r="K568" t="str">
        <f t="shared" si="59"/>
        <v>Instagram</v>
      </c>
      <c r="L568" t="s">
        <v>1978</v>
      </c>
      <c r="M568">
        <v>22</v>
      </c>
      <c r="N568">
        <v>45</v>
      </c>
      <c r="O568">
        <f t="shared" si="60"/>
        <v>67</v>
      </c>
      <c r="P568" t="s">
        <v>164</v>
      </c>
      <c r="Q568" t="str">
        <f t="shared" si="61"/>
        <v>India</v>
      </c>
      <c r="R568">
        <v>2023</v>
      </c>
      <c r="S568">
        <v>4</v>
      </c>
      <c r="T568">
        <v>10</v>
      </c>
      <c r="U568">
        <v>17</v>
      </c>
      <c r="Y568" s="4">
        <f t="shared" si="62"/>
        <v>17</v>
      </c>
    </row>
    <row r="569" spans="1:25" ht="18" x14ac:dyDescent="0.25">
      <c r="A569" t="s">
        <v>1979</v>
      </c>
      <c r="B569" t="s">
        <v>1980</v>
      </c>
      <c r="C569" s="12" t="str">
        <f t="shared" si="56"/>
        <v>Neutral</v>
      </c>
      <c r="D569" s="18">
        <f t="shared" si="57"/>
        <v>0</v>
      </c>
      <c r="E569" s="1">
        <v>42356.75</v>
      </c>
      <c r="F569" s="10">
        <f>INT(E569)</f>
        <v>42356</v>
      </c>
      <c r="G569" s="15">
        <f>MOD(E569,2)</f>
        <v>0.75</v>
      </c>
      <c r="H569" s="15" t="str">
        <f t="shared" si="58"/>
        <v>18:00</v>
      </c>
      <c r="I569" t="s">
        <v>1981</v>
      </c>
      <c r="J569" t="s">
        <v>874</v>
      </c>
      <c r="K569" t="str">
        <f t="shared" si="59"/>
        <v>Twitter</v>
      </c>
      <c r="L569" t="s">
        <v>1982</v>
      </c>
      <c r="M569">
        <v>28</v>
      </c>
      <c r="N569">
        <v>55</v>
      </c>
      <c r="O569">
        <f t="shared" si="60"/>
        <v>83</v>
      </c>
      <c r="P569" t="s">
        <v>1552</v>
      </c>
      <c r="Q569" t="str">
        <f t="shared" si="61"/>
        <v>Italy</v>
      </c>
      <c r="R569">
        <v>2015</v>
      </c>
      <c r="S569">
        <v>12</v>
      </c>
      <c r="T569">
        <v>18</v>
      </c>
      <c r="U569">
        <v>18</v>
      </c>
      <c r="Y569" s="4">
        <f t="shared" si="62"/>
        <v>18</v>
      </c>
    </row>
    <row r="570" spans="1:25" ht="18" x14ac:dyDescent="0.25">
      <c r="A570" t="s">
        <v>1983</v>
      </c>
      <c r="B570" t="s">
        <v>1984</v>
      </c>
      <c r="C570" s="12" t="str">
        <f t="shared" si="56"/>
        <v>Positive</v>
      </c>
      <c r="D570" s="18">
        <f t="shared" si="57"/>
        <v>1</v>
      </c>
      <c r="E570" s="1">
        <v>44477.854166666664</v>
      </c>
      <c r="F570" s="10">
        <f>INT(E570)</f>
        <v>44477</v>
      </c>
      <c r="G570" s="15">
        <f>MOD(E570,2)</f>
        <v>1.8541666666642413</v>
      </c>
      <c r="H570" s="15" t="str">
        <f t="shared" si="58"/>
        <v>20:30</v>
      </c>
      <c r="I570" t="s">
        <v>1985</v>
      </c>
      <c r="J570" t="s">
        <v>31</v>
      </c>
      <c r="K570" t="str">
        <f t="shared" si="59"/>
        <v>Facebook</v>
      </c>
      <c r="L570" t="s">
        <v>1986</v>
      </c>
      <c r="M570">
        <v>35</v>
      </c>
      <c r="N570">
        <v>70</v>
      </c>
      <c r="O570">
        <f t="shared" si="60"/>
        <v>105</v>
      </c>
      <c r="P570" t="s">
        <v>1557</v>
      </c>
      <c r="Q570" t="str">
        <f t="shared" si="61"/>
        <v>Japan</v>
      </c>
      <c r="R570">
        <v>2021</v>
      </c>
      <c r="S570">
        <v>10</v>
      </c>
      <c r="T570">
        <v>8</v>
      </c>
      <c r="U570">
        <v>20</v>
      </c>
      <c r="Y570" s="4">
        <f t="shared" si="62"/>
        <v>20</v>
      </c>
    </row>
    <row r="571" spans="1:25" ht="18" x14ac:dyDescent="0.25">
      <c r="A571" t="s">
        <v>1987</v>
      </c>
      <c r="B571" t="s">
        <v>1988</v>
      </c>
      <c r="C571" s="12" t="str">
        <f t="shared" si="56"/>
        <v>Positive</v>
      </c>
      <c r="D571" s="18">
        <f t="shared" si="57"/>
        <v>1</v>
      </c>
      <c r="E571" s="1">
        <v>43546.90625</v>
      </c>
      <c r="F571" s="10">
        <f>INT(E571)</f>
        <v>43546</v>
      </c>
      <c r="G571" s="15">
        <f>MOD(E571,2)</f>
        <v>0.90625</v>
      </c>
      <c r="H571" s="15" t="str">
        <f t="shared" si="58"/>
        <v>21:45</v>
      </c>
      <c r="I571" t="s">
        <v>1989</v>
      </c>
      <c r="J571" t="s">
        <v>26</v>
      </c>
      <c r="K571" t="str">
        <f t="shared" si="59"/>
        <v>Instagram</v>
      </c>
      <c r="L571" t="s">
        <v>1990</v>
      </c>
      <c r="M571">
        <v>22</v>
      </c>
      <c r="N571">
        <v>45</v>
      </c>
      <c r="O571">
        <f t="shared" si="60"/>
        <v>67</v>
      </c>
      <c r="P571" t="s">
        <v>38</v>
      </c>
      <c r="Q571" t="str">
        <f t="shared" si="61"/>
        <v>Australia</v>
      </c>
      <c r="R571">
        <v>2019</v>
      </c>
      <c r="S571">
        <v>3</v>
      </c>
      <c r="T571">
        <v>22</v>
      </c>
      <c r="U571">
        <v>21</v>
      </c>
      <c r="Y571" s="4">
        <f t="shared" si="62"/>
        <v>21</v>
      </c>
    </row>
    <row r="572" spans="1:25" ht="18" x14ac:dyDescent="0.25">
      <c r="A572" t="s">
        <v>1991</v>
      </c>
      <c r="B572" t="s">
        <v>1992</v>
      </c>
      <c r="C572" s="12" t="str">
        <f t="shared" si="56"/>
        <v>Positive</v>
      </c>
      <c r="D572" s="18">
        <f t="shared" si="57"/>
        <v>1</v>
      </c>
      <c r="E572" s="1">
        <v>43266.916666666664</v>
      </c>
      <c r="F572" s="10">
        <f>INT(E572)</f>
        <v>43266</v>
      </c>
      <c r="G572" s="15">
        <f>MOD(E572,2)</f>
        <v>0.91666666666424135</v>
      </c>
      <c r="H572" s="15" t="str">
        <f t="shared" si="58"/>
        <v>22:00</v>
      </c>
      <c r="I572" t="s">
        <v>1993</v>
      </c>
      <c r="J572" t="s">
        <v>874</v>
      </c>
      <c r="K572" t="str">
        <f t="shared" si="59"/>
        <v>Twitter</v>
      </c>
      <c r="L572" t="s">
        <v>1994</v>
      </c>
      <c r="M572">
        <v>40</v>
      </c>
      <c r="N572">
        <v>80</v>
      </c>
      <c r="O572">
        <f t="shared" si="60"/>
        <v>120</v>
      </c>
      <c r="P572" t="s">
        <v>98</v>
      </c>
      <c r="Q572" t="str">
        <f t="shared" si="61"/>
        <v>USA</v>
      </c>
      <c r="R572">
        <v>2018</v>
      </c>
      <c r="S572">
        <v>6</v>
      </c>
      <c r="T572">
        <v>15</v>
      </c>
      <c r="U572">
        <v>22</v>
      </c>
      <c r="Y572" s="4">
        <f t="shared" si="62"/>
        <v>22</v>
      </c>
    </row>
    <row r="573" spans="1:25" ht="18" x14ac:dyDescent="0.25">
      <c r="A573" t="s">
        <v>1995</v>
      </c>
      <c r="B573" t="s">
        <v>1996</v>
      </c>
      <c r="C573" s="12" t="str">
        <f t="shared" si="56"/>
        <v>Positive</v>
      </c>
      <c r="D573" s="18">
        <f t="shared" si="57"/>
        <v>1</v>
      </c>
      <c r="E573" s="1">
        <v>43705.8125</v>
      </c>
      <c r="F573" s="10">
        <f>INT(E573)</f>
        <v>43705</v>
      </c>
      <c r="G573" s="15">
        <f>MOD(E573,2)</f>
        <v>1.8125</v>
      </c>
      <c r="H573" s="15" t="str">
        <f t="shared" si="58"/>
        <v>19:30</v>
      </c>
      <c r="I573" t="s">
        <v>1997</v>
      </c>
      <c r="J573" t="s">
        <v>26</v>
      </c>
      <c r="K573" t="str">
        <f t="shared" si="59"/>
        <v>Instagram</v>
      </c>
      <c r="L573" t="s">
        <v>1998</v>
      </c>
      <c r="M573">
        <v>35</v>
      </c>
      <c r="N573">
        <v>70</v>
      </c>
      <c r="O573">
        <f t="shared" si="60"/>
        <v>105</v>
      </c>
      <c r="P573" t="s">
        <v>1999</v>
      </c>
      <c r="Q573" t="str">
        <f t="shared" si="61"/>
        <v>Thailand</v>
      </c>
      <c r="R573">
        <v>2019</v>
      </c>
      <c r="S573">
        <v>8</v>
      </c>
      <c r="T573">
        <v>28</v>
      </c>
      <c r="U573">
        <v>19</v>
      </c>
      <c r="Y573" s="4">
        <f t="shared" si="62"/>
        <v>19</v>
      </c>
    </row>
    <row r="574" spans="1:25" ht="18" x14ac:dyDescent="0.25">
      <c r="A574" t="s">
        <v>2000</v>
      </c>
      <c r="B574" t="s">
        <v>2001</v>
      </c>
      <c r="C574" s="12" t="str">
        <f t="shared" si="56"/>
        <v>Positive</v>
      </c>
      <c r="D574" s="18">
        <f t="shared" si="57"/>
        <v>1</v>
      </c>
      <c r="E574" s="1">
        <v>44896.739583333336</v>
      </c>
      <c r="F574" s="10">
        <f>INT(E574)</f>
        <v>44896</v>
      </c>
      <c r="G574" s="15">
        <f>MOD(E574,2)</f>
        <v>0.73958333333575865</v>
      </c>
      <c r="H574" s="15" t="str">
        <f t="shared" si="58"/>
        <v>17:45</v>
      </c>
      <c r="I574" t="s">
        <v>2002</v>
      </c>
      <c r="J574" t="s">
        <v>31</v>
      </c>
      <c r="K574" t="str">
        <f t="shared" si="59"/>
        <v>Facebook</v>
      </c>
      <c r="L574" t="s">
        <v>2003</v>
      </c>
      <c r="M574">
        <v>30</v>
      </c>
      <c r="N574">
        <v>60</v>
      </c>
      <c r="O574">
        <f t="shared" si="60"/>
        <v>90</v>
      </c>
      <c r="P574" t="s">
        <v>123</v>
      </c>
      <c r="Q574" t="str">
        <f t="shared" si="61"/>
        <v>Canada</v>
      </c>
      <c r="R574">
        <v>2022</v>
      </c>
      <c r="S574">
        <v>12</v>
      </c>
      <c r="T574">
        <v>1</v>
      </c>
      <c r="U574">
        <v>17</v>
      </c>
      <c r="Y574" s="4">
        <f t="shared" si="62"/>
        <v>17</v>
      </c>
    </row>
    <row r="575" spans="1:25" ht="18" x14ac:dyDescent="0.25">
      <c r="A575" t="s">
        <v>2004</v>
      </c>
      <c r="B575" t="s">
        <v>2005</v>
      </c>
      <c r="C575" s="12" t="str">
        <f t="shared" si="56"/>
        <v>Positive</v>
      </c>
      <c r="D575" s="18">
        <f t="shared" si="57"/>
        <v>1</v>
      </c>
      <c r="E575" s="1">
        <v>42835.885416666664</v>
      </c>
      <c r="F575" s="10">
        <f>INT(E575)</f>
        <v>42835</v>
      </c>
      <c r="G575" s="15">
        <f>MOD(E575,2)</f>
        <v>1.8854166666642413</v>
      </c>
      <c r="H575" s="15" t="str">
        <f t="shared" si="58"/>
        <v>21:15</v>
      </c>
      <c r="I575" t="s">
        <v>2006</v>
      </c>
      <c r="J575" t="s">
        <v>874</v>
      </c>
      <c r="K575" t="str">
        <f t="shared" si="59"/>
        <v>Twitter</v>
      </c>
      <c r="L575" t="s">
        <v>2007</v>
      </c>
      <c r="M575">
        <v>22</v>
      </c>
      <c r="N575">
        <v>45</v>
      </c>
      <c r="O575">
        <f t="shared" si="60"/>
        <v>67</v>
      </c>
      <c r="P575" t="s">
        <v>109</v>
      </c>
      <c r="Q575" t="str">
        <f t="shared" si="61"/>
        <v>UK</v>
      </c>
      <c r="R575">
        <v>2017</v>
      </c>
      <c r="S575">
        <v>4</v>
      </c>
      <c r="T575">
        <v>10</v>
      </c>
      <c r="U575">
        <v>21</v>
      </c>
      <c r="Y575" s="4">
        <f t="shared" si="62"/>
        <v>21</v>
      </c>
    </row>
    <row r="576" spans="1:25" ht="18" x14ac:dyDescent="0.25">
      <c r="A576" t="s">
        <v>2008</v>
      </c>
      <c r="B576" t="s">
        <v>2009</v>
      </c>
      <c r="C576" s="12" t="str">
        <f t="shared" si="56"/>
        <v>Positive</v>
      </c>
      <c r="D576" s="18">
        <f t="shared" si="57"/>
        <v>1</v>
      </c>
      <c r="E576" s="1">
        <v>43966.770833333336</v>
      </c>
      <c r="F576" s="10">
        <f>INT(E576)</f>
        <v>43966</v>
      </c>
      <c r="G576" s="15">
        <f>MOD(E576,2)</f>
        <v>0.77083333333575865</v>
      </c>
      <c r="H576" s="15" t="str">
        <f t="shared" si="58"/>
        <v>18:30</v>
      </c>
      <c r="I576" t="s">
        <v>2010</v>
      </c>
      <c r="J576" t="s">
        <v>26</v>
      </c>
      <c r="K576" t="str">
        <f t="shared" si="59"/>
        <v>Instagram</v>
      </c>
      <c r="L576" t="s">
        <v>2011</v>
      </c>
      <c r="M576">
        <v>28</v>
      </c>
      <c r="N576">
        <v>55</v>
      </c>
      <c r="O576">
        <f t="shared" si="60"/>
        <v>83</v>
      </c>
      <c r="P576" t="s">
        <v>38</v>
      </c>
      <c r="Q576" t="str">
        <f t="shared" si="61"/>
        <v>Australia</v>
      </c>
      <c r="R576">
        <v>2020</v>
      </c>
      <c r="S576">
        <v>5</v>
      </c>
      <c r="T576">
        <v>15</v>
      </c>
      <c r="U576">
        <v>18</v>
      </c>
      <c r="Y576" s="4">
        <f t="shared" si="62"/>
        <v>18</v>
      </c>
    </row>
    <row r="577" spans="1:25" ht="18" x14ac:dyDescent="0.25">
      <c r="A577" t="s">
        <v>2012</v>
      </c>
      <c r="B577" t="s">
        <v>2013</v>
      </c>
      <c r="C577" s="12" t="str">
        <f t="shared" si="56"/>
        <v>Positive</v>
      </c>
      <c r="D577" s="18">
        <f t="shared" si="57"/>
        <v>1</v>
      </c>
      <c r="E577" s="1">
        <v>42635.833333333336</v>
      </c>
      <c r="F577" s="10">
        <f>INT(E577)</f>
        <v>42635</v>
      </c>
      <c r="G577" s="15">
        <f>MOD(E577,2)</f>
        <v>1.8333333333357587</v>
      </c>
      <c r="H577" s="15" t="str">
        <f t="shared" si="58"/>
        <v>20:00</v>
      </c>
      <c r="I577" t="s">
        <v>2014</v>
      </c>
      <c r="J577" t="s">
        <v>31</v>
      </c>
      <c r="K577" t="str">
        <f t="shared" si="59"/>
        <v>Facebook</v>
      </c>
      <c r="L577" t="s">
        <v>2015</v>
      </c>
      <c r="M577">
        <v>18</v>
      </c>
      <c r="N577">
        <v>35</v>
      </c>
      <c r="O577">
        <f t="shared" si="60"/>
        <v>53</v>
      </c>
      <c r="P577" t="s">
        <v>98</v>
      </c>
      <c r="Q577" t="str">
        <f t="shared" si="61"/>
        <v>USA</v>
      </c>
      <c r="R577">
        <v>2016</v>
      </c>
      <c r="S577">
        <v>9</v>
      </c>
      <c r="T577">
        <v>22</v>
      </c>
      <c r="U577">
        <v>20</v>
      </c>
      <c r="Y577" s="4">
        <f t="shared" si="62"/>
        <v>20</v>
      </c>
    </row>
    <row r="578" spans="1:25" ht="18" x14ac:dyDescent="0.25">
      <c r="A578" t="s">
        <v>2016</v>
      </c>
      <c r="B578" t="s">
        <v>2017</v>
      </c>
      <c r="C578" s="12" t="str">
        <f t="shared" si="56"/>
        <v>Positive</v>
      </c>
      <c r="D578" s="18">
        <f t="shared" si="57"/>
        <v>1</v>
      </c>
      <c r="E578" s="1">
        <v>44969.822916666664</v>
      </c>
      <c r="F578" s="10">
        <f>INT(E578)</f>
        <v>44969</v>
      </c>
      <c r="G578" s="15">
        <f>MOD(E578,2)</f>
        <v>1.8229166666642413</v>
      </c>
      <c r="H578" s="15" t="str">
        <f t="shared" si="58"/>
        <v>19:45</v>
      </c>
      <c r="I578" t="s">
        <v>2018</v>
      </c>
      <c r="J578" t="s">
        <v>874</v>
      </c>
      <c r="K578" t="str">
        <f t="shared" si="59"/>
        <v>Twitter</v>
      </c>
      <c r="L578" t="s">
        <v>2019</v>
      </c>
      <c r="M578">
        <v>22</v>
      </c>
      <c r="N578">
        <v>45</v>
      </c>
      <c r="O578">
        <f t="shared" si="60"/>
        <v>67</v>
      </c>
      <c r="P578" t="s">
        <v>1544</v>
      </c>
      <c r="Q578" t="str">
        <f t="shared" si="61"/>
        <v>France</v>
      </c>
      <c r="R578">
        <v>2023</v>
      </c>
      <c r="S578">
        <v>2</v>
      </c>
      <c r="T578">
        <v>12</v>
      </c>
      <c r="U578">
        <v>19</v>
      </c>
      <c r="Y578" s="4">
        <f t="shared" si="62"/>
        <v>19</v>
      </c>
    </row>
    <row r="579" spans="1:25" ht="18" x14ac:dyDescent="0.25">
      <c r="A579" t="s">
        <v>2020</v>
      </c>
      <c r="B579" t="s">
        <v>2021</v>
      </c>
      <c r="C579" s="12" t="str">
        <f t="shared" ref="C579:C642" si="63">IF(OR(ISNUMBER(SEARCH("happ",B579)),ISNUMBER(SEARCH("joy",B579)),ISNUMBER(SEARCH("love",B579)),ISNUMBER(SEARCH("amuse",B579)),ISNUMBER(SEARCH("enjoy",B579)),ISNUMBER(SEARCH("admire",B579)),ISNUMBER(SEARCH("affection",B579)),ISNUMBER(SEARCH("awe",B579)),ISNUMBER(SEARCH("accept",B579)),ISNUMBER(SEARCH("ador",B579)),ISNUMBER(SEARCH("calm",B579)),ISNUMBER(SEARCH("excit",B579)),ISNUMBER(SEARCH("kind",B579)),ISNUMBER(SEARCH("pride",B579)),ISNUMBER(SEARCH("elat",B579)),ISNUMBER(SEARCH("euphor",B579)),ISNUMBER(SEARCH("content",B579)),ISNUMBER(SEARCH("seren",B579)),ISNUMBER(SEARCH("grat",B579)),ISNUMBER(SEARCH("hope",B579)),ISNUMBER(SEARCH("empower",B579)),ISNUMBER(SEARCH("compass",B579)),ISNUMBER(SEARCH("tender",B579)),ISNUMBER(SEARCH("enthus",B579)),ISNUMBER(SEARCH("fulfill",B579)),ISNUMBER(SEARCH("rever",B579)),ISNUMBER(SEARCH("zest",B579)),ISNUMBER(SEARCH("play",B579)),ISNUMBER(SEARCH("inspir",B579)),ISNUMBER(SEARCH("confid",B579)),ISNUMBER(SEARCH("determin",B579)),ISNUMBER(SEARCH("thrill",B579)),ISNUMBER(SEARCH("overjoy",B579)),ISNUMBER(SEARCH("motiv",B579)),ISNUMBER(SEARCH("satisf",B579)),ISNUMBER(SEARCH("bless",B579)),ISNUMBER(SEARCH("appreci",B579)),ISNUMBER(SEARCH("accomplish",B579)),ISNUMBER(SEARCH("wonder",B579)),ISNUMBER(SEARCH("optim",B579)),ISNUMBER(SEARCH("enchant",B579)),ISNUMBER(SEARCH("intrigu",B579)),ISNUMBER(SEARCH("mindful",B579)),ISNUMBER(SEARCH("eleg",B579)),ISNUMBER(SEARCH("whims",B579)),ISNUMBER(SEARCH("harmon",B579)),ISNUMBER(SEARCH("creativ",B579)),ISNUMBER(SEARCH("radian",B579)),ISNUMBER(SEARCH("rejuven",B579)),ISNUMBER(SEARCH("cozy",B579)),ISNUMBER(SEARCH("adventur",B579)),ISNUMBER(SEARCH("melod",B579)),ISNUMBER(SEARCH("festiv",B579)),ISNUMBER(SEARCH("free",B579)),ISNUMBER(SEARCH("dazzl",B579)),ISNUMBER(SEARCH("adrenal",B579)),ISNUMBER(SEARCH("artistic",B579)),ISNUMBER(SEARCH("resil",B579)),ISNUMBER(SEARCH("immers",B579)),ISNUMBER(SEARCH("spark",B579)),ISNUMBER(SEARCH("marvel",B579)),ISNUMBER(SEARCH("friend",B579)),ISNUMBER(SEARCH("success",B579)),ISNUMBER(SEARCH("explor",B579)),ISNUMBER(SEARCH("amaz",B579)),ISNUMBER(SEARCH("romanc",B579)),ISNUMBER(SEARCH("captiv",B579)),ISNUMBER(SEARCH("tranquil",B579)),ISNUMBER(SEARCH("grand",B579)),ISNUMBER(SEARCH("energ",B579)),ISNUMBER(SEARCH("celebr",B579)),ISNUMBER(SEARCH("charm",B579)),ISNUMBER(SEARCH("ecstasy",B579)),ISNUMBER(SEARCH("color",B579)),ISNUMBER(SEARCH("hypnot",B579)),ISNUMBER(SEARCH("connect",B579)),ISNUMBER(SEARCH("icon",B579)),ISNUMBER(SEARCH("engag",B579)),ISNUMBER(SEARCH("triumph",B579)),ISNUMBER(SEARCH("heartwarm",B579)),ISNUMBER(SEARCH("solac",B579)),ISNUMBER(SEARCH("breakthrough",B579)),ISNUMBER(SEARCH("imagin",B579)),ISNUMBER(SEARCH("vibran",B579)),ISNUMBER(SEARCH("mesmer",B579)),ISNUMBER(SEARCH("winter magic",B579)),ISNUMBER(SEARCH("nature",B579)),ISNUMBER(SEARCH("celestial",B579)),ISNUMBER(SEARCH("positive",B579)),ISNUMBER(SEARCH("arous",B579))),"Positive",IF(OR(ISNUMBER(SEARCH("anger",B579)),ISNUMBER(SEARCH("fear",B579)),ISNUMBER(SEARCH("sad",B579)),ISNUMBER(SEARCH("disgust",B579)),ISNUMBER(SEARCH("disappoint",B579)),ISNUMBER(SEARCH("bitter",B579)),ISNUMBER(SEARCH("shame",B579)),ISNUMBER(SEARCH("despair",B579)),ISNUMBER(SEARCH("grief",B579)),ISNUMBER(SEARCH("lonel",B579)),ISNUMBER(SEARCH("jealous",B579)),ISNUMBER(SEARCH("resent",B579)),ISNUMBER(SEARCH("frustrat",B579)),ISNUMBER(SEARCH("bored",B579)),ISNUMBER(SEARCH("anxi",B579)),ISNUMBER(SEARCH("intimid",B579)),ISNUMBER(SEARCH("helpless",B579)),ISNUMBER(SEARCH("envy",B579)),ISNUMBER(SEARCH("regret",B579)),ISNUMBER(SEARCH("melanchol",B579)),ISNUMBER(SEARCH("yearn",B579)),ISNUMBER(SEARCH("apprehens",B579)),ISNUMBER(SEARCH("overwhelm",B579)),ISNUMBER(SEARCH("devastat",B579)),ISNUMBER(SEARCH("dismiss",B579)),ISNUMBER(SEARCH("heartbreak",B579)),ISNUMBER(SEARCH("betray",B579)),ISNUMBER(SEARCH("suffer",B579)),ISNUMBER(SEARCH("isolat",B579)),ISNUMBER(SEARCH("lost",B579)),ISNUMBER(SEARCH("exhaust",B579)),ISNUMBER(SEARCH("sorrow",B579)),ISNUMBER(SEARCH("darkness",B579)),ISNUMBER(SEARCH("desperat",B579)),ISNUMBER(SEARCH("ruins",B579)),ISNUMBER(SEARCH("desolat",B579)),ISNUMBER(SEARCH("heartache",B579)),ISNUMBER(SEARCH("solitude",B579)),ISNUMBER(SEARCH("obstacle",B579)),ISNUMBER(SEARCH("pressure",B579)),ISNUMBER(SEARCH("miscalcul",B579)),ISNUMBER(SEARCH("challenge",B579)),ISNUMBER(SEARCH("embarrass",B579)),ISNUMBER(SEARCH("hate",B579)),ISNUMBER(SEARCH("bad",B579)),ISNUMBER(SEARCH("negative",B579))),"Negative","Neutral"))</f>
        <v>Positive</v>
      </c>
      <c r="D579" s="18">
        <f t="shared" ref="D579:D642" si="64">IF(C579="Positive", 1, IF(C579="Negative", -1, 0))</f>
        <v>1</v>
      </c>
      <c r="E579" s="1">
        <v>42318.875</v>
      </c>
      <c r="F579" s="10">
        <f>INT(E579)</f>
        <v>42318</v>
      </c>
      <c r="G579" s="15">
        <f>MOD(E579,2)</f>
        <v>0.875</v>
      </c>
      <c r="H579" s="15" t="str">
        <f t="shared" ref="H579:H642" si="65">TEXT(G579, "hh:mm")</f>
        <v>21:00</v>
      </c>
      <c r="I579" t="s">
        <v>2022</v>
      </c>
      <c r="J579" t="s">
        <v>26</v>
      </c>
      <c r="K579" t="str">
        <f t="shared" ref="K579:K642" si="66">TRIM(CLEAN(J579))</f>
        <v>Instagram</v>
      </c>
      <c r="L579" t="s">
        <v>2023</v>
      </c>
      <c r="M579">
        <v>28</v>
      </c>
      <c r="N579">
        <v>55</v>
      </c>
      <c r="O579">
        <f t="shared" ref="O579:O642" si="67">M579+N579</f>
        <v>83</v>
      </c>
      <c r="P579" t="s">
        <v>1552</v>
      </c>
      <c r="Q579" t="str">
        <f t="shared" ref="Q579:Q642" si="68">TRIM(CLEAN(P579))</f>
        <v>Italy</v>
      </c>
      <c r="R579">
        <v>2015</v>
      </c>
      <c r="S579">
        <v>11</v>
      </c>
      <c r="T579">
        <v>10</v>
      </c>
      <c r="U579">
        <v>21</v>
      </c>
      <c r="Y579" s="4">
        <f t="shared" ref="Y579:Y642" si="69">HOUR(H579)</f>
        <v>21</v>
      </c>
    </row>
    <row r="580" spans="1:25" ht="18" x14ac:dyDescent="0.25">
      <c r="A580" t="s">
        <v>2024</v>
      </c>
      <c r="B580" t="s">
        <v>2025</v>
      </c>
      <c r="C580" s="12" t="str">
        <f t="shared" si="63"/>
        <v>Positive</v>
      </c>
      <c r="D580" s="18">
        <f t="shared" si="64"/>
        <v>1</v>
      </c>
      <c r="E580" s="1">
        <v>44397.760416666664</v>
      </c>
      <c r="F580" s="10">
        <f>INT(E580)</f>
        <v>44397</v>
      </c>
      <c r="G580" s="15">
        <f>MOD(E580,2)</f>
        <v>1.7604166666642413</v>
      </c>
      <c r="H580" s="15" t="str">
        <f t="shared" si="65"/>
        <v>18:15</v>
      </c>
      <c r="I580" t="s">
        <v>2026</v>
      </c>
      <c r="J580" t="s">
        <v>31</v>
      </c>
      <c r="K580" t="str">
        <f t="shared" si="66"/>
        <v>Facebook</v>
      </c>
      <c r="L580" t="s">
        <v>2027</v>
      </c>
      <c r="M580">
        <v>22</v>
      </c>
      <c r="N580">
        <v>45</v>
      </c>
      <c r="O580">
        <f t="shared" si="67"/>
        <v>67</v>
      </c>
      <c r="P580" t="s">
        <v>1539</v>
      </c>
      <c r="Q580" t="str">
        <f t="shared" si="68"/>
        <v>Brazil</v>
      </c>
      <c r="R580">
        <v>2021</v>
      </c>
      <c r="S580">
        <v>7</v>
      </c>
      <c r="T580">
        <v>20</v>
      </c>
      <c r="U580">
        <v>18</v>
      </c>
      <c r="Y580" s="4">
        <f t="shared" si="69"/>
        <v>18</v>
      </c>
    </row>
    <row r="581" spans="1:25" ht="18" x14ac:dyDescent="0.25">
      <c r="A581" t="s">
        <v>2028</v>
      </c>
      <c r="B581" t="s">
        <v>2029</v>
      </c>
      <c r="C581" s="12" t="str">
        <f t="shared" si="63"/>
        <v>Neutral</v>
      </c>
      <c r="D581" s="18">
        <f t="shared" si="64"/>
        <v>0</v>
      </c>
      <c r="E581" s="1">
        <v>43573.854166666664</v>
      </c>
      <c r="F581" s="10">
        <f>INT(E581)</f>
        <v>43573</v>
      </c>
      <c r="G581" s="15">
        <f>MOD(E581,2)</f>
        <v>1.8541666666642413</v>
      </c>
      <c r="H581" s="15" t="str">
        <f t="shared" si="65"/>
        <v>20:30</v>
      </c>
      <c r="I581" t="s">
        <v>2030</v>
      </c>
      <c r="J581" t="s">
        <v>874</v>
      </c>
      <c r="K581" t="str">
        <f t="shared" si="66"/>
        <v>Twitter</v>
      </c>
      <c r="L581" t="s">
        <v>2031</v>
      </c>
      <c r="M581">
        <v>35</v>
      </c>
      <c r="N581">
        <v>70</v>
      </c>
      <c r="O581">
        <f t="shared" si="67"/>
        <v>105</v>
      </c>
      <c r="P581" t="s">
        <v>1719</v>
      </c>
      <c r="Q581" t="str">
        <f t="shared" si="68"/>
        <v>Greece</v>
      </c>
      <c r="R581">
        <v>2019</v>
      </c>
      <c r="S581">
        <v>4</v>
      </c>
      <c r="T581">
        <v>18</v>
      </c>
      <c r="U581">
        <v>20</v>
      </c>
      <c r="Y581" s="4">
        <f t="shared" si="69"/>
        <v>20</v>
      </c>
    </row>
    <row r="582" spans="1:25" ht="18" x14ac:dyDescent="0.25">
      <c r="A582" t="s">
        <v>2032</v>
      </c>
      <c r="B582" t="s">
        <v>388</v>
      </c>
      <c r="C582" s="12" t="str">
        <f t="shared" si="63"/>
        <v>Positive</v>
      </c>
      <c r="D582" s="18">
        <f t="shared" si="64"/>
        <v>1</v>
      </c>
      <c r="E582" s="1">
        <v>45066.822916666664</v>
      </c>
      <c r="F582" s="10">
        <f>INT(E582)</f>
        <v>45066</v>
      </c>
      <c r="G582" s="15">
        <f>MOD(E582,2)</f>
        <v>0.82291666666424135</v>
      </c>
      <c r="H582" s="15" t="str">
        <f t="shared" si="65"/>
        <v>19:45</v>
      </c>
      <c r="I582" t="s">
        <v>2033</v>
      </c>
      <c r="J582" t="s">
        <v>874</v>
      </c>
      <c r="K582" t="str">
        <f t="shared" si="66"/>
        <v>Twitter</v>
      </c>
      <c r="L582" t="s">
        <v>2034</v>
      </c>
      <c r="M582">
        <v>15</v>
      </c>
      <c r="N582">
        <v>30</v>
      </c>
      <c r="O582">
        <f t="shared" si="67"/>
        <v>45</v>
      </c>
      <c r="P582" t="s">
        <v>2035</v>
      </c>
      <c r="Q582" t="str">
        <f t="shared" si="68"/>
        <v>USA</v>
      </c>
      <c r="R582">
        <v>2023</v>
      </c>
      <c r="S582">
        <v>5</v>
      </c>
      <c r="T582">
        <v>20</v>
      </c>
      <c r="U582">
        <v>19</v>
      </c>
      <c r="Y582" s="4">
        <f t="shared" si="69"/>
        <v>19</v>
      </c>
    </row>
    <row r="583" spans="1:25" ht="18" x14ac:dyDescent="0.25">
      <c r="A583" t="s">
        <v>2036</v>
      </c>
      <c r="B583" t="s">
        <v>2037</v>
      </c>
      <c r="C583" s="12" t="str">
        <f t="shared" si="63"/>
        <v>Negative</v>
      </c>
      <c r="D583" s="18">
        <f t="shared" si="64"/>
        <v>-1</v>
      </c>
      <c r="E583" s="1">
        <v>45067.875</v>
      </c>
      <c r="F583" s="10">
        <f>INT(E583)</f>
        <v>45067</v>
      </c>
      <c r="G583" s="15">
        <f>MOD(E583,2)</f>
        <v>1.875</v>
      </c>
      <c r="H583" s="15" t="str">
        <f t="shared" si="65"/>
        <v>21:00</v>
      </c>
      <c r="I583" t="s">
        <v>2038</v>
      </c>
      <c r="J583" t="s">
        <v>26</v>
      </c>
      <c r="K583" t="str">
        <f t="shared" si="66"/>
        <v>Instagram</v>
      </c>
      <c r="L583" t="s">
        <v>2039</v>
      </c>
      <c r="M583">
        <v>18</v>
      </c>
      <c r="N583">
        <v>35</v>
      </c>
      <c r="O583">
        <f t="shared" si="67"/>
        <v>53</v>
      </c>
      <c r="P583" t="s">
        <v>2040</v>
      </c>
      <c r="Q583" t="str">
        <f t="shared" si="68"/>
        <v>Canada</v>
      </c>
      <c r="R583">
        <v>2023</v>
      </c>
      <c r="S583">
        <v>5</v>
      </c>
      <c r="T583">
        <v>21</v>
      </c>
      <c r="U583">
        <v>21</v>
      </c>
      <c r="Y583" s="4">
        <f t="shared" si="69"/>
        <v>21</v>
      </c>
    </row>
    <row r="584" spans="1:25" ht="18" x14ac:dyDescent="0.25">
      <c r="A584" t="s">
        <v>2041</v>
      </c>
      <c r="B584" t="s">
        <v>1624</v>
      </c>
      <c r="C584" s="12" t="str">
        <f t="shared" si="63"/>
        <v>Positive</v>
      </c>
      <c r="D584" s="18">
        <f t="shared" si="64"/>
        <v>1</v>
      </c>
      <c r="E584" s="1">
        <v>45068.604166666664</v>
      </c>
      <c r="F584" s="10">
        <f>INT(E584)</f>
        <v>45068</v>
      </c>
      <c r="G584" s="15">
        <f>MOD(E584,2)</f>
        <v>0.60416666666424135</v>
      </c>
      <c r="H584" s="15" t="str">
        <f t="shared" si="65"/>
        <v>14:30</v>
      </c>
      <c r="I584" t="s">
        <v>2042</v>
      </c>
      <c r="J584" t="s">
        <v>31</v>
      </c>
      <c r="K584" t="str">
        <f t="shared" si="66"/>
        <v>Facebook</v>
      </c>
      <c r="L584" t="s">
        <v>2043</v>
      </c>
      <c r="M584">
        <v>22</v>
      </c>
      <c r="N584">
        <v>45</v>
      </c>
      <c r="O584">
        <f t="shared" si="67"/>
        <v>67</v>
      </c>
      <c r="P584" t="s">
        <v>2044</v>
      </c>
      <c r="Q584" t="str">
        <f t="shared" si="68"/>
        <v>UK</v>
      </c>
      <c r="R584">
        <v>2023</v>
      </c>
      <c r="S584">
        <v>5</v>
      </c>
      <c r="T584">
        <v>22</v>
      </c>
      <c r="U584">
        <v>14</v>
      </c>
      <c r="Y584" s="4">
        <f t="shared" si="69"/>
        <v>14</v>
      </c>
    </row>
    <row r="585" spans="1:25" ht="18" x14ac:dyDescent="0.25">
      <c r="A585" t="s">
        <v>2045</v>
      </c>
      <c r="B585" t="s">
        <v>660</v>
      </c>
      <c r="C585" s="12" t="str">
        <f t="shared" si="63"/>
        <v>Negative</v>
      </c>
      <c r="D585" s="18">
        <f t="shared" si="64"/>
        <v>-1</v>
      </c>
      <c r="E585" s="1">
        <v>45069.697916666664</v>
      </c>
      <c r="F585" s="10">
        <f>INT(E585)</f>
        <v>45069</v>
      </c>
      <c r="G585" s="15">
        <f>MOD(E585,2)</f>
        <v>1.6979166666642413</v>
      </c>
      <c r="H585" s="15" t="str">
        <f t="shared" si="65"/>
        <v>16:45</v>
      </c>
      <c r="I585" t="s">
        <v>2046</v>
      </c>
      <c r="J585" t="s">
        <v>874</v>
      </c>
      <c r="K585" t="str">
        <f t="shared" si="66"/>
        <v>Twitter</v>
      </c>
      <c r="L585" t="s">
        <v>2047</v>
      </c>
      <c r="M585">
        <v>20</v>
      </c>
      <c r="N585">
        <v>40</v>
      </c>
      <c r="O585">
        <f t="shared" si="67"/>
        <v>60</v>
      </c>
      <c r="P585" t="s">
        <v>2035</v>
      </c>
      <c r="Q585" t="str">
        <f t="shared" si="68"/>
        <v>USA</v>
      </c>
      <c r="R585">
        <v>2023</v>
      </c>
      <c r="S585">
        <v>5</v>
      </c>
      <c r="T585">
        <v>23</v>
      </c>
      <c r="U585">
        <v>16</v>
      </c>
      <c r="Y585" s="4">
        <f t="shared" si="69"/>
        <v>16</v>
      </c>
    </row>
    <row r="586" spans="1:25" ht="18" x14ac:dyDescent="0.25">
      <c r="A586" t="s">
        <v>2048</v>
      </c>
      <c r="B586" t="s">
        <v>1670</v>
      </c>
      <c r="C586" s="12" t="str">
        <f t="shared" si="63"/>
        <v>Neutral</v>
      </c>
      <c r="D586" s="18">
        <f t="shared" si="64"/>
        <v>0</v>
      </c>
      <c r="E586" s="1">
        <v>45070.552083333336</v>
      </c>
      <c r="F586" s="10">
        <f>INT(E586)</f>
        <v>45070</v>
      </c>
      <c r="G586" s="15">
        <f>MOD(E586,2)</f>
        <v>0.55208333333575865</v>
      </c>
      <c r="H586" s="15" t="str">
        <f t="shared" si="65"/>
        <v>13:15</v>
      </c>
      <c r="I586" t="s">
        <v>2049</v>
      </c>
      <c r="J586" t="s">
        <v>26</v>
      </c>
      <c r="K586" t="str">
        <f t="shared" si="66"/>
        <v>Instagram</v>
      </c>
      <c r="L586" t="s">
        <v>2050</v>
      </c>
      <c r="M586">
        <v>25</v>
      </c>
      <c r="N586">
        <v>50</v>
      </c>
      <c r="O586">
        <f t="shared" si="67"/>
        <v>75</v>
      </c>
      <c r="P586" t="s">
        <v>2040</v>
      </c>
      <c r="Q586" t="str">
        <f t="shared" si="68"/>
        <v>Canada</v>
      </c>
      <c r="R586">
        <v>2023</v>
      </c>
      <c r="S586">
        <v>5</v>
      </c>
      <c r="T586">
        <v>24</v>
      </c>
      <c r="U586">
        <v>13</v>
      </c>
      <c r="Y586" s="4">
        <f t="shared" si="69"/>
        <v>13</v>
      </c>
    </row>
    <row r="587" spans="1:25" ht="18" x14ac:dyDescent="0.25">
      <c r="A587" t="s">
        <v>2051</v>
      </c>
      <c r="B587" t="s">
        <v>2052</v>
      </c>
      <c r="C587" s="12" t="str">
        <f t="shared" si="63"/>
        <v>Neutral</v>
      </c>
      <c r="D587" s="18">
        <f t="shared" si="64"/>
        <v>0</v>
      </c>
      <c r="E587" s="1">
        <v>45071.791666666664</v>
      </c>
      <c r="F587" s="10">
        <f>INT(E587)</f>
        <v>45071</v>
      </c>
      <c r="G587" s="15">
        <f>MOD(E587,2)</f>
        <v>1.7916666666642413</v>
      </c>
      <c r="H587" s="15" t="str">
        <f t="shared" si="65"/>
        <v>19:00</v>
      </c>
      <c r="I587" t="s">
        <v>2053</v>
      </c>
      <c r="J587" t="s">
        <v>31</v>
      </c>
      <c r="K587" t="str">
        <f t="shared" si="66"/>
        <v>Facebook</v>
      </c>
      <c r="L587" t="s">
        <v>2054</v>
      </c>
      <c r="M587">
        <v>20</v>
      </c>
      <c r="N587">
        <v>40</v>
      </c>
      <c r="O587">
        <f t="shared" si="67"/>
        <v>60</v>
      </c>
      <c r="P587" t="s">
        <v>2035</v>
      </c>
      <c r="Q587" t="str">
        <f t="shared" si="68"/>
        <v>USA</v>
      </c>
      <c r="R587">
        <v>2023</v>
      </c>
      <c r="S587">
        <v>5</v>
      </c>
      <c r="T587">
        <v>25</v>
      </c>
      <c r="U587">
        <v>19</v>
      </c>
      <c r="Y587" s="4">
        <f t="shared" si="69"/>
        <v>19</v>
      </c>
    </row>
    <row r="588" spans="1:25" ht="18" x14ac:dyDescent="0.25">
      <c r="A588" t="s">
        <v>2055</v>
      </c>
      <c r="B588" t="s">
        <v>1880</v>
      </c>
      <c r="C588" s="12" t="str">
        <f t="shared" si="63"/>
        <v>Positive</v>
      </c>
      <c r="D588" s="18">
        <f t="shared" si="64"/>
        <v>1</v>
      </c>
      <c r="E588" s="1">
        <v>45072.597222222219</v>
      </c>
      <c r="F588" s="10">
        <f>INT(E588)</f>
        <v>45072</v>
      </c>
      <c r="G588" s="15">
        <f>MOD(E588,2)</f>
        <v>0.59722222221898846</v>
      </c>
      <c r="H588" s="15" t="str">
        <f t="shared" si="65"/>
        <v>14:20</v>
      </c>
      <c r="I588" t="s">
        <v>2056</v>
      </c>
      <c r="J588" t="s">
        <v>874</v>
      </c>
      <c r="K588" t="str">
        <f t="shared" si="66"/>
        <v>Twitter</v>
      </c>
      <c r="L588" t="s">
        <v>2057</v>
      </c>
      <c r="M588">
        <v>28</v>
      </c>
      <c r="N588">
        <v>55</v>
      </c>
      <c r="O588">
        <f t="shared" si="67"/>
        <v>83</v>
      </c>
      <c r="P588" t="s">
        <v>2044</v>
      </c>
      <c r="Q588" t="str">
        <f t="shared" si="68"/>
        <v>UK</v>
      </c>
      <c r="R588">
        <v>2023</v>
      </c>
      <c r="S588">
        <v>5</v>
      </c>
      <c r="T588">
        <v>26</v>
      </c>
      <c r="U588">
        <v>14</v>
      </c>
      <c r="Y588" s="4">
        <f t="shared" si="69"/>
        <v>14</v>
      </c>
    </row>
    <row r="589" spans="1:25" ht="18" x14ac:dyDescent="0.25">
      <c r="A589" t="s">
        <v>2058</v>
      </c>
      <c r="B589" t="s">
        <v>2059</v>
      </c>
      <c r="C589" s="12" t="str">
        <f t="shared" si="63"/>
        <v>Negative</v>
      </c>
      <c r="D589" s="18">
        <f t="shared" si="64"/>
        <v>-1</v>
      </c>
      <c r="E589" s="1">
        <v>45073.885416666664</v>
      </c>
      <c r="F589" s="10">
        <f>INT(E589)</f>
        <v>45073</v>
      </c>
      <c r="G589" s="15">
        <f>MOD(E589,2)</f>
        <v>1.8854166666642413</v>
      </c>
      <c r="H589" s="15" t="str">
        <f t="shared" si="65"/>
        <v>21:15</v>
      </c>
      <c r="I589" t="s">
        <v>2060</v>
      </c>
      <c r="J589" t="s">
        <v>26</v>
      </c>
      <c r="K589" t="str">
        <f t="shared" si="66"/>
        <v>Instagram</v>
      </c>
      <c r="L589" t="s">
        <v>2061</v>
      </c>
      <c r="M589">
        <v>22</v>
      </c>
      <c r="N589">
        <v>45</v>
      </c>
      <c r="O589">
        <f t="shared" si="67"/>
        <v>67</v>
      </c>
      <c r="P589" t="s">
        <v>2040</v>
      </c>
      <c r="Q589" t="str">
        <f t="shared" si="68"/>
        <v>Canada</v>
      </c>
      <c r="R589">
        <v>2023</v>
      </c>
      <c r="S589">
        <v>5</v>
      </c>
      <c r="T589">
        <v>27</v>
      </c>
      <c r="U589">
        <v>21</v>
      </c>
      <c r="Y589" s="4">
        <f t="shared" si="69"/>
        <v>21</v>
      </c>
    </row>
    <row r="590" spans="1:25" ht="18" x14ac:dyDescent="0.25">
      <c r="A590" t="s">
        <v>2062</v>
      </c>
      <c r="B590" t="s">
        <v>1670</v>
      </c>
      <c r="C590" s="12" t="str">
        <f t="shared" si="63"/>
        <v>Neutral</v>
      </c>
      <c r="D590" s="18">
        <f t="shared" si="64"/>
        <v>0</v>
      </c>
      <c r="E590" s="1">
        <v>45074.5</v>
      </c>
      <c r="F590" s="10">
        <f>INT(E590)</f>
        <v>45074</v>
      </c>
      <c r="G590" s="15">
        <f>MOD(E590,2)</f>
        <v>0.5</v>
      </c>
      <c r="H590" s="15" t="str">
        <f t="shared" si="65"/>
        <v>12:00</v>
      </c>
      <c r="I590" t="s">
        <v>2063</v>
      </c>
      <c r="J590" t="s">
        <v>31</v>
      </c>
      <c r="K590" t="str">
        <f t="shared" si="66"/>
        <v>Facebook</v>
      </c>
      <c r="L590" t="s">
        <v>2064</v>
      </c>
      <c r="M590">
        <v>18</v>
      </c>
      <c r="N590">
        <v>35</v>
      </c>
      <c r="O590">
        <f t="shared" si="67"/>
        <v>53</v>
      </c>
      <c r="P590" t="s">
        <v>2035</v>
      </c>
      <c r="Q590" t="str">
        <f t="shared" si="68"/>
        <v>USA</v>
      </c>
      <c r="R590">
        <v>2023</v>
      </c>
      <c r="S590">
        <v>5</v>
      </c>
      <c r="T590">
        <v>28</v>
      </c>
      <c r="U590">
        <v>12</v>
      </c>
      <c r="Y590" s="4">
        <f t="shared" si="69"/>
        <v>12</v>
      </c>
    </row>
    <row r="591" spans="1:25" ht="18" x14ac:dyDescent="0.25">
      <c r="A591" t="s">
        <v>2065</v>
      </c>
      <c r="B591" t="s">
        <v>1624</v>
      </c>
      <c r="C591" s="12" t="str">
        <f t="shared" si="63"/>
        <v>Positive</v>
      </c>
      <c r="D591" s="18">
        <f t="shared" si="64"/>
        <v>1</v>
      </c>
      <c r="E591" s="1">
        <v>45075.979166666664</v>
      </c>
      <c r="F591" s="10">
        <f>INT(E591)</f>
        <v>45075</v>
      </c>
      <c r="G591" s="15">
        <f>MOD(E591,2)</f>
        <v>1.9791666666642413</v>
      </c>
      <c r="H591" s="15" t="str">
        <f t="shared" si="65"/>
        <v>23:30</v>
      </c>
      <c r="I591" t="s">
        <v>2066</v>
      </c>
      <c r="J591" t="s">
        <v>874</v>
      </c>
      <c r="K591" t="str">
        <f t="shared" si="66"/>
        <v>Twitter</v>
      </c>
      <c r="L591" t="s">
        <v>2067</v>
      </c>
      <c r="M591">
        <v>30</v>
      </c>
      <c r="N591">
        <v>60</v>
      </c>
      <c r="O591">
        <f t="shared" si="67"/>
        <v>90</v>
      </c>
      <c r="P591" t="s">
        <v>2044</v>
      </c>
      <c r="Q591" t="str">
        <f t="shared" si="68"/>
        <v>UK</v>
      </c>
      <c r="R591">
        <v>2023</v>
      </c>
      <c r="S591">
        <v>5</v>
      </c>
      <c r="T591">
        <v>29</v>
      </c>
      <c r="U591">
        <v>23</v>
      </c>
      <c r="Y591" s="4">
        <f t="shared" si="69"/>
        <v>23</v>
      </c>
    </row>
    <row r="592" spans="1:25" ht="18" x14ac:dyDescent="0.25">
      <c r="A592" t="s">
        <v>2068</v>
      </c>
      <c r="B592" t="s">
        <v>388</v>
      </c>
      <c r="C592" s="12" t="str">
        <f t="shared" si="63"/>
        <v>Positive</v>
      </c>
      <c r="D592" s="18">
        <f t="shared" si="64"/>
        <v>1</v>
      </c>
      <c r="E592" s="1">
        <v>45076.864583333336</v>
      </c>
      <c r="F592" s="10">
        <f>INT(E592)</f>
        <v>45076</v>
      </c>
      <c r="G592" s="15">
        <f>MOD(E592,2)</f>
        <v>0.86458333333575865</v>
      </c>
      <c r="H592" s="15" t="str">
        <f t="shared" si="65"/>
        <v>20:45</v>
      </c>
      <c r="I592" t="s">
        <v>2069</v>
      </c>
      <c r="J592" t="s">
        <v>26</v>
      </c>
      <c r="K592" t="str">
        <f t="shared" si="66"/>
        <v>Instagram</v>
      </c>
      <c r="L592" t="s">
        <v>2070</v>
      </c>
      <c r="M592">
        <v>22</v>
      </c>
      <c r="N592">
        <v>45</v>
      </c>
      <c r="O592">
        <f t="shared" si="67"/>
        <v>67</v>
      </c>
      <c r="P592" t="s">
        <v>2035</v>
      </c>
      <c r="Q592" t="str">
        <f t="shared" si="68"/>
        <v>USA</v>
      </c>
      <c r="R592">
        <v>2023</v>
      </c>
      <c r="S592">
        <v>5</v>
      </c>
      <c r="T592">
        <v>30</v>
      </c>
      <c r="U592">
        <v>20</v>
      </c>
      <c r="Y592" s="4">
        <f t="shared" si="69"/>
        <v>20</v>
      </c>
    </row>
    <row r="593" spans="1:25" ht="18" x14ac:dyDescent="0.25">
      <c r="A593" t="s">
        <v>2071</v>
      </c>
      <c r="B593" t="s">
        <v>1624</v>
      </c>
      <c r="C593" s="12" t="str">
        <f t="shared" si="63"/>
        <v>Positive</v>
      </c>
      <c r="D593" s="18">
        <f t="shared" si="64"/>
        <v>1</v>
      </c>
      <c r="E593" s="1">
        <v>45077.645833333336</v>
      </c>
      <c r="F593" s="10">
        <f>INT(E593)</f>
        <v>45077</v>
      </c>
      <c r="G593" s="15">
        <f>MOD(E593,2)</f>
        <v>1.6458333333357587</v>
      </c>
      <c r="H593" s="15" t="str">
        <f t="shared" si="65"/>
        <v>15:30</v>
      </c>
      <c r="I593" t="s">
        <v>2072</v>
      </c>
      <c r="J593" t="s">
        <v>31</v>
      </c>
      <c r="K593" t="str">
        <f t="shared" si="66"/>
        <v>Facebook</v>
      </c>
      <c r="L593" t="s">
        <v>2073</v>
      </c>
      <c r="M593">
        <v>35</v>
      </c>
      <c r="N593">
        <v>70</v>
      </c>
      <c r="O593">
        <f t="shared" si="67"/>
        <v>105</v>
      </c>
      <c r="P593" t="s">
        <v>2040</v>
      </c>
      <c r="Q593" t="str">
        <f t="shared" si="68"/>
        <v>Canada</v>
      </c>
      <c r="R593">
        <v>2023</v>
      </c>
      <c r="S593">
        <v>5</v>
      </c>
      <c r="T593">
        <v>31</v>
      </c>
      <c r="U593">
        <v>15</v>
      </c>
      <c r="Y593" s="4">
        <f t="shared" si="69"/>
        <v>15</v>
      </c>
    </row>
    <row r="594" spans="1:25" ht="18" x14ac:dyDescent="0.25">
      <c r="A594" t="s">
        <v>2074</v>
      </c>
      <c r="B594" t="s">
        <v>388</v>
      </c>
      <c r="C594" s="12" t="str">
        <f t="shared" si="63"/>
        <v>Positive</v>
      </c>
      <c r="D594" s="18">
        <f t="shared" si="64"/>
        <v>1</v>
      </c>
      <c r="E594" s="1">
        <v>45078.75</v>
      </c>
      <c r="F594" s="10">
        <f>INT(E594)</f>
        <v>45078</v>
      </c>
      <c r="G594" s="15">
        <f>MOD(E594,2)</f>
        <v>0.75</v>
      </c>
      <c r="H594" s="15" t="str">
        <f t="shared" si="65"/>
        <v>18:00</v>
      </c>
      <c r="I594" t="s">
        <v>2075</v>
      </c>
      <c r="J594" t="s">
        <v>874</v>
      </c>
      <c r="K594" t="str">
        <f t="shared" si="66"/>
        <v>Twitter</v>
      </c>
      <c r="L594" t="s">
        <v>2076</v>
      </c>
      <c r="M594">
        <v>20</v>
      </c>
      <c r="N594">
        <v>40</v>
      </c>
      <c r="O594">
        <f t="shared" si="67"/>
        <v>60</v>
      </c>
      <c r="P594" t="s">
        <v>2035</v>
      </c>
      <c r="Q594" t="str">
        <f t="shared" si="68"/>
        <v>USA</v>
      </c>
      <c r="R594">
        <v>2023</v>
      </c>
      <c r="S594">
        <v>6</v>
      </c>
      <c r="T594">
        <v>1</v>
      </c>
      <c r="U594">
        <v>18</v>
      </c>
      <c r="Y594" s="4">
        <f t="shared" si="69"/>
        <v>18</v>
      </c>
    </row>
    <row r="595" spans="1:25" ht="18" x14ac:dyDescent="0.25">
      <c r="A595" t="s">
        <v>2077</v>
      </c>
      <c r="B595" t="s">
        <v>660</v>
      </c>
      <c r="C595" s="12" t="str">
        <f t="shared" si="63"/>
        <v>Negative</v>
      </c>
      <c r="D595" s="18">
        <f t="shared" si="64"/>
        <v>-1</v>
      </c>
      <c r="E595" s="1">
        <v>45079.604166666664</v>
      </c>
      <c r="F595" s="10">
        <f>INT(E595)</f>
        <v>45079</v>
      </c>
      <c r="G595" s="15">
        <f>MOD(E595,2)</f>
        <v>1.6041666666642413</v>
      </c>
      <c r="H595" s="15" t="str">
        <f t="shared" si="65"/>
        <v>14:30</v>
      </c>
      <c r="I595" t="s">
        <v>2078</v>
      </c>
      <c r="J595" t="s">
        <v>26</v>
      </c>
      <c r="K595" t="str">
        <f t="shared" si="66"/>
        <v>Instagram</v>
      </c>
      <c r="L595" t="s">
        <v>2079</v>
      </c>
      <c r="M595">
        <v>28</v>
      </c>
      <c r="N595">
        <v>55</v>
      </c>
      <c r="O595">
        <f t="shared" si="67"/>
        <v>83</v>
      </c>
      <c r="P595" t="s">
        <v>2044</v>
      </c>
      <c r="Q595" t="str">
        <f t="shared" si="68"/>
        <v>UK</v>
      </c>
      <c r="R595">
        <v>2023</v>
      </c>
      <c r="S595">
        <v>6</v>
      </c>
      <c r="T595">
        <v>2</v>
      </c>
      <c r="U595">
        <v>14</v>
      </c>
      <c r="Y595" s="4">
        <f t="shared" si="69"/>
        <v>14</v>
      </c>
    </row>
    <row r="596" spans="1:25" ht="18" x14ac:dyDescent="0.25">
      <c r="A596" t="s">
        <v>2080</v>
      </c>
      <c r="B596" t="s">
        <v>1624</v>
      </c>
      <c r="C596" s="12" t="str">
        <f t="shared" si="63"/>
        <v>Positive</v>
      </c>
      <c r="D596" s="18">
        <f t="shared" si="64"/>
        <v>1</v>
      </c>
      <c r="E596" s="1">
        <v>45080.885416666664</v>
      </c>
      <c r="F596" s="10">
        <f>INT(E596)</f>
        <v>45080</v>
      </c>
      <c r="G596" s="15">
        <f>MOD(E596,2)</f>
        <v>0.88541666666424135</v>
      </c>
      <c r="H596" s="15" t="str">
        <f t="shared" si="65"/>
        <v>21:15</v>
      </c>
      <c r="I596" t="s">
        <v>2081</v>
      </c>
      <c r="J596" t="s">
        <v>31</v>
      </c>
      <c r="K596" t="str">
        <f t="shared" si="66"/>
        <v>Facebook</v>
      </c>
      <c r="L596" t="s">
        <v>2082</v>
      </c>
      <c r="M596">
        <v>22</v>
      </c>
      <c r="N596">
        <v>45</v>
      </c>
      <c r="O596">
        <f t="shared" si="67"/>
        <v>67</v>
      </c>
      <c r="P596" t="s">
        <v>2040</v>
      </c>
      <c r="Q596" t="str">
        <f t="shared" si="68"/>
        <v>Canada</v>
      </c>
      <c r="R596">
        <v>2023</v>
      </c>
      <c r="S596">
        <v>6</v>
      </c>
      <c r="T596">
        <v>3</v>
      </c>
      <c r="U596">
        <v>21</v>
      </c>
      <c r="Y596" s="4">
        <f t="shared" si="69"/>
        <v>21</v>
      </c>
    </row>
    <row r="597" spans="1:25" ht="18" x14ac:dyDescent="0.25">
      <c r="A597" t="s">
        <v>2083</v>
      </c>
      <c r="B597" t="s">
        <v>1823</v>
      </c>
      <c r="C597" s="12" t="str">
        <f t="shared" si="63"/>
        <v>Positive</v>
      </c>
      <c r="D597" s="18">
        <f t="shared" si="64"/>
        <v>1</v>
      </c>
      <c r="E597" s="1">
        <v>45081.8125</v>
      </c>
      <c r="F597" s="10">
        <f>INT(E597)</f>
        <v>45081</v>
      </c>
      <c r="G597" s="15">
        <f>MOD(E597,2)</f>
        <v>1.8125</v>
      </c>
      <c r="H597" s="15" t="str">
        <f t="shared" si="65"/>
        <v>19:30</v>
      </c>
      <c r="I597" t="s">
        <v>2084</v>
      </c>
      <c r="J597" t="s">
        <v>874</v>
      </c>
      <c r="K597" t="str">
        <f t="shared" si="66"/>
        <v>Twitter</v>
      </c>
      <c r="L597" t="s">
        <v>2085</v>
      </c>
      <c r="M597">
        <v>25</v>
      </c>
      <c r="N597">
        <v>50</v>
      </c>
      <c r="O597">
        <f t="shared" si="67"/>
        <v>75</v>
      </c>
      <c r="P597" t="s">
        <v>2035</v>
      </c>
      <c r="Q597" t="str">
        <f t="shared" si="68"/>
        <v>USA</v>
      </c>
      <c r="R597">
        <v>2023</v>
      </c>
      <c r="S597">
        <v>6</v>
      </c>
      <c r="T597">
        <v>4</v>
      </c>
      <c r="U597">
        <v>19</v>
      </c>
      <c r="Y597" s="4">
        <f t="shared" si="69"/>
        <v>19</v>
      </c>
    </row>
    <row r="598" spans="1:25" ht="18" x14ac:dyDescent="0.25">
      <c r="A598" t="s">
        <v>2086</v>
      </c>
      <c r="B598" t="s">
        <v>388</v>
      </c>
      <c r="C598" s="12" t="str">
        <f t="shared" si="63"/>
        <v>Positive</v>
      </c>
      <c r="D598" s="18">
        <f t="shared" si="64"/>
        <v>1</v>
      </c>
      <c r="E598" s="1">
        <v>45082.416666666664</v>
      </c>
      <c r="F598" s="10">
        <f>INT(E598)</f>
        <v>45082</v>
      </c>
      <c r="G598" s="15">
        <f>MOD(E598,2)</f>
        <v>0.41666666666424135</v>
      </c>
      <c r="H598" s="15" t="str">
        <f t="shared" si="65"/>
        <v>10:00</v>
      </c>
      <c r="I598" t="s">
        <v>2087</v>
      </c>
      <c r="J598" t="s">
        <v>26</v>
      </c>
      <c r="K598" t="str">
        <f t="shared" si="66"/>
        <v>Instagram</v>
      </c>
      <c r="L598" t="s">
        <v>2088</v>
      </c>
      <c r="M598">
        <v>18</v>
      </c>
      <c r="N598">
        <v>35</v>
      </c>
      <c r="O598">
        <f t="shared" si="67"/>
        <v>53</v>
      </c>
      <c r="P598" t="s">
        <v>2044</v>
      </c>
      <c r="Q598" t="str">
        <f t="shared" si="68"/>
        <v>UK</v>
      </c>
      <c r="R598">
        <v>2023</v>
      </c>
      <c r="S598">
        <v>6</v>
      </c>
      <c r="T598">
        <v>5</v>
      </c>
      <c r="U598">
        <v>10</v>
      </c>
      <c r="Y598" s="4">
        <f t="shared" si="69"/>
        <v>10</v>
      </c>
    </row>
    <row r="599" spans="1:25" ht="18" x14ac:dyDescent="0.25">
      <c r="A599" t="s">
        <v>2089</v>
      </c>
      <c r="B599" t="s">
        <v>1624</v>
      </c>
      <c r="C599" s="12" t="str">
        <f t="shared" si="63"/>
        <v>Positive</v>
      </c>
      <c r="D599" s="18">
        <f t="shared" si="64"/>
        <v>1</v>
      </c>
      <c r="E599" s="1">
        <v>45083.9375</v>
      </c>
      <c r="F599" s="10">
        <f>INT(E599)</f>
        <v>45083</v>
      </c>
      <c r="G599" s="15">
        <f>MOD(E599,2)</f>
        <v>1.9375</v>
      </c>
      <c r="H599" s="15" t="str">
        <f t="shared" si="65"/>
        <v>22:30</v>
      </c>
      <c r="I599" t="s">
        <v>1264</v>
      </c>
      <c r="J599" t="s">
        <v>31</v>
      </c>
      <c r="K599" t="str">
        <f t="shared" si="66"/>
        <v>Facebook</v>
      </c>
      <c r="L599" t="s">
        <v>2090</v>
      </c>
      <c r="M599">
        <v>28</v>
      </c>
      <c r="N599">
        <v>55</v>
      </c>
      <c r="O599">
        <f t="shared" si="67"/>
        <v>83</v>
      </c>
      <c r="P599" t="s">
        <v>2040</v>
      </c>
      <c r="Q599" t="str">
        <f t="shared" si="68"/>
        <v>Canada</v>
      </c>
      <c r="R599">
        <v>2023</v>
      </c>
      <c r="S599">
        <v>6</v>
      </c>
      <c r="T599">
        <v>6</v>
      </c>
      <c r="U599">
        <v>22</v>
      </c>
      <c r="Y599" s="4">
        <f t="shared" si="69"/>
        <v>22</v>
      </c>
    </row>
    <row r="600" spans="1:25" ht="18" x14ac:dyDescent="0.25">
      <c r="A600" t="s">
        <v>2091</v>
      </c>
      <c r="B600" t="s">
        <v>1624</v>
      </c>
      <c r="C600" s="12" t="str">
        <f t="shared" si="63"/>
        <v>Positive</v>
      </c>
      <c r="D600" s="18">
        <f t="shared" si="64"/>
        <v>1</v>
      </c>
      <c r="E600" s="1">
        <v>45084.53125</v>
      </c>
      <c r="F600" s="10">
        <f>INT(E600)</f>
        <v>45084</v>
      </c>
      <c r="G600" s="15">
        <f>MOD(E600,2)</f>
        <v>0.53125</v>
      </c>
      <c r="H600" s="15" t="str">
        <f t="shared" si="65"/>
        <v>12:45</v>
      </c>
      <c r="I600" t="s">
        <v>2092</v>
      </c>
      <c r="J600" t="s">
        <v>874</v>
      </c>
      <c r="K600" t="str">
        <f t="shared" si="66"/>
        <v>Twitter</v>
      </c>
      <c r="L600" t="s">
        <v>2093</v>
      </c>
      <c r="M600">
        <v>22</v>
      </c>
      <c r="N600">
        <v>45</v>
      </c>
      <c r="O600">
        <f t="shared" si="67"/>
        <v>67</v>
      </c>
      <c r="P600" t="s">
        <v>2035</v>
      </c>
      <c r="Q600" t="str">
        <f t="shared" si="68"/>
        <v>USA</v>
      </c>
      <c r="R600">
        <v>2023</v>
      </c>
      <c r="S600">
        <v>6</v>
      </c>
      <c r="T600">
        <v>7</v>
      </c>
      <c r="U600">
        <v>12</v>
      </c>
      <c r="Y600" s="4">
        <f t="shared" si="69"/>
        <v>12</v>
      </c>
    </row>
    <row r="601" spans="1:25" ht="18" x14ac:dyDescent="0.25">
      <c r="A601" t="s">
        <v>2094</v>
      </c>
      <c r="B601" t="s">
        <v>388</v>
      </c>
      <c r="C601" s="12" t="str">
        <f t="shared" si="63"/>
        <v>Positive</v>
      </c>
      <c r="D601" s="18">
        <f t="shared" si="64"/>
        <v>1</v>
      </c>
      <c r="E601" s="1">
        <v>45085.666666666664</v>
      </c>
      <c r="F601" s="10">
        <f>INT(E601)</f>
        <v>45085</v>
      </c>
      <c r="G601" s="15">
        <f>MOD(E601,2)</f>
        <v>1.6666666666642413</v>
      </c>
      <c r="H601" s="15" t="str">
        <f t="shared" si="65"/>
        <v>16:00</v>
      </c>
      <c r="I601" t="s">
        <v>2095</v>
      </c>
      <c r="J601" t="s">
        <v>26</v>
      </c>
      <c r="K601" t="str">
        <f t="shared" si="66"/>
        <v>Instagram</v>
      </c>
      <c r="L601" t="s">
        <v>2096</v>
      </c>
      <c r="M601">
        <v>35</v>
      </c>
      <c r="N601">
        <v>70</v>
      </c>
      <c r="O601">
        <f t="shared" si="67"/>
        <v>105</v>
      </c>
      <c r="P601" t="s">
        <v>2044</v>
      </c>
      <c r="Q601" t="str">
        <f t="shared" si="68"/>
        <v>UK</v>
      </c>
      <c r="R601">
        <v>2023</v>
      </c>
      <c r="S601">
        <v>6</v>
      </c>
      <c r="T601">
        <v>8</v>
      </c>
      <c r="U601">
        <v>16</v>
      </c>
      <c r="Y601" s="4">
        <f t="shared" si="69"/>
        <v>16</v>
      </c>
    </row>
    <row r="602" spans="1:25" ht="18" x14ac:dyDescent="0.25">
      <c r="A602" t="s">
        <v>2097</v>
      </c>
      <c r="B602" t="s">
        <v>924</v>
      </c>
      <c r="C602" s="12" t="str">
        <f t="shared" si="63"/>
        <v>Neutral</v>
      </c>
      <c r="D602" s="18">
        <f t="shared" si="64"/>
        <v>0</v>
      </c>
      <c r="E602" s="1">
        <v>45086.583333333336</v>
      </c>
      <c r="F602" s="10">
        <f>INT(E602)</f>
        <v>45086</v>
      </c>
      <c r="G602" s="15">
        <f>MOD(E602,2)</f>
        <v>0.58333333333575865</v>
      </c>
      <c r="H602" s="15" t="str">
        <f t="shared" si="65"/>
        <v>14:00</v>
      </c>
      <c r="I602" t="s">
        <v>2098</v>
      </c>
      <c r="J602" t="s">
        <v>31</v>
      </c>
      <c r="K602" t="str">
        <f t="shared" si="66"/>
        <v>Facebook</v>
      </c>
      <c r="L602" t="s">
        <v>2099</v>
      </c>
      <c r="M602">
        <v>20</v>
      </c>
      <c r="N602">
        <v>40</v>
      </c>
      <c r="O602">
        <f t="shared" si="67"/>
        <v>60</v>
      </c>
      <c r="P602" t="s">
        <v>2035</v>
      </c>
      <c r="Q602" t="str">
        <f t="shared" si="68"/>
        <v>USA</v>
      </c>
      <c r="R602">
        <v>2023</v>
      </c>
      <c r="S602">
        <v>6</v>
      </c>
      <c r="T602">
        <v>9</v>
      </c>
      <c r="U602">
        <v>14</v>
      </c>
      <c r="Y602" s="4">
        <f t="shared" si="69"/>
        <v>14</v>
      </c>
    </row>
    <row r="603" spans="1:25" ht="18" x14ac:dyDescent="0.25">
      <c r="A603" t="s">
        <v>2100</v>
      </c>
      <c r="B603" t="s">
        <v>924</v>
      </c>
      <c r="C603" s="12" t="str">
        <f t="shared" si="63"/>
        <v>Neutral</v>
      </c>
      <c r="D603" s="18">
        <f t="shared" si="64"/>
        <v>0</v>
      </c>
      <c r="E603" s="1">
        <v>45087.729166666664</v>
      </c>
      <c r="F603" s="10">
        <f>INT(E603)</f>
        <v>45087</v>
      </c>
      <c r="G603" s="15">
        <f>MOD(E603,2)</f>
        <v>1.7291666666642413</v>
      </c>
      <c r="H603" s="15" t="str">
        <f t="shared" si="65"/>
        <v>17:30</v>
      </c>
      <c r="I603" t="s">
        <v>2101</v>
      </c>
      <c r="J603" t="s">
        <v>874</v>
      </c>
      <c r="K603" t="str">
        <f t="shared" si="66"/>
        <v>Twitter</v>
      </c>
      <c r="L603" t="s">
        <v>2102</v>
      </c>
      <c r="M603">
        <v>30</v>
      </c>
      <c r="N603">
        <v>60</v>
      </c>
      <c r="O603">
        <f t="shared" si="67"/>
        <v>90</v>
      </c>
      <c r="P603" t="s">
        <v>2040</v>
      </c>
      <c r="Q603" t="str">
        <f t="shared" si="68"/>
        <v>Canada</v>
      </c>
      <c r="R603">
        <v>2023</v>
      </c>
      <c r="S603">
        <v>6</v>
      </c>
      <c r="T603">
        <v>10</v>
      </c>
      <c r="U603">
        <v>17</v>
      </c>
      <c r="Y603" s="4">
        <f t="shared" si="69"/>
        <v>17</v>
      </c>
    </row>
    <row r="604" spans="1:25" ht="18" x14ac:dyDescent="0.25">
      <c r="A604" t="s">
        <v>2103</v>
      </c>
      <c r="B604" t="s">
        <v>877</v>
      </c>
      <c r="C604" s="12" t="str">
        <f t="shared" si="63"/>
        <v>Positive</v>
      </c>
      <c r="D604" s="18">
        <f t="shared" si="64"/>
        <v>1</v>
      </c>
      <c r="E604" s="1">
        <v>45088.645833333336</v>
      </c>
      <c r="F604" s="10">
        <f>INT(E604)</f>
        <v>45088</v>
      </c>
      <c r="G604" s="15">
        <f>MOD(E604,2)</f>
        <v>0.64583333333575865</v>
      </c>
      <c r="H604" s="15" t="str">
        <f t="shared" si="65"/>
        <v>15:30</v>
      </c>
      <c r="I604" t="s">
        <v>2104</v>
      </c>
      <c r="J604" t="s">
        <v>26</v>
      </c>
      <c r="K604" t="str">
        <f t="shared" si="66"/>
        <v>Instagram</v>
      </c>
      <c r="L604" t="s">
        <v>2105</v>
      </c>
      <c r="M604">
        <v>35</v>
      </c>
      <c r="N604">
        <v>70</v>
      </c>
      <c r="O604">
        <f t="shared" si="67"/>
        <v>105</v>
      </c>
      <c r="P604" t="s">
        <v>2035</v>
      </c>
      <c r="Q604" t="str">
        <f t="shared" si="68"/>
        <v>USA</v>
      </c>
      <c r="R604">
        <v>2023</v>
      </c>
      <c r="S604">
        <v>6</v>
      </c>
      <c r="T604">
        <v>11</v>
      </c>
      <c r="U604">
        <v>15</v>
      </c>
      <c r="Y604" s="4">
        <f t="shared" si="69"/>
        <v>15</v>
      </c>
    </row>
    <row r="605" spans="1:25" ht="18" x14ac:dyDescent="0.25">
      <c r="A605" t="s">
        <v>2106</v>
      </c>
      <c r="B605" t="s">
        <v>1638</v>
      </c>
      <c r="C605" s="12" t="str">
        <f t="shared" si="63"/>
        <v>Positive</v>
      </c>
      <c r="D605" s="18">
        <f t="shared" si="64"/>
        <v>1</v>
      </c>
      <c r="E605" s="1">
        <v>45089.75</v>
      </c>
      <c r="F605" s="10">
        <f>INT(E605)</f>
        <v>45089</v>
      </c>
      <c r="G605" s="15">
        <f>MOD(E605,2)</f>
        <v>1.75</v>
      </c>
      <c r="H605" s="15" t="str">
        <f t="shared" si="65"/>
        <v>18:00</v>
      </c>
      <c r="I605" t="s">
        <v>2107</v>
      </c>
      <c r="J605" t="s">
        <v>874</v>
      </c>
      <c r="K605" t="str">
        <f t="shared" si="66"/>
        <v>Twitter</v>
      </c>
      <c r="L605" t="s">
        <v>2108</v>
      </c>
      <c r="M605">
        <v>28</v>
      </c>
      <c r="N605">
        <v>55</v>
      </c>
      <c r="O605">
        <f t="shared" si="67"/>
        <v>83</v>
      </c>
      <c r="P605" t="s">
        <v>2044</v>
      </c>
      <c r="Q605" t="str">
        <f t="shared" si="68"/>
        <v>UK</v>
      </c>
      <c r="R605">
        <v>2023</v>
      </c>
      <c r="S605">
        <v>6</v>
      </c>
      <c r="T605">
        <v>12</v>
      </c>
      <c r="U605">
        <v>18</v>
      </c>
      <c r="Y605" s="4">
        <f t="shared" si="69"/>
        <v>18</v>
      </c>
    </row>
    <row r="606" spans="1:25" ht="18" x14ac:dyDescent="0.25">
      <c r="A606" t="s">
        <v>2109</v>
      </c>
      <c r="B606" t="s">
        <v>924</v>
      </c>
      <c r="C606" s="12" t="str">
        <f t="shared" si="63"/>
        <v>Neutral</v>
      </c>
      <c r="D606" s="18">
        <f t="shared" si="64"/>
        <v>0</v>
      </c>
      <c r="E606" s="1">
        <v>45090.614583333336</v>
      </c>
      <c r="F606" s="10">
        <f>INT(E606)</f>
        <v>45090</v>
      </c>
      <c r="G606" s="15">
        <f>MOD(E606,2)</f>
        <v>0.61458333333575865</v>
      </c>
      <c r="H606" s="15" t="str">
        <f t="shared" si="65"/>
        <v>14:45</v>
      </c>
      <c r="I606" t="s">
        <v>2110</v>
      </c>
      <c r="J606" t="s">
        <v>31</v>
      </c>
      <c r="K606" t="str">
        <f t="shared" si="66"/>
        <v>Facebook</v>
      </c>
      <c r="L606" t="s">
        <v>2111</v>
      </c>
      <c r="M606">
        <v>22</v>
      </c>
      <c r="N606">
        <v>45</v>
      </c>
      <c r="O606">
        <f t="shared" si="67"/>
        <v>67</v>
      </c>
      <c r="P606" t="s">
        <v>2040</v>
      </c>
      <c r="Q606" t="str">
        <f t="shared" si="68"/>
        <v>Canada</v>
      </c>
      <c r="R606">
        <v>2023</v>
      </c>
      <c r="S606">
        <v>6</v>
      </c>
      <c r="T606">
        <v>13</v>
      </c>
      <c r="U606">
        <v>14</v>
      </c>
      <c r="Y606" s="4">
        <f t="shared" si="69"/>
        <v>14</v>
      </c>
    </row>
    <row r="607" spans="1:25" ht="18" x14ac:dyDescent="0.25">
      <c r="A607" t="s">
        <v>2112</v>
      </c>
      <c r="B607" t="s">
        <v>877</v>
      </c>
      <c r="C607" s="12" t="str">
        <f t="shared" si="63"/>
        <v>Positive</v>
      </c>
      <c r="D607" s="18">
        <f t="shared" si="64"/>
        <v>1</v>
      </c>
      <c r="E607" s="1">
        <v>45091.8125</v>
      </c>
      <c r="F607" s="10">
        <f>INT(E607)</f>
        <v>45091</v>
      </c>
      <c r="G607" s="15">
        <f>MOD(E607,2)</f>
        <v>1.8125</v>
      </c>
      <c r="H607" s="15" t="str">
        <f t="shared" si="65"/>
        <v>19:30</v>
      </c>
      <c r="I607" t="s">
        <v>2113</v>
      </c>
      <c r="J607" t="s">
        <v>26</v>
      </c>
      <c r="K607" t="str">
        <f t="shared" si="66"/>
        <v>Instagram</v>
      </c>
      <c r="L607" t="s">
        <v>2114</v>
      </c>
      <c r="M607">
        <v>25</v>
      </c>
      <c r="N607">
        <v>50</v>
      </c>
      <c r="O607">
        <f t="shared" si="67"/>
        <v>75</v>
      </c>
      <c r="P607" t="s">
        <v>2035</v>
      </c>
      <c r="Q607" t="str">
        <f t="shared" si="68"/>
        <v>USA</v>
      </c>
      <c r="R607">
        <v>2023</v>
      </c>
      <c r="S607">
        <v>6</v>
      </c>
      <c r="T607">
        <v>14</v>
      </c>
      <c r="U607">
        <v>19</v>
      </c>
      <c r="Y607" s="4">
        <f t="shared" si="69"/>
        <v>19</v>
      </c>
    </row>
    <row r="608" spans="1:25" ht="18" x14ac:dyDescent="0.25">
      <c r="A608" t="s">
        <v>2115</v>
      </c>
      <c r="B608" t="s">
        <v>924</v>
      </c>
      <c r="C608" s="12" t="str">
        <f t="shared" si="63"/>
        <v>Neutral</v>
      </c>
      <c r="D608" s="18">
        <f t="shared" si="64"/>
        <v>0</v>
      </c>
      <c r="E608" s="1">
        <v>45092.510416666664</v>
      </c>
      <c r="F608" s="10">
        <f>INT(E608)</f>
        <v>45092</v>
      </c>
      <c r="G608" s="15">
        <f>MOD(E608,2)</f>
        <v>0.51041666666424135</v>
      </c>
      <c r="H608" s="15" t="str">
        <f t="shared" si="65"/>
        <v>12:15</v>
      </c>
      <c r="I608" t="s">
        <v>2116</v>
      </c>
      <c r="J608" t="s">
        <v>874</v>
      </c>
      <c r="K608" t="str">
        <f t="shared" si="66"/>
        <v>Twitter</v>
      </c>
      <c r="L608" t="s">
        <v>2117</v>
      </c>
      <c r="M608">
        <v>30</v>
      </c>
      <c r="N608">
        <v>60</v>
      </c>
      <c r="O608">
        <f t="shared" si="67"/>
        <v>90</v>
      </c>
      <c r="P608" t="s">
        <v>2044</v>
      </c>
      <c r="Q608" t="str">
        <f t="shared" si="68"/>
        <v>UK</v>
      </c>
      <c r="R608">
        <v>2023</v>
      </c>
      <c r="S608">
        <v>6</v>
      </c>
      <c r="T608">
        <v>15</v>
      </c>
      <c r="U608">
        <v>12</v>
      </c>
      <c r="Y608" s="4">
        <f t="shared" si="69"/>
        <v>12</v>
      </c>
    </row>
    <row r="609" spans="1:25" ht="18" x14ac:dyDescent="0.25">
      <c r="A609" t="s">
        <v>2118</v>
      </c>
      <c r="B609" t="s">
        <v>1624</v>
      </c>
      <c r="C609" s="12" t="str">
        <f t="shared" si="63"/>
        <v>Positive</v>
      </c>
      <c r="D609" s="18">
        <f t="shared" si="64"/>
        <v>1</v>
      </c>
      <c r="E609" s="1">
        <v>45093.90625</v>
      </c>
      <c r="F609" s="10">
        <f>INT(E609)</f>
        <v>45093</v>
      </c>
      <c r="G609" s="15">
        <f>MOD(E609,2)</f>
        <v>1.90625</v>
      </c>
      <c r="H609" s="15" t="str">
        <f t="shared" si="65"/>
        <v>21:45</v>
      </c>
      <c r="I609" t="s">
        <v>2119</v>
      </c>
      <c r="J609" t="s">
        <v>31</v>
      </c>
      <c r="K609" t="str">
        <f t="shared" si="66"/>
        <v>Facebook</v>
      </c>
      <c r="L609" t="s">
        <v>2120</v>
      </c>
      <c r="M609">
        <v>18</v>
      </c>
      <c r="N609">
        <v>35</v>
      </c>
      <c r="O609">
        <f t="shared" si="67"/>
        <v>53</v>
      </c>
      <c r="P609" t="s">
        <v>2040</v>
      </c>
      <c r="Q609" t="str">
        <f t="shared" si="68"/>
        <v>Canada</v>
      </c>
      <c r="R609">
        <v>2023</v>
      </c>
      <c r="S609">
        <v>6</v>
      </c>
      <c r="T609">
        <v>16</v>
      </c>
      <c r="U609">
        <v>21</v>
      </c>
      <c r="Y609" s="4">
        <f t="shared" si="69"/>
        <v>21</v>
      </c>
    </row>
    <row r="610" spans="1:25" ht="18" x14ac:dyDescent="0.25">
      <c r="A610" t="s">
        <v>2121</v>
      </c>
      <c r="B610" t="s">
        <v>1624</v>
      </c>
      <c r="C610" s="12" t="str">
        <f t="shared" si="63"/>
        <v>Positive</v>
      </c>
      <c r="D610" s="18">
        <f t="shared" si="64"/>
        <v>1</v>
      </c>
      <c r="E610" s="1">
        <v>45094.625</v>
      </c>
      <c r="F610" s="10">
        <f>INT(E610)</f>
        <v>45094</v>
      </c>
      <c r="G610" s="15">
        <f>MOD(E610,2)</f>
        <v>0.625</v>
      </c>
      <c r="H610" s="15" t="str">
        <f t="shared" si="65"/>
        <v>15:00</v>
      </c>
      <c r="I610" t="s">
        <v>2122</v>
      </c>
      <c r="J610" t="s">
        <v>26</v>
      </c>
      <c r="K610" t="str">
        <f t="shared" si="66"/>
        <v>Instagram</v>
      </c>
      <c r="L610" t="s">
        <v>2123</v>
      </c>
      <c r="M610">
        <v>35</v>
      </c>
      <c r="N610">
        <v>70</v>
      </c>
      <c r="O610">
        <f t="shared" si="67"/>
        <v>105</v>
      </c>
      <c r="P610" t="s">
        <v>2035</v>
      </c>
      <c r="Q610" t="str">
        <f t="shared" si="68"/>
        <v>USA</v>
      </c>
      <c r="R610">
        <v>2023</v>
      </c>
      <c r="S610">
        <v>6</v>
      </c>
      <c r="T610">
        <v>17</v>
      </c>
      <c r="U610">
        <v>15</v>
      </c>
      <c r="Y610" s="4">
        <f t="shared" si="69"/>
        <v>15</v>
      </c>
    </row>
    <row r="611" spans="1:25" ht="18" x14ac:dyDescent="0.25">
      <c r="A611" t="s">
        <v>2124</v>
      </c>
      <c r="B611" t="s">
        <v>877</v>
      </c>
      <c r="C611" s="12" t="str">
        <f t="shared" si="63"/>
        <v>Positive</v>
      </c>
      <c r="D611" s="18">
        <f t="shared" si="64"/>
        <v>1</v>
      </c>
      <c r="E611" s="1">
        <v>45095.479166666664</v>
      </c>
      <c r="F611" s="10">
        <f>INT(E611)</f>
        <v>45095</v>
      </c>
      <c r="G611" s="15">
        <f>MOD(E611,2)</f>
        <v>1.4791666666642413</v>
      </c>
      <c r="H611" s="15" t="str">
        <f t="shared" si="65"/>
        <v>11:30</v>
      </c>
      <c r="I611" t="s">
        <v>2125</v>
      </c>
      <c r="J611" t="s">
        <v>874</v>
      </c>
      <c r="K611" t="str">
        <f t="shared" si="66"/>
        <v>Twitter</v>
      </c>
      <c r="L611" t="s">
        <v>2126</v>
      </c>
      <c r="M611">
        <v>28</v>
      </c>
      <c r="N611">
        <v>55</v>
      </c>
      <c r="O611">
        <f t="shared" si="67"/>
        <v>83</v>
      </c>
      <c r="P611" t="s">
        <v>2044</v>
      </c>
      <c r="Q611" t="str">
        <f t="shared" si="68"/>
        <v>UK</v>
      </c>
      <c r="R611">
        <v>2023</v>
      </c>
      <c r="S611">
        <v>6</v>
      </c>
      <c r="T611">
        <v>18</v>
      </c>
      <c r="U611">
        <v>11</v>
      </c>
      <c r="Y611" s="4">
        <f t="shared" si="69"/>
        <v>11</v>
      </c>
    </row>
    <row r="612" spans="1:25" ht="18" x14ac:dyDescent="0.25">
      <c r="A612" t="s">
        <v>2127</v>
      </c>
      <c r="B612" t="s">
        <v>1624</v>
      </c>
      <c r="C612" s="12" t="str">
        <f t="shared" si="63"/>
        <v>Positive</v>
      </c>
      <c r="D612" s="18">
        <f t="shared" si="64"/>
        <v>1</v>
      </c>
      <c r="E612" s="1">
        <v>45096.6875</v>
      </c>
      <c r="F612" s="10">
        <f>INT(E612)</f>
        <v>45096</v>
      </c>
      <c r="G612" s="15">
        <f>MOD(E612,2)</f>
        <v>0.6875</v>
      </c>
      <c r="H612" s="15" t="str">
        <f t="shared" si="65"/>
        <v>16:30</v>
      </c>
      <c r="I612" t="s">
        <v>2128</v>
      </c>
      <c r="J612" t="s">
        <v>31</v>
      </c>
      <c r="K612" t="str">
        <f t="shared" si="66"/>
        <v>Facebook</v>
      </c>
      <c r="L612" t="s">
        <v>2129</v>
      </c>
      <c r="M612">
        <v>22</v>
      </c>
      <c r="N612">
        <v>45</v>
      </c>
      <c r="O612">
        <f t="shared" si="67"/>
        <v>67</v>
      </c>
      <c r="P612" t="s">
        <v>2040</v>
      </c>
      <c r="Q612" t="str">
        <f t="shared" si="68"/>
        <v>Canada</v>
      </c>
      <c r="R612">
        <v>2023</v>
      </c>
      <c r="S612">
        <v>6</v>
      </c>
      <c r="T612">
        <v>19</v>
      </c>
      <c r="U612">
        <v>16</v>
      </c>
      <c r="Y612" s="4">
        <f t="shared" si="69"/>
        <v>16</v>
      </c>
    </row>
    <row r="613" spans="1:25" ht="18" x14ac:dyDescent="0.25">
      <c r="A613" t="s">
        <v>2130</v>
      </c>
      <c r="B613" t="s">
        <v>1624</v>
      </c>
      <c r="C613" s="12" t="str">
        <f t="shared" si="63"/>
        <v>Positive</v>
      </c>
      <c r="D613" s="18">
        <f t="shared" si="64"/>
        <v>1</v>
      </c>
      <c r="E613" s="1">
        <v>45097.597222222219</v>
      </c>
      <c r="F613" s="10">
        <f>INT(E613)</f>
        <v>45097</v>
      </c>
      <c r="G613" s="15">
        <f>MOD(E613,2)</f>
        <v>1.5972222222189885</v>
      </c>
      <c r="H613" s="15" t="str">
        <f t="shared" si="65"/>
        <v>14:20</v>
      </c>
      <c r="I613" t="s">
        <v>2131</v>
      </c>
      <c r="J613" t="s">
        <v>26</v>
      </c>
      <c r="K613" t="str">
        <f t="shared" si="66"/>
        <v>Instagram</v>
      </c>
      <c r="L613" t="s">
        <v>2132</v>
      </c>
      <c r="M613">
        <v>20</v>
      </c>
      <c r="N613">
        <v>40</v>
      </c>
      <c r="O613">
        <f t="shared" si="67"/>
        <v>60</v>
      </c>
      <c r="P613" t="s">
        <v>2035</v>
      </c>
      <c r="Q613" t="str">
        <f t="shared" si="68"/>
        <v>USA</v>
      </c>
      <c r="R613">
        <v>2023</v>
      </c>
      <c r="S613">
        <v>6</v>
      </c>
      <c r="T613">
        <v>20</v>
      </c>
      <c r="U613">
        <v>14</v>
      </c>
      <c r="Y613" s="4">
        <f t="shared" si="69"/>
        <v>14</v>
      </c>
    </row>
    <row r="614" spans="1:25" ht="18" x14ac:dyDescent="0.25">
      <c r="A614" t="s">
        <v>2133</v>
      </c>
      <c r="B614" t="s">
        <v>877</v>
      </c>
      <c r="C614" s="12" t="str">
        <f t="shared" si="63"/>
        <v>Positive</v>
      </c>
      <c r="D614" s="18">
        <f t="shared" si="64"/>
        <v>1</v>
      </c>
      <c r="E614" s="1">
        <v>45098.791666666664</v>
      </c>
      <c r="F614" s="10">
        <f>INT(E614)</f>
        <v>45098</v>
      </c>
      <c r="G614" s="15">
        <f>MOD(E614,2)</f>
        <v>0.79166666666424135</v>
      </c>
      <c r="H614" s="15" t="str">
        <f t="shared" si="65"/>
        <v>19:00</v>
      </c>
      <c r="I614" t="s">
        <v>2134</v>
      </c>
      <c r="J614" t="s">
        <v>874</v>
      </c>
      <c r="K614" t="str">
        <f t="shared" si="66"/>
        <v>Twitter</v>
      </c>
      <c r="L614" t="s">
        <v>2135</v>
      </c>
      <c r="M614">
        <v>18</v>
      </c>
      <c r="N614">
        <v>35</v>
      </c>
      <c r="O614">
        <f t="shared" si="67"/>
        <v>53</v>
      </c>
      <c r="P614" t="s">
        <v>2044</v>
      </c>
      <c r="Q614" t="str">
        <f t="shared" si="68"/>
        <v>UK</v>
      </c>
      <c r="R614">
        <v>2023</v>
      </c>
      <c r="S614">
        <v>6</v>
      </c>
      <c r="T614">
        <v>21</v>
      </c>
      <c r="U614">
        <v>19</v>
      </c>
      <c r="Y614" s="4">
        <f t="shared" si="69"/>
        <v>19</v>
      </c>
    </row>
    <row r="615" spans="1:25" ht="18" x14ac:dyDescent="0.25">
      <c r="A615" t="s">
        <v>2136</v>
      </c>
      <c r="B615" t="s">
        <v>877</v>
      </c>
      <c r="C615" s="12" t="str">
        <f t="shared" si="63"/>
        <v>Positive</v>
      </c>
      <c r="D615" s="18">
        <f t="shared" si="64"/>
        <v>1</v>
      </c>
      <c r="E615" s="1">
        <v>45099.572916666664</v>
      </c>
      <c r="F615" s="10">
        <f>INT(E615)</f>
        <v>45099</v>
      </c>
      <c r="G615" s="15">
        <f>MOD(E615,2)</f>
        <v>1.5729166666642413</v>
      </c>
      <c r="H615" s="15" t="str">
        <f t="shared" si="65"/>
        <v>13:45</v>
      </c>
      <c r="I615" t="s">
        <v>1180</v>
      </c>
      <c r="J615" t="s">
        <v>31</v>
      </c>
      <c r="K615" t="str">
        <f t="shared" si="66"/>
        <v>Facebook</v>
      </c>
      <c r="L615" t="s">
        <v>2137</v>
      </c>
      <c r="M615">
        <v>25</v>
      </c>
      <c r="N615">
        <v>50</v>
      </c>
      <c r="O615">
        <f t="shared" si="67"/>
        <v>75</v>
      </c>
      <c r="P615" t="s">
        <v>2035</v>
      </c>
      <c r="Q615" t="str">
        <f t="shared" si="68"/>
        <v>USA</v>
      </c>
      <c r="R615">
        <v>2023</v>
      </c>
      <c r="S615">
        <v>6</v>
      </c>
      <c r="T615">
        <v>22</v>
      </c>
      <c r="U615">
        <v>13</v>
      </c>
      <c r="Y615" s="4">
        <f t="shared" si="69"/>
        <v>13</v>
      </c>
    </row>
    <row r="616" spans="1:25" ht="18" x14ac:dyDescent="0.25">
      <c r="A616" t="s">
        <v>2138</v>
      </c>
      <c r="B616" t="s">
        <v>877</v>
      </c>
      <c r="C616" s="12" t="str">
        <f t="shared" si="63"/>
        <v>Positive</v>
      </c>
      <c r="D616" s="18">
        <f t="shared" si="64"/>
        <v>1</v>
      </c>
      <c r="E616" s="1">
        <v>45100.78125</v>
      </c>
      <c r="F616" s="10">
        <f>INT(E616)</f>
        <v>45100</v>
      </c>
      <c r="G616" s="15">
        <f>MOD(E616,2)</f>
        <v>0.78125</v>
      </c>
      <c r="H616" s="15" t="str">
        <f t="shared" si="65"/>
        <v>18:45</v>
      </c>
      <c r="I616" t="s">
        <v>2139</v>
      </c>
      <c r="J616" t="s">
        <v>26</v>
      </c>
      <c r="K616" t="str">
        <f t="shared" si="66"/>
        <v>Instagram</v>
      </c>
      <c r="L616" t="s">
        <v>2140</v>
      </c>
      <c r="M616">
        <v>28</v>
      </c>
      <c r="N616">
        <v>55</v>
      </c>
      <c r="O616">
        <f t="shared" si="67"/>
        <v>83</v>
      </c>
      <c r="P616" t="s">
        <v>2044</v>
      </c>
      <c r="Q616" t="str">
        <f t="shared" si="68"/>
        <v>UK</v>
      </c>
      <c r="R616">
        <v>2023</v>
      </c>
      <c r="S616">
        <v>6</v>
      </c>
      <c r="T616">
        <v>23</v>
      </c>
      <c r="U616">
        <v>18</v>
      </c>
      <c r="Y616" s="4">
        <f t="shared" si="69"/>
        <v>18</v>
      </c>
    </row>
    <row r="617" spans="1:25" ht="18" x14ac:dyDescent="0.25">
      <c r="A617" t="s">
        <v>2141</v>
      </c>
      <c r="B617" t="s">
        <v>1624</v>
      </c>
      <c r="C617" s="12" t="str">
        <f t="shared" si="63"/>
        <v>Positive</v>
      </c>
      <c r="D617" s="18">
        <f t="shared" si="64"/>
        <v>1</v>
      </c>
      <c r="E617" s="1">
        <v>45101.677083333336</v>
      </c>
      <c r="F617" s="10">
        <f>INT(E617)</f>
        <v>45101</v>
      </c>
      <c r="G617" s="15">
        <f>MOD(E617,2)</f>
        <v>1.6770833333357587</v>
      </c>
      <c r="H617" s="15" t="str">
        <f t="shared" si="65"/>
        <v>16:15</v>
      </c>
      <c r="I617" t="s">
        <v>2142</v>
      </c>
      <c r="J617" t="s">
        <v>874</v>
      </c>
      <c r="K617" t="str">
        <f t="shared" si="66"/>
        <v>Twitter</v>
      </c>
      <c r="L617" t="s">
        <v>2143</v>
      </c>
      <c r="M617">
        <v>22</v>
      </c>
      <c r="N617">
        <v>45</v>
      </c>
      <c r="O617">
        <f t="shared" si="67"/>
        <v>67</v>
      </c>
      <c r="P617" t="s">
        <v>2040</v>
      </c>
      <c r="Q617" t="str">
        <f t="shared" si="68"/>
        <v>Canada</v>
      </c>
      <c r="R617">
        <v>2023</v>
      </c>
      <c r="S617">
        <v>6</v>
      </c>
      <c r="T617">
        <v>24</v>
      </c>
      <c r="U617">
        <v>16</v>
      </c>
      <c r="Y617" s="4">
        <f t="shared" si="69"/>
        <v>16</v>
      </c>
    </row>
    <row r="618" spans="1:25" ht="18" x14ac:dyDescent="0.25">
      <c r="A618" t="s">
        <v>2144</v>
      </c>
      <c r="B618" t="s">
        <v>1638</v>
      </c>
      <c r="C618" s="12" t="str">
        <f t="shared" si="63"/>
        <v>Positive</v>
      </c>
      <c r="D618" s="18">
        <f t="shared" si="64"/>
        <v>1</v>
      </c>
      <c r="E618" s="1">
        <v>45102.854166666664</v>
      </c>
      <c r="F618" s="10">
        <f>INT(E618)</f>
        <v>45102</v>
      </c>
      <c r="G618" s="15">
        <f>MOD(E618,2)</f>
        <v>0.85416666666424135</v>
      </c>
      <c r="H618" s="15" t="str">
        <f t="shared" si="65"/>
        <v>20:30</v>
      </c>
      <c r="I618" t="s">
        <v>2145</v>
      </c>
      <c r="J618" t="s">
        <v>31</v>
      </c>
      <c r="K618" t="str">
        <f t="shared" si="66"/>
        <v>Facebook</v>
      </c>
      <c r="L618" t="s">
        <v>2146</v>
      </c>
      <c r="M618">
        <v>35</v>
      </c>
      <c r="N618">
        <v>70</v>
      </c>
      <c r="O618">
        <f t="shared" si="67"/>
        <v>105</v>
      </c>
      <c r="P618" t="s">
        <v>2035</v>
      </c>
      <c r="Q618" t="str">
        <f t="shared" si="68"/>
        <v>USA</v>
      </c>
      <c r="R618">
        <v>2023</v>
      </c>
      <c r="S618">
        <v>6</v>
      </c>
      <c r="T618">
        <v>25</v>
      </c>
      <c r="U618">
        <v>20</v>
      </c>
      <c r="Y618" s="4">
        <f t="shared" si="69"/>
        <v>20</v>
      </c>
    </row>
    <row r="619" spans="1:25" ht="18" x14ac:dyDescent="0.25">
      <c r="A619" t="s">
        <v>2147</v>
      </c>
      <c r="B619" t="s">
        <v>924</v>
      </c>
      <c r="C619" s="12" t="str">
        <f t="shared" si="63"/>
        <v>Neutral</v>
      </c>
      <c r="D619" s="18">
        <f t="shared" si="64"/>
        <v>0</v>
      </c>
      <c r="E619" s="1">
        <v>45103.583333333336</v>
      </c>
      <c r="F619" s="10">
        <f>INT(E619)</f>
        <v>45103</v>
      </c>
      <c r="G619" s="15">
        <f>MOD(E619,2)</f>
        <v>1.5833333333357587</v>
      </c>
      <c r="H619" s="15" t="str">
        <f t="shared" si="65"/>
        <v>14:00</v>
      </c>
      <c r="I619" t="s">
        <v>2148</v>
      </c>
      <c r="J619" t="s">
        <v>26</v>
      </c>
      <c r="K619" t="str">
        <f t="shared" si="66"/>
        <v>Instagram</v>
      </c>
      <c r="L619" t="s">
        <v>2149</v>
      </c>
      <c r="M619">
        <v>30</v>
      </c>
      <c r="N619">
        <v>60</v>
      </c>
      <c r="O619">
        <f t="shared" si="67"/>
        <v>90</v>
      </c>
      <c r="P619" t="s">
        <v>2044</v>
      </c>
      <c r="Q619" t="str">
        <f t="shared" si="68"/>
        <v>UK</v>
      </c>
      <c r="R619">
        <v>2023</v>
      </c>
      <c r="S619">
        <v>6</v>
      </c>
      <c r="T619">
        <v>26</v>
      </c>
      <c r="U619">
        <v>14</v>
      </c>
      <c r="Y619" s="4">
        <f t="shared" si="69"/>
        <v>14</v>
      </c>
    </row>
    <row r="620" spans="1:25" ht="18" x14ac:dyDescent="0.25">
      <c r="A620" t="s">
        <v>2150</v>
      </c>
      <c r="B620" t="s">
        <v>877</v>
      </c>
      <c r="C620" s="12" t="str">
        <f t="shared" si="63"/>
        <v>Positive</v>
      </c>
      <c r="D620" s="18">
        <f t="shared" si="64"/>
        <v>1</v>
      </c>
      <c r="E620" s="1">
        <v>45104.739583333336</v>
      </c>
      <c r="F620" s="10">
        <f>INT(E620)</f>
        <v>45104</v>
      </c>
      <c r="G620" s="15">
        <f>MOD(E620,2)</f>
        <v>0.73958333333575865</v>
      </c>
      <c r="H620" s="15" t="str">
        <f t="shared" si="65"/>
        <v>17:45</v>
      </c>
      <c r="I620" t="s">
        <v>2151</v>
      </c>
      <c r="J620" t="s">
        <v>874</v>
      </c>
      <c r="K620" t="str">
        <f t="shared" si="66"/>
        <v>Twitter</v>
      </c>
      <c r="L620" t="s">
        <v>2152</v>
      </c>
      <c r="M620">
        <v>20</v>
      </c>
      <c r="N620">
        <v>40</v>
      </c>
      <c r="O620">
        <f t="shared" si="67"/>
        <v>60</v>
      </c>
      <c r="P620" t="s">
        <v>2035</v>
      </c>
      <c r="Q620" t="str">
        <f t="shared" si="68"/>
        <v>USA</v>
      </c>
      <c r="R620">
        <v>2023</v>
      </c>
      <c r="S620">
        <v>6</v>
      </c>
      <c r="T620">
        <v>27</v>
      </c>
      <c r="U620">
        <v>17</v>
      </c>
      <c r="Y620" s="4">
        <f t="shared" si="69"/>
        <v>17</v>
      </c>
    </row>
    <row r="621" spans="1:25" ht="18" x14ac:dyDescent="0.25">
      <c r="A621" t="s">
        <v>2153</v>
      </c>
      <c r="B621" t="s">
        <v>1624</v>
      </c>
      <c r="C621" s="12" t="str">
        <f t="shared" si="63"/>
        <v>Positive</v>
      </c>
      <c r="D621" s="18">
        <f t="shared" si="64"/>
        <v>1</v>
      </c>
      <c r="E621" s="1">
        <v>45105.927083333336</v>
      </c>
      <c r="F621" s="10">
        <f>INT(E621)</f>
        <v>45105</v>
      </c>
      <c r="G621" s="15">
        <f>MOD(E621,2)</f>
        <v>1.9270833333357587</v>
      </c>
      <c r="H621" s="15" t="str">
        <f t="shared" si="65"/>
        <v>22:15</v>
      </c>
      <c r="I621" t="s">
        <v>2154</v>
      </c>
      <c r="J621" t="s">
        <v>31</v>
      </c>
      <c r="K621" t="str">
        <f t="shared" si="66"/>
        <v>Facebook</v>
      </c>
      <c r="L621" t="s">
        <v>2155</v>
      </c>
      <c r="M621">
        <v>18</v>
      </c>
      <c r="N621">
        <v>35</v>
      </c>
      <c r="O621">
        <f t="shared" si="67"/>
        <v>53</v>
      </c>
      <c r="P621" t="s">
        <v>2044</v>
      </c>
      <c r="Q621" t="str">
        <f t="shared" si="68"/>
        <v>UK</v>
      </c>
      <c r="R621">
        <v>2023</v>
      </c>
      <c r="S621">
        <v>6</v>
      </c>
      <c r="T621">
        <v>28</v>
      </c>
      <c r="U621">
        <v>22</v>
      </c>
      <c r="Y621" s="4">
        <f t="shared" si="69"/>
        <v>22</v>
      </c>
    </row>
    <row r="622" spans="1:25" ht="18" x14ac:dyDescent="0.25">
      <c r="A622" t="s">
        <v>2156</v>
      </c>
      <c r="B622" t="s">
        <v>1624</v>
      </c>
      <c r="C622" s="12" t="str">
        <f t="shared" si="63"/>
        <v>Positive</v>
      </c>
      <c r="D622" s="18">
        <f t="shared" si="64"/>
        <v>1</v>
      </c>
      <c r="E622" s="1">
        <v>45106.6875</v>
      </c>
      <c r="F622" s="10">
        <f>INT(E622)</f>
        <v>45106</v>
      </c>
      <c r="G622" s="15">
        <f>MOD(E622,2)</f>
        <v>0.6875</v>
      </c>
      <c r="H622" s="15" t="str">
        <f t="shared" si="65"/>
        <v>16:30</v>
      </c>
      <c r="I622" t="s">
        <v>2157</v>
      </c>
      <c r="J622" t="s">
        <v>26</v>
      </c>
      <c r="K622" t="str">
        <f t="shared" si="66"/>
        <v>Instagram</v>
      </c>
      <c r="L622" t="s">
        <v>2158</v>
      </c>
      <c r="M622">
        <v>25</v>
      </c>
      <c r="N622">
        <v>50</v>
      </c>
      <c r="O622">
        <f t="shared" si="67"/>
        <v>75</v>
      </c>
      <c r="P622" t="s">
        <v>2035</v>
      </c>
      <c r="Q622" t="str">
        <f t="shared" si="68"/>
        <v>USA</v>
      </c>
      <c r="R622">
        <v>2023</v>
      </c>
      <c r="S622">
        <v>6</v>
      </c>
      <c r="T622">
        <v>29</v>
      </c>
      <c r="U622">
        <v>16</v>
      </c>
      <c r="Y622" s="4">
        <f t="shared" si="69"/>
        <v>16</v>
      </c>
    </row>
    <row r="623" spans="1:25" ht="18" x14ac:dyDescent="0.25">
      <c r="A623" t="s">
        <v>2159</v>
      </c>
      <c r="B623" t="s">
        <v>1638</v>
      </c>
      <c r="C623" s="12" t="str">
        <f t="shared" si="63"/>
        <v>Positive</v>
      </c>
      <c r="D623" s="18">
        <f t="shared" si="64"/>
        <v>1</v>
      </c>
      <c r="E623" s="1">
        <v>45107.8125</v>
      </c>
      <c r="F623" s="10">
        <f>INT(E623)</f>
        <v>45107</v>
      </c>
      <c r="G623" s="15">
        <f>MOD(E623,2)</f>
        <v>1.8125</v>
      </c>
      <c r="H623" s="15" t="str">
        <f t="shared" si="65"/>
        <v>19:30</v>
      </c>
      <c r="I623" t="s">
        <v>2160</v>
      </c>
      <c r="J623" t="s">
        <v>874</v>
      </c>
      <c r="K623" t="str">
        <f t="shared" si="66"/>
        <v>Twitter</v>
      </c>
      <c r="L623" t="s">
        <v>2161</v>
      </c>
      <c r="M623">
        <v>28</v>
      </c>
      <c r="N623">
        <v>55</v>
      </c>
      <c r="O623">
        <f t="shared" si="67"/>
        <v>83</v>
      </c>
      <c r="P623" t="s">
        <v>2044</v>
      </c>
      <c r="Q623" t="str">
        <f t="shared" si="68"/>
        <v>UK</v>
      </c>
      <c r="R623">
        <v>2023</v>
      </c>
      <c r="S623">
        <v>6</v>
      </c>
      <c r="T623">
        <v>30</v>
      </c>
      <c r="U623">
        <v>19</v>
      </c>
      <c r="Y623" s="4">
        <f t="shared" si="69"/>
        <v>19</v>
      </c>
    </row>
    <row r="624" spans="1:25" ht="18" x14ac:dyDescent="0.25">
      <c r="A624" t="s">
        <v>2162</v>
      </c>
      <c r="B624" t="s">
        <v>388</v>
      </c>
      <c r="C624" s="12" t="str">
        <f t="shared" si="63"/>
        <v>Positive</v>
      </c>
      <c r="D624" s="18">
        <f t="shared" si="64"/>
        <v>1</v>
      </c>
      <c r="E624" s="1">
        <v>45108.583333333336</v>
      </c>
      <c r="F624" s="10">
        <f>INT(E624)</f>
        <v>45108</v>
      </c>
      <c r="G624" s="15">
        <f>MOD(E624,2)</f>
        <v>0.58333333333575865</v>
      </c>
      <c r="H624" s="15" t="str">
        <f t="shared" si="65"/>
        <v>14:00</v>
      </c>
      <c r="I624" t="s">
        <v>2163</v>
      </c>
      <c r="J624" t="s">
        <v>26</v>
      </c>
      <c r="K624" t="str">
        <f t="shared" si="66"/>
        <v>Instagram</v>
      </c>
      <c r="L624" t="s">
        <v>2164</v>
      </c>
      <c r="M624">
        <v>30</v>
      </c>
      <c r="N624">
        <v>60</v>
      </c>
      <c r="O624">
        <f t="shared" si="67"/>
        <v>90</v>
      </c>
      <c r="P624" t="s">
        <v>2035</v>
      </c>
      <c r="Q624" t="str">
        <f t="shared" si="68"/>
        <v>USA</v>
      </c>
      <c r="R624">
        <v>2023</v>
      </c>
      <c r="S624">
        <v>7</v>
      </c>
      <c r="T624">
        <v>1</v>
      </c>
      <c r="U624">
        <v>14</v>
      </c>
      <c r="Y624" s="4">
        <f t="shared" si="69"/>
        <v>14</v>
      </c>
    </row>
    <row r="625" spans="1:25" ht="18" x14ac:dyDescent="0.25">
      <c r="A625" t="s">
        <v>2165</v>
      </c>
      <c r="B625" t="s">
        <v>1624</v>
      </c>
      <c r="C625" s="12" t="str">
        <f t="shared" si="63"/>
        <v>Positive</v>
      </c>
      <c r="D625" s="18">
        <f t="shared" si="64"/>
        <v>1</v>
      </c>
      <c r="E625" s="1">
        <v>45109.770833333336</v>
      </c>
      <c r="F625" s="10">
        <f>INT(E625)</f>
        <v>45109</v>
      </c>
      <c r="G625" s="15">
        <f>MOD(E625,2)</f>
        <v>1.7708333333357587</v>
      </c>
      <c r="H625" s="15" t="str">
        <f t="shared" si="65"/>
        <v>18:30</v>
      </c>
      <c r="I625" t="s">
        <v>2166</v>
      </c>
      <c r="J625" t="s">
        <v>31</v>
      </c>
      <c r="K625" t="str">
        <f t="shared" si="66"/>
        <v>Facebook</v>
      </c>
      <c r="L625" t="s">
        <v>2167</v>
      </c>
      <c r="M625">
        <v>22</v>
      </c>
      <c r="N625">
        <v>45</v>
      </c>
      <c r="O625">
        <f t="shared" si="67"/>
        <v>67</v>
      </c>
      <c r="P625" t="s">
        <v>2044</v>
      </c>
      <c r="Q625" t="str">
        <f t="shared" si="68"/>
        <v>UK</v>
      </c>
      <c r="R625">
        <v>2023</v>
      </c>
      <c r="S625">
        <v>7</v>
      </c>
      <c r="T625">
        <v>2</v>
      </c>
      <c r="U625">
        <v>18</v>
      </c>
      <c r="Y625" s="4">
        <f t="shared" si="69"/>
        <v>18</v>
      </c>
    </row>
    <row r="626" spans="1:25" ht="18" x14ac:dyDescent="0.25">
      <c r="A626" t="s">
        <v>2168</v>
      </c>
      <c r="B626" t="s">
        <v>1624</v>
      </c>
      <c r="C626" s="12" t="str">
        <f t="shared" si="63"/>
        <v>Positive</v>
      </c>
      <c r="D626" s="18">
        <f t="shared" si="64"/>
        <v>1</v>
      </c>
      <c r="E626" s="1">
        <v>45110.53125</v>
      </c>
      <c r="F626" s="10">
        <f>INT(E626)</f>
        <v>45110</v>
      </c>
      <c r="G626" s="15">
        <f>MOD(E626,2)</f>
        <v>0.53125</v>
      </c>
      <c r="H626" s="15" t="str">
        <f t="shared" si="65"/>
        <v>12:45</v>
      </c>
      <c r="I626" t="s">
        <v>2169</v>
      </c>
      <c r="J626" t="s">
        <v>874</v>
      </c>
      <c r="K626" t="str">
        <f t="shared" si="66"/>
        <v>Twitter</v>
      </c>
      <c r="L626" t="s">
        <v>2170</v>
      </c>
      <c r="M626">
        <v>28</v>
      </c>
      <c r="N626">
        <v>55</v>
      </c>
      <c r="O626">
        <f t="shared" si="67"/>
        <v>83</v>
      </c>
      <c r="P626" t="s">
        <v>2040</v>
      </c>
      <c r="Q626" t="str">
        <f t="shared" si="68"/>
        <v>Canada</v>
      </c>
      <c r="R626">
        <v>2023</v>
      </c>
      <c r="S626">
        <v>7</v>
      </c>
      <c r="T626">
        <v>3</v>
      </c>
      <c r="U626">
        <v>12</v>
      </c>
      <c r="Y626" s="4">
        <f t="shared" si="69"/>
        <v>12</v>
      </c>
    </row>
    <row r="627" spans="1:25" ht="18" x14ac:dyDescent="0.25">
      <c r="A627" t="s">
        <v>2171</v>
      </c>
      <c r="B627" t="s">
        <v>877</v>
      </c>
      <c r="C627" s="12" t="str">
        <f t="shared" si="63"/>
        <v>Positive</v>
      </c>
      <c r="D627" s="18">
        <f t="shared" si="64"/>
        <v>1</v>
      </c>
      <c r="E627" s="1">
        <v>45111.708333333336</v>
      </c>
      <c r="F627" s="10">
        <f>INT(E627)</f>
        <v>45111</v>
      </c>
      <c r="G627" s="15">
        <f>MOD(E627,2)</f>
        <v>1.7083333333357587</v>
      </c>
      <c r="H627" s="15" t="str">
        <f t="shared" si="65"/>
        <v>17:00</v>
      </c>
      <c r="I627" t="s">
        <v>2172</v>
      </c>
      <c r="J627" t="s">
        <v>26</v>
      </c>
      <c r="K627" t="str">
        <f t="shared" si="66"/>
        <v>Instagram</v>
      </c>
      <c r="L627" t="s">
        <v>2173</v>
      </c>
      <c r="M627">
        <v>35</v>
      </c>
      <c r="N627">
        <v>70</v>
      </c>
      <c r="O627">
        <f t="shared" si="67"/>
        <v>105</v>
      </c>
      <c r="P627" t="s">
        <v>2035</v>
      </c>
      <c r="Q627" t="str">
        <f t="shared" si="68"/>
        <v>USA</v>
      </c>
      <c r="R627">
        <v>2023</v>
      </c>
      <c r="S627">
        <v>7</v>
      </c>
      <c r="T627">
        <v>4</v>
      </c>
      <c r="U627">
        <v>17</v>
      </c>
      <c r="Y627" s="4">
        <f t="shared" si="69"/>
        <v>17</v>
      </c>
    </row>
    <row r="628" spans="1:25" ht="18" x14ac:dyDescent="0.25">
      <c r="A628" t="s">
        <v>2174</v>
      </c>
      <c r="B628" t="s">
        <v>1624</v>
      </c>
      <c r="C628" s="12" t="str">
        <f t="shared" si="63"/>
        <v>Positive</v>
      </c>
      <c r="D628" s="18">
        <f t="shared" si="64"/>
        <v>1</v>
      </c>
      <c r="E628" s="1">
        <v>45112.84375</v>
      </c>
      <c r="F628" s="10">
        <f>INT(E628)</f>
        <v>45112</v>
      </c>
      <c r="G628" s="15">
        <f>MOD(E628,2)</f>
        <v>0.84375</v>
      </c>
      <c r="H628" s="15" t="str">
        <f t="shared" si="65"/>
        <v>20:15</v>
      </c>
      <c r="I628" t="s">
        <v>2175</v>
      </c>
      <c r="J628" t="s">
        <v>874</v>
      </c>
      <c r="K628" t="str">
        <f t="shared" si="66"/>
        <v>Twitter</v>
      </c>
      <c r="L628" t="s">
        <v>2176</v>
      </c>
      <c r="M628">
        <v>18</v>
      </c>
      <c r="N628">
        <v>35</v>
      </c>
      <c r="O628">
        <f t="shared" si="67"/>
        <v>53</v>
      </c>
      <c r="P628" t="s">
        <v>2044</v>
      </c>
      <c r="Q628" t="str">
        <f t="shared" si="68"/>
        <v>UK</v>
      </c>
      <c r="R628">
        <v>2023</v>
      </c>
      <c r="S628">
        <v>7</v>
      </c>
      <c r="T628">
        <v>5</v>
      </c>
      <c r="U628">
        <v>20</v>
      </c>
      <c r="Y628" s="4">
        <f t="shared" si="69"/>
        <v>20</v>
      </c>
    </row>
    <row r="629" spans="1:25" ht="18" x14ac:dyDescent="0.25">
      <c r="A629" t="s">
        <v>2177</v>
      </c>
      <c r="B629" t="s">
        <v>1624</v>
      </c>
      <c r="C629" s="12" t="str">
        <f t="shared" si="63"/>
        <v>Positive</v>
      </c>
      <c r="D629" s="18">
        <f t="shared" si="64"/>
        <v>1</v>
      </c>
      <c r="E629" s="1">
        <v>45113.604166666664</v>
      </c>
      <c r="F629" s="10">
        <f>INT(E629)</f>
        <v>45113</v>
      </c>
      <c r="G629" s="15">
        <f>MOD(E629,2)</f>
        <v>1.6041666666642413</v>
      </c>
      <c r="H629" s="15" t="str">
        <f t="shared" si="65"/>
        <v>14:30</v>
      </c>
      <c r="I629" t="s">
        <v>2178</v>
      </c>
      <c r="J629" t="s">
        <v>31</v>
      </c>
      <c r="K629" t="str">
        <f t="shared" si="66"/>
        <v>Facebook</v>
      </c>
      <c r="L629" t="s">
        <v>2179</v>
      </c>
      <c r="M629">
        <v>25</v>
      </c>
      <c r="N629">
        <v>50</v>
      </c>
      <c r="O629">
        <f t="shared" si="67"/>
        <v>75</v>
      </c>
      <c r="P629" t="s">
        <v>2035</v>
      </c>
      <c r="Q629" t="str">
        <f t="shared" si="68"/>
        <v>USA</v>
      </c>
      <c r="R629">
        <v>2023</v>
      </c>
      <c r="S629">
        <v>7</v>
      </c>
      <c r="T629">
        <v>6</v>
      </c>
      <c r="U629">
        <v>14</v>
      </c>
      <c r="Y629" s="4">
        <f t="shared" si="69"/>
        <v>14</v>
      </c>
    </row>
    <row r="630" spans="1:25" ht="18" x14ac:dyDescent="0.25">
      <c r="A630" t="s">
        <v>2180</v>
      </c>
      <c r="B630" t="s">
        <v>1624</v>
      </c>
      <c r="C630" s="12" t="str">
        <f t="shared" si="63"/>
        <v>Positive</v>
      </c>
      <c r="D630" s="18">
        <f t="shared" si="64"/>
        <v>1</v>
      </c>
      <c r="E630" s="1">
        <v>45114.822916666664</v>
      </c>
      <c r="F630" s="10">
        <f>INT(E630)</f>
        <v>45114</v>
      </c>
      <c r="G630" s="15">
        <f>MOD(E630,2)</f>
        <v>0.82291666666424135</v>
      </c>
      <c r="H630" s="15" t="str">
        <f t="shared" si="65"/>
        <v>19:45</v>
      </c>
      <c r="I630" t="s">
        <v>2181</v>
      </c>
      <c r="J630" t="s">
        <v>26</v>
      </c>
      <c r="K630" t="str">
        <f t="shared" si="66"/>
        <v>Instagram</v>
      </c>
      <c r="L630" t="s">
        <v>2182</v>
      </c>
      <c r="M630">
        <v>22</v>
      </c>
      <c r="N630">
        <v>45</v>
      </c>
      <c r="O630">
        <f t="shared" si="67"/>
        <v>67</v>
      </c>
      <c r="P630" t="s">
        <v>2044</v>
      </c>
      <c r="Q630" t="str">
        <f t="shared" si="68"/>
        <v>UK</v>
      </c>
      <c r="R630">
        <v>2023</v>
      </c>
      <c r="S630">
        <v>7</v>
      </c>
      <c r="T630">
        <v>7</v>
      </c>
      <c r="U630">
        <v>19</v>
      </c>
      <c r="Y630" s="4">
        <f t="shared" si="69"/>
        <v>19</v>
      </c>
    </row>
    <row r="631" spans="1:25" ht="18" x14ac:dyDescent="0.25">
      <c r="A631" t="s">
        <v>2183</v>
      </c>
      <c r="B631" t="s">
        <v>877</v>
      </c>
      <c r="C631" s="12" t="str">
        <f t="shared" si="63"/>
        <v>Positive</v>
      </c>
      <c r="D631" s="18">
        <f t="shared" si="64"/>
        <v>1</v>
      </c>
      <c r="E631" s="1">
        <v>45115.666666666664</v>
      </c>
      <c r="F631" s="10">
        <f>INT(E631)</f>
        <v>45115</v>
      </c>
      <c r="G631" s="15">
        <f>MOD(E631,2)</f>
        <v>1.6666666666642413</v>
      </c>
      <c r="H631" s="15" t="str">
        <f t="shared" si="65"/>
        <v>16:00</v>
      </c>
      <c r="I631" t="s">
        <v>2184</v>
      </c>
      <c r="J631" t="s">
        <v>874</v>
      </c>
      <c r="K631" t="str">
        <f t="shared" si="66"/>
        <v>Twitter</v>
      </c>
      <c r="L631" t="s">
        <v>2185</v>
      </c>
      <c r="M631">
        <v>30</v>
      </c>
      <c r="N631">
        <v>60</v>
      </c>
      <c r="O631">
        <f t="shared" si="67"/>
        <v>90</v>
      </c>
      <c r="P631" t="s">
        <v>2040</v>
      </c>
      <c r="Q631" t="str">
        <f t="shared" si="68"/>
        <v>Canada</v>
      </c>
      <c r="R631">
        <v>2023</v>
      </c>
      <c r="S631">
        <v>7</v>
      </c>
      <c r="T631">
        <v>8</v>
      </c>
      <c r="U631">
        <v>16</v>
      </c>
      <c r="Y631" s="4">
        <f t="shared" si="69"/>
        <v>16</v>
      </c>
    </row>
    <row r="632" spans="1:25" ht="18" x14ac:dyDescent="0.25">
      <c r="A632" t="s">
        <v>2186</v>
      </c>
      <c r="B632" t="s">
        <v>1624</v>
      </c>
      <c r="C632" s="12" t="str">
        <f t="shared" si="63"/>
        <v>Positive</v>
      </c>
      <c r="D632" s="18">
        <f t="shared" si="64"/>
        <v>1</v>
      </c>
      <c r="E632" s="1">
        <v>45116.9375</v>
      </c>
      <c r="F632" s="10">
        <f>INT(E632)</f>
        <v>45116</v>
      </c>
      <c r="G632" s="15">
        <f>MOD(E632,2)</f>
        <v>0.9375</v>
      </c>
      <c r="H632" s="15" t="str">
        <f t="shared" si="65"/>
        <v>22:30</v>
      </c>
      <c r="I632" t="s">
        <v>2187</v>
      </c>
      <c r="J632" t="s">
        <v>31</v>
      </c>
      <c r="K632" t="str">
        <f t="shared" si="66"/>
        <v>Facebook</v>
      </c>
      <c r="L632" t="s">
        <v>2188</v>
      </c>
      <c r="M632">
        <v>20</v>
      </c>
      <c r="N632">
        <v>40</v>
      </c>
      <c r="O632">
        <f t="shared" si="67"/>
        <v>60</v>
      </c>
      <c r="P632" t="s">
        <v>2035</v>
      </c>
      <c r="Q632" t="str">
        <f t="shared" si="68"/>
        <v>USA</v>
      </c>
      <c r="R632">
        <v>2023</v>
      </c>
      <c r="S632">
        <v>7</v>
      </c>
      <c r="T632">
        <v>9</v>
      </c>
      <c r="U632">
        <v>22</v>
      </c>
      <c r="Y632" s="4">
        <f t="shared" si="69"/>
        <v>22</v>
      </c>
    </row>
    <row r="633" spans="1:25" ht="18" x14ac:dyDescent="0.25">
      <c r="A633" t="s">
        <v>2189</v>
      </c>
      <c r="B633" t="s">
        <v>388</v>
      </c>
      <c r="C633" s="12" t="str">
        <f t="shared" si="63"/>
        <v>Positive</v>
      </c>
      <c r="D633" s="18">
        <f t="shared" si="64"/>
        <v>1</v>
      </c>
      <c r="E633" s="1">
        <v>45117.597222222219</v>
      </c>
      <c r="F633" s="10">
        <f>INT(E633)</f>
        <v>45117</v>
      </c>
      <c r="G633" s="15">
        <f>MOD(E633,2)</f>
        <v>1.5972222222189885</v>
      </c>
      <c r="H633" s="15" t="str">
        <f t="shared" si="65"/>
        <v>14:20</v>
      </c>
      <c r="I633" t="s">
        <v>2190</v>
      </c>
      <c r="J633" t="s">
        <v>26</v>
      </c>
      <c r="K633" t="str">
        <f t="shared" si="66"/>
        <v>Instagram</v>
      </c>
      <c r="L633" t="s">
        <v>2191</v>
      </c>
      <c r="M633">
        <v>28</v>
      </c>
      <c r="N633">
        <v>55</v>
      </c>
      <c r="O633">
        <f t="shared" si="67"/>
        <v>83</v>
      </c>
      <c r="P633" t="s">
        <v>2044</v>
      </c>
      <c r="Q633" t="str">
        <f t="shared" si="68"/>
        <v>UK</v>
      </c>
      <c r="R633">
        <v>2023</v>
      </c>
      <c r="S633">
        <v>7</v>
      </c>
      <c r="T633">
        <v>10</v>
      </c>
      <c r="U633">
        <v>14</v>
      </c>
      <c r="Y633" s="4">
        <f t="shared" si="69"/>
        <v>14</v>
      </c>
    </row>
    <row r="634" spans="1:25" ht="18" x14ac:dyDescent="0.25">
      <c r="A634" t="s">
        <v>2192</v>
      </c>
      <c r="B634" t="s">
        <v>1638</v>
      </c>
      <c r="C634" s="12" t="str">
        <f t="shared" si="63"/>
        <v>Positive</v>
      </c>
      <c r="D634" s="18">
        <f t="shared" si="64"/>
        <v>1</v>
      </c>
      <c r="E634" s="1">
        <v>45118.78125</v>
      </c>
      <c r="F634" s="10">
        <f>INT(E634)</f>
        <v>45118</v>
      </c>
      <c r="G634" s="15">
        <f>MOD(E634,2)</f>
        <v>0.78125</v>
      </c>
      <c r="H634" s="15" t="str">
        <f t="shared" si="65"/>
        <v>18:45</v>
      </c>
      <c r="I634" t="s">
        <v>2193</v>
      </c>
      <c r="J634" t="s">
        <v>874</v>
      </c>
      <c r="K634" t="str">
        <f t="shared" si="66"/>
        <v>Twitter</v>
      </c>
      <c r="L634" t="s">
        <v>2194</v>
      </c>
      <c r="M634">
        <v>22</v>
      </c>
      <c r="N634">
        <v>45</v>
      </c>
      <c r="O634">
        <f t="shared" si="67"/>
        <v>67</v>
      </c>
      <c r="P634" t="s">
        <v>2040</v>
      </c>
      <c r="Q634" t="str">
        <f t="shared" si="68"/>
        <v>Canada</v>
      </c>
      <c r="R634">
        <v>2023</v>
      </c>
      <c r="S634">
        <v>7</v>
      </c>
      <c r="T634">
        <v>11</v>
      </c>
      <c r="U634">
        <v>18</v>
      </c>
      <c r="Y634" s="4">
        <f t="shared" si="69"/>
        <v>18</v>
      </c>
    </row>
    <row r="635" spans="1:25" ht="18" x14ac:dyDescent="0.25">
      <c r="A635" t="s">
        <v>2195</v>
      </c>
      <c r="B635" t="s">
        <v>388</v>
      </c>
      <c r="C635" s="12" t="str">
        <f t="shared" si="63"/>
        <v>Positive</v>
      </c>
      <c r="D635" s="18">
        <f t="shared" si="64"/>
        <v>1</v>
      </c>
      <c r="E635" s="1">
        <v>45119.572916666664</v>
      </c>
      <c r="F635" s="10">
        <f>INT(E635)</f>
        <v>45119</v>
      </c>
      <c r="G635" s="15">
        <f>MOD(E635,2)</f>
        <v>1.5729166666642413</v>
      </c>
      <c r="H635" s="15" t="str">
        <f t="shared" si="65"/>
        <v>13:45</v>
      </c>
      <c r="I635" t="s">
        <v>2196</v>
      </c>
      <c r="J635" t="s">
        <v>31</v>
      </c>
      <c r="K635" t="str">
        <f t="shared" si="66"/>
        <v>Facebook</v>
      </c>
      <c r="L635" t="s">
        <v>2197</v>
      </c>
      <c r="M635">
        <v>25</v>
      </c>
      <c r="N635">
        <v>50</v>
      </c>
      <c r="O635">
        <f t="shared" si="67"/>
        <v>75</v>
      </c>
      <c r="P635" t="s">
        <v>2035</v>
      </c>
      <c r="Q635" t="str">
        <f t="shared" si="68"/>
        <v>USA</v>
      </c>
      <c r="R635">
        <v>2023</v>
      </c>
      <c r="S635">
        <v>7</v>
      </c>
      <c r="T635">
        <v>12</v>
      </c>
      <c r="U635">
        <v>13</v>
      </c>
      <c r="Y635" s="4">
        <f t="shared" si="69"/>
        <v>13</v>
      </c>
    </row>
    <row r="636" spans="1:25" ht="18" x14ac:dyDescent="0.25">
      <c r="A636" t="s">
        <v>2198</v>
      </c>
      <c r="B636" t="s">
        <v>1624</v>
      </c>
      <c r="C636" s="12" t="str">
        <f t="shared" si="63"/>
        <v>Positive</v>
      </c>
      <c r="D636" s="18">
        <f t="shared" si="64"/>
        <v>1</v>
      </c>
      <c r="E636" s="1">
        <v>45120.833333333336</v>
      </c>
      <c r="F636" s="10">
        <f>INT(E636)</f>
        <v>45120</v>
      </c>
      <c r="G636" s="15">
        <f>MOD(E636,2)</f>
        <v>0.83333333333575865</v>
      </c>
      <c r="H636" s="15" t="str">
        <f t="shared" si="65"/>
        <v>20:00</v>
      </c>
      <c r="I636" t="s">
        <v>2199</v>
      </c>
      <c r="J636" t="s">
        <v>26</v>
      </c>
      <c r="K636" t="str">
        <f t="shared" si="66"/>
        <v>Instagram</v>
      </c>
      <c r="L636" t="s">
        <v>2200</v>
      </c>
      <c r="M636">
        <v>35</v>
      </c>
      <c r="N636">
        <v>70</v>
      </c>
      <c r="O636">
        <f t="shared" si="67"/>
        <v>105</v>
      </c>
      <c r="P636" t="s">
        <v>2044</v>
      </c>
      <c r="Q636" t="str">
        <f t="shared" si="68"/>
        <v>UK</v>
      </c>
      <c r="R636">
        <v>2023</v>
      </c>
      <c r="S636">
        <v>7</v>
      </c>
      <c r="T636">
        <v>13</v>
      </c>
      <c r="U636">
        <v>20</v>
      </c>
      <c r="Y636" s="4">
        <f t="shared" si="69"/>
        <v>20</v>
      </c>
    </row>
    <row r="637" spans="1:25" ht="18" x14ac:dyDescent="0.25">
      <c r="A637" t="s">
        <v>2201</v>
      </c>
      <c r="B637" t="s">
        <v>1624</v>
      </c>
      <c r="C637" s="12" t="str">
        <f t="shared" si="63"/>
        <v>Positive</v>
      </c>
      <c r="D637" s="18">
        <f t="shared" si="64"/>
        <v>1</v>
      </c>
      <c r="E637" s="1">
        <v>45121.677083333336</v>
      </c>
      <c r="F637" s="10">
        <f>INT(E637)</f>
        <v>45121</v>
      </c>
      <c r="G637" s="15">
        <f>MOD(E637,2)</f>
        <v>1.6770833333357587</v>
      </c>
      <c r="H637" s="15" t="str">
        <f t="shared" si="65"/>
        <v>16:15</v>
      </c>
      <c r="I637" t="s">
        <v>2202</v>
      </c>
      <c r="J637" t="s">
        <v>874</v>
      </c>
      <c r="K637" t="str">
        <f t="shared" si="66"/>
        <v>Twitter</v>
      </c>
      <c r="L637" t="s">
        <v>2203</v>
      </c>
      <c r="M637">
        <v>20</v>
      </c>
      <c r="N637">
        <v>40</v>
      </c>
      <c r="O637">
        <f t="shared" si="67"/>
        <v>60</v>
      </c>
      <c r="P637" t="s">
        <v>2035</v>
      </c>
      <c r="Q637" t="str">
        <f t="shared" si="68"/>
        <v>USA</v>
      </c>
      <c r="R637">
        <v>2023</v>
      </c>
      <c r="S637">
        <v>7</v>
      </c>
      <c r="T637">
        <v>14</v>
      </c>
      <c r="U637">
        <v>16</v>
      </c>
      <c r="Y637" s="4">
        <f t="shared" si="69"/>
        <v>16</v>
      </c>
    </row>
    <row r="638" spans="1:25" ht="18" x14ac:dyDescent="0.25">
      <c r="A638" t="s">
        <v>2204</v>
      </c>
      <c r="B638" t="s">
        <v>1624</v>
      </c>
      <c r="C638" s="12" t="str">
        <f t="shared" si="63"/>
        <v>Positive</v>
      </c>
      <c r="D638" s="18">
        <f t="shared" si="64"/>
        <v>1</v>
      </c>
      <c r="E638" s="1">
        <v>45122.8125</v>
      </c>
      <c r="F638" s="10">
        <f>INT(E638)</f>
        <v>45122</v>
      </c>
      <c r="G638" s="15">
        <f>MOD(E638,2)</f>
        <v>0.8125</v>
      </c>
      <c r="H638" s="15" t="str">
        <f t="shared" si="65"/>
        <v>19:30</v>
      </c>
      <c r="I638" t="s">
        <v>2205</v>
      </c>
      <c r="J638" t="s">
        <v>31</v>
      </c>
      <c r="K638" t="str">
        <f t="shared" si="66"/>
        <v>Facebook</v>
      </c>
      <c r="L638" t="s">
        <v>2206</v>
      </c>
      <c r="M638">
        <v>28</v>
      </c>
      <c r="N638">
        <v>55</v>
      </c>
      <c r="O638">
        <f t="shared" si="67"/>
        <v>83</v>
      </c>
      <c r="P638" t="s">
        <v>2040</v>
      </c>
      <c r="Q638" t="str">
        <f t="shared" si="68"/>
        <v>Canada</v>
      </c>
      <c r="R638">
        <v>2023</v>
      </c>
      <c r="S638">
        <v>7</v>
      </c>
      <c r="T638">
        <v>15</v>
      </c>
      <c r="U638">
        <v>19</v>
      </c>
      <c r="Y638" s="4">
        <f t="shared" si="69"/>
        <v>19</v>
      </c>
    </row>
    <row r="639" spans="1:25" ht="18" x14ac:dyDescent="0.25">
      <c r="A639" t="s">
        <v>2207</v>
      </c>
      <c r="B639" t="s">
        <v>1638</v>
      </c>
      <c r="C639" s="12" t="str">
        <f t="shared" si="63"/>
        <v>Positive</v>
      </c>
      <c r="D639" s="18">
        <f t="shared" si="64"/>
        <v>1</v>
      </c>
      <c r="E639" s="1">
        <v>45123.583333333336</v>
      </c>
      <c r="F639" s="10">
        <f>INT(E639)</f>
        <v>45123</v>
      </c>
      <c r="G639" s="15">
        <f>MOD(E639,2)</f>
        <v>1.5833333333357587</v>
      </c>
      <c r="H639" s="15" t="str">
        <f t="shared" si="65"/>
        <v>14:00</v>
      </c>
      <c r="I639" t="s">
        <v>2208</v>
      </c>
      <c r="J639" t="s">
        <v>26</v>
      </c>
      <c r="K639" t="str">
        <f t="shared" si="66"/>
        <v>Instagram</v>
      </c>
      <c r="L639" t="s">
        <v>2209</v>
      </c>
      <c r="M639">
        <v>30</v>
      </c>
      <c r="N639">
        <v>60</v>
      </c>
      <c r="O639">
        <f t="shared" si="67"/>
        <v>90</v>
      </c>
      <c r="P639" t="s">
        <v>2035</v>
      </c>
      <c r="Q639" t="str">
        <f t="shared" si="68"/>
        <v>USA</v>
      </c>
      <c r="R639">
        <v>2023</v>
      </c>
      <c r="S639">
        <v>7</v>
      </c>
      <c r="T639">
        <v>16</v>
      </c>
      <c r="U639">
        <v>14</v>
      </c>
      <c r="Y639" s="4">
        <f t="shared" si="69"/>
        <v>14</v>
      </c>
    </row>
    <row r="640" spans="1:25" ht="18" x14ac:dyDescent="0.25">
      <c r="A640" t="s">
        <v>2210</v>
      </c>
      <c r="B640" t="s">
        <v>924</v>
      </c>
      <c r="C640" s="12" t="str">
        <f t="shared" si="63"/>
        <v>Neutral</v>
      </c>
      <c r="D640" s="18">
        <f t="shared" si="64"/>
        <v>0</v>
      </c>
      <c r="E640" s="1">
        <v>45124.927083333336</v>
      </c>
      <c r="F640" s="10">
        <f>INT(E640)</f>
        <v>45124</v>
      </c>
      <c r="G640" s="15">
        <f>MOD(E640,2)</f>
        <v>0.92708333333575865</v>
      </c>
      <c r="H640" s="15" t="str">
        <f t="shared" si="65"/>
        <v>22:15</v>
      </c>
      <c r="I640" t="s">
        <v>2211</v>
      </c>
      <c r="J640" t="s">
        <v>874</v>
      </c>
      <c r="K640" t="str">
        <f t="shared" si="66"/>
        <v>Twitter</v>
      </c>
      <c r="L640" t="s">
        <v>2212</v>
      </c>
      <c r="M640">
        <v>18</v>
      </c>
      <c r="N640">
        <v>35</v>
      </c>
      <c r="O640">
        <f t="shared" si="67"/>
        <v>53</v>
      </c>
      <c r="P640" t="s">
        <v>2044</v>
      </c>
      <c r="Q640" t="str">
        <f t="shared" si="68"/>
        <v>UK</v>
      </c>
      <c r="R640">
        <v>2023</v>
      </c>
      <c r="S640">
        <v>7</v>
      </c>
      <c r="T640">
        <v>17</v>
      </c>
      <c r="U640">
        <v>22</v>
      </c>
      <c r="Y640" s="4">
        <f t="shared" si="69"/>
        <v>22</v>
      </c>
    </row>
    <row r="641" spans="1:25" ht="18" x14ac:dyDescent="0.25">
      <c r="A641" t="s">
        <v>2213</v>
      </c>
      <c r="B641" t="s">
        <v>1624</v>
      </c>
      <c r="C641" s="12" t="str">
        <f t="shared" si="63"/>
        <v>Positive</v>
      </c>
      <c r="D641" s="18">
        <f t="shared" si="64"/>
        <v>1</v>
      </c>
      <c r="E641" s="1">
        <v>45125.6875</v>
      </c>
      <c r="F641" s="10">
        <f>INT(E641)</f>
        <v>45125</v>
      </c>
      <c r="G641" s="15">
        <f>MOD(E641,2)</f>
        <v>1.6875</v>
      </c>
      <c r="H641" s="15" t="str">
        <f t="shared" si="65"/>
        <v>16:30</v>
      </c>
      <c r="I641" t="s">
        <v>2214</v>
      </c>
      <c r="J641" t="s">
        <v>31</v>
      </c>
      <c r="K641" t="str">
        <f t="shared" si="66"/>
        <v>Facebook</v>
      </c>
      <c r="L641" t="s">
        <v>2158</v>
      </c>
      <c r="M641">
        <v>25</v>
      </c>
      <c r="N641">
        <v>50</v>
      </c>
      <c r="O641">
        <f t="shared" si="67"/>
        <v>75</v>
      </c>
      <c r="P641" t="s">
        <v>2035</v>
      </c>
      <c r="Q641" t="str">
        <f t="shared" si="68"/>
        <v>USA</v>
      </c>
      <c r="R641">
        <v>2023</v>
      </c>
      <c r="S641">
        <v>7</v>
      </c>
      <c r="T641">
        <v>18</v>
      </c>
      <c r="U641">
        <v>16</v>
      </c>
      <c r="Y641" s="4">
        <f t="shared" si="69"/>
        <v>16</v>
      </c>
    </row>
    <row r="642" spans="1:25" ht="18" x14ac:dyDescent="0.25">
      <c r="A642" t="s">
        <v>2215</v>
      </c>
      <c r="B642" t="s">
        <v>1638</v>
      </c>
      <c r="C642" s="12" t="str">
        <f t="shared" si="63"/>
        <v>Positive</v>
      </c>
      <c r="D642" s="18">
        <f t="shared" si="64"/>
        <v>1</v>
      </c>
      <c r="E642" s="1">
        <v>45126.822916666664</v>
      </c>
      <c r="F642" s="10">
        <f>INT(E642)</f>
        <v>45126</v>
      </c>
      <c r="G642" s="15">
        <f>MOD(E642,2)</f>
        <v>0.82291666666424135</v>
      </c>
      <c r="H642" s="15" t="str">
        <f t="shared" si="65"/>
        <v>19:45</v>
      </c>
      <c r="I642" t="s">
        <v>2216</v>
      </c>
      <c r="J642" t="s">
        <v>26</v>
      </c>
      <c r="K642" t="str">
        <f t="shared" si="66"/>
        <v>Instagram</v>
      </c>
      <c r="L642" t="s">
        <v>2217</v>
      </c>
      <c r="M642">
        <v>22</v>
      </c>
      <c r="N642">
        <v>45</v>
      </c>
      <c r="O642">
        <f t="shared" si="67"/>
        <v>67</v>
      </c>
      <c r="P642" t="s">
        <v>2044</v>
      </c>
      <c r="Q642" t="str">
        <f t="shared" si="68"/>
        <v>UK</v>
      </c>
      <c r="R642">
        <v>2023</v>
      </c>
      <c r="S642">
        <v>7</v>
      </c>
      <c r="T642">
        <v>19</v>
      </c>
      <c r="U642">
        <v>19</v>
      </c>
      <c r="Y642" s="4">
        <f t="shared" si="69"/>
        <v>19</v>
      </c>
    </row>
    <row r="643" spans="1:25" ht="18" x14ac:dyDescent="0.25">
      <c r="A643" t="s">
        <v>2218</v>
      </c>
      <c r="B643" t="s">
        <v>388</v>
      </c>
      <c r="C643" s="12" t="str">
        <f t="shared" ref="C643:C706" si="70">IF(OR(ISNUMBER(SEARCH("happ",B643)),ISNUMBER(SEARCH("joy",B643)),ISNUMBER(SEARCH("love",B643)),ISNUMBER(SEARCH("amuse",B643)),ISNUMBER(SEARCH("enjoy",B643)),ISNUMBER(SEARCH("admire",B643)),ISNUMBER(SEARCH("affection",B643)),ISNUMBER(SEARCH("awe",B643)),ISNUMBER(SEARCH("accept",B643)),ISNUMBER(SEARCH("ador",B643)),ISNUMBER(SEARCH("calm",B643)),ISNUMBER(SEARCH("excit",B643)),ISNUMBER(SEARCH("kind",B643)),ISNUMBER(SEARCH("pride",B643)),ISNUMBER(SEARCH("elat",B643)),ISNUMBER(SEARCH("euphor",B643)),ISNUMBER(SEARCH("content",B643)),ISNUMBER(SEARCH("seren",B643)),ISNUMBER(SEARCH("grat",B643)),ISNUMBER(SEARCH("hope",B643)),ISNUMBER(SEARCH("empower",B643)),ISNUMBER(SEARCH("compass",B643)),ISNUMBER(SEARCH("tender",B643)),ISNUMBER(SEARCH("enthus",B643)),ISNUMBER(SEARCH("fulfill",B643)),ISNUMBER(SEARCH("rever",B643)),ISNUMBER(SEARCH("zest",B643)),ISNUMBER(SEARCH("play",B643)),ISNUMBER(SEARCH("inspir",B643)),ISNUMBER(SEARCH("confid",B643)),ISNUMBER(SEARCH("determin",B643)),ISNUMBER(SEARCH("thrill",B643)),ISNUMBER(SEARCH("overjoy",B643)),ISNUMBER(SEARCH("motiv",B643)),ISNUMBER(SEARCH("satisf",B643)),ISNUMBER(SEARCH("bless",B643)),ISNUMBER(SEARCH("appreci",B643)),ISNUMBER(SEARCH("accomplish",B643)),ISNUMBER(SEARCH("wonder",B643)),ISNUMBER(SEARCH("optim",B643)),ISNUMBER(SEARCH("enchant",B643)),ISNUMBER(SEARCH("intrigu",B643)),ISNUMBER(SEARCH("mindful",B643)),ISNUMBER(SEARCH("eleg",B643)),ISNUMBER(SEARCH("whims",B643)),ISNUMBER(SEARCH("harmon",B643)),ISNUMBER(SEARCH("creativ",B643)),ISNUMBER(SEARCH("radian",B643)),ISNUMBER(SEARCH("rejuven",B643)),ISNUMBER(SEARCH("cozy",B643)),ISNUMBER(SEARCH("adventur",B643)),ISNUMBER(SEARCH("melod",B643)),ISNUMBER(SEARCH("festiv",B643)),ISNUMBER(SEARCH("free",B643)),ISNUMBER(SEARCH("dazzl",B643)),ISNUMBER(SEARCH("adrenal",B643)),ISNUMBER(SEARCH("artistic",B643)),ISNUMBER(SEARCH("resil",B643)),ISNUMBER(SEARCH("immers",B643)),ISNUMBER(SEARCH("spark",B643)),ISNUMBER(SEARCH("marvel",B643)),ISNUMBER(SEARCH("friend",B643)),ISNUMBER(SEARCH("success",B643)),ISNUMBER(SEARCH("explor",B643)),ISNUMBER(SEARCH("amaz",B643)),ISNUMBER(SEARCH("romanc",B643)),ISNUMBER(SEARCH("captiv",B643)),ISNUMBER(SEARCH("tranquil",B643)),ISNUMBER(SEARCH("grand",B643)),ISNUMBER(SEARCH("energ",B643)),ISNUMBER(SEARCH("celebr",B643)),ISNUMBER(SEARCH("charm",B643)),ISNUMBER(SEARCH("ecstasy",B643)),ISNUMBER(SEARCH("color",B643)),ISNUMBER(SEARCH("hypnot",B643)),ISNUMBER(SEARCH("connect",B643)),ISNUMBER(SEARCH("icon",B643)),ISNUMBER(SEARCH("engag",B643)),ISNUMBER(SEARCH("triumph",B643)),ISNUMBER(SEARCH("heartwarm",B643)),ISNUMBER(SEARCH("solac",B643)),ISNUMBER(SEARCH("breakthrough",B643)),ISNUMBER(SEARCH("imagin",B643)),ISNUMBER(SEARCH("vibran",B643)),ISNUMBER(SEARCH("mesmer",B643)),ISNUMBER(SEARCH("winter magic",B643)),ISNUMBER(SEARCH("nature",B643)),ISNUMBER(SEARCH("celestial",B643)),ISNUMBER(SEARCH("positive",B643)),ISNUMBER(SEARCH("arous",B643))),"Positive",IF(OR(ISNUMBER(SEARCH("anger",B643)),ISNUMBER(SEARCH("fear",B643)),ISNUMBER(SEARCH("sad",B643)),ISNUMBER(SEARCH("disgust",B643)),ISNUMBER(SEARCH("disappoint",B643)),ISNUMBER(SEARCH("bitter",B643)),ISNUMBER(SEARCH("shame",B643)),ISNUMBER(SEARCH("despair",B643)),ISNUMBER(SEARCH("grief",B643)),ISNUMBER(SEARCH("lonel",B643)),ISNUMBER(SEARCH("jealous",B643)),ISNUMBER(SEARCH("resent",B643)),ISNUMBER(SEARCH("frustrat",B643)),ISNUMBER(SEARCH("bored",B643)),ISNUMBER(SEARCH("anxi",B643)),ISNUMBER(SEARCH("intimid",B643)),ISNUMBER(SEARCH("helpless",B643)),ISNUMBER(SEARCH("envy",B643)),ISNUMBER(SEARCH("regret",B643)),ISNUMBER(SEARCH("melanchol",B643)),ISNUMBER(SEARCH("yearn",B643)),ISNUMBER(SEARCH("apprehens",B643)),ISNUMBER(SEARCH("overwhelm",B643)),ISNUMBER(SEARCH("devastat",B643)),ISNUMBER(SEARCH("dismiss",B643)),ISNUMBER(SEARCH("heartbreak",B643)),ISNUMBER(SEARCH("betray",B643)),ISNUMBER(SEARCH("suffer",B643)),ISNUMBER(SEARCH("isolat",B643)),ISNUMBER(SEARCH("lost",B643)),ISNUMBER(SEARCH("exhaust",B643)),ISNUMBER(SEARCH("sorrow",B643)),ISNUMBER(SEARCH("darkness",B643)),ISNUMBER(SEARCH("desperat",B643)),ISNUMBER(SEARCH("ruins",B643)),ISNUMBER(SEARCH("desolat",B643)),ISNUMBER(SEARCH("heartache",B643)),ISNUMBER(SEARCH("solitude",B643)),ISNUMBER(SEARCH("obstacle",B643)),ISNUMBER(SEARCH("pressure",B643)),ISNUMBER(SEARCH("miscalcul",B643)),ISNUMBER(SEARCH("challenge",B643)),ISNUMBER(SEARCH("embarrass",B643)),ISNUMBER(SEARCH("hate",B643)),ISNUMBER(SEARCH("bad",B643)),ISNUMBER(SEARCH("negative",B643))),"Negative","Neutral"))</f>
        <v>Positive</v>
      </c>
      <c r="D643" s="18">
        <f t="shared" ref="D643:D706" si="71">IF(C643="Positive", 1, IF(C643="Negative", -1, 0))</f>
        <v>1</v>
      </c>
      <c r="E643" s="1">
        <v>45127.708333333336</v>
      </c>
      <c r="F643" s="10">
        <f>INT(E643)</f>
        <v>45127</v>
      </c>
      <c r="G643" s="15">
        <f>MOD(E643,2)</f>
        <v>1.7083333333357587</v>
      </c>
      <c r="H643" s="15" t="str">
        <f t="shared" ref="H643:H706" si="72">TEXT(G643, "hh:mm")</f>
        <v>17:00</v>
      </c>
      <c r="I643" t="s">
        <v>2219</v>
      </c>
      <c r="J643" t="s">
        <v>874</v>
      </c>
      <c r="K643" t="str">
        <f t="shared" ref="K643:K706" si="73">TRIM(CLEAN(J643))</f>
        <v>Twitter</v>
      </c>
      <c r="L643" t="s">
        <v>2220</v>
      </c>
      <c r="M643">
        <v>30</v>
      </c>
      <c r="N643">
        <v>60</v>
      </c>
      <c r="O643">
        <f t="shared" ref="O643:O706" si="74">M643+N643</f>
        <v>90</v>
      </c>
      <c r="P643" t="s">
        <v>2040</v>
      </c>
      <c r="Q643" t="str">
        <f t="shared" ref="Q643:Q706" si="75">TRIM(CLEAN(P643))</f>
        <v>Canada</v>
      </c>
      <c r="R643">
        <v>2023</v>
      </c>
      <c r="S643">
        <v>7</v>
      </c>
      <c r="T643">
        <v>20</v>
      </c>
      <c r="U643">
        <v>17</v>
      </c>
      <c r="Y643" s="4">
        <f t="shared" ref="Y643:Y706" si="76">HOUR(H643)</f>
        <v>17</v>
      </c>
    </row>
    <row r="644" spans="1:25" ht="18" x14ac:dyDescent="0.25">
      <c r="A644" t="s">
        <v>2221</v>
      </c>
      <c r="B644" t="s">
        <v>2222</v>
      </c>
      <c r="C644" s="12" t="str">
        <f t="shared" si="70"/>
        <v>Neutral</v>
      </c>
      <c r="D644" s="18">
        <f t="shared" si="71"/>
        <v>0</v>
      </c>
      <c r="E644" s="1">
        <v>45139.5625</v>
      </c>
      <c r="F644" s="10">
        <f>INT(E644)</f>
        <v>45139</v>
      </c>
      <c r="G644" s="15">
        <f>MOD(E644,2)</f>
        <v>1.5625</v>
      </c>
      <c r="H644" s="15" t="str">
        <f t="shared" si="72"/>
        <v>13:30</v>
      </c>
      <c r="I644" t="s">
        <v>2223</v>
      </c>
      <c r="J644" t="s">
        <v>26</v>
      </c>
      <c r="K644" t="str">
        <f t="shared" si="73"/>
        <v>Instagram</v>
      </c>
      <c r="L644" t="s">
        <v>2224</v>
      </c>
      <c r="M644">
        <v>20</v>
      </c>
      <c r="N644">
        <v>40</v>
      </c>
      <c r="O644">
        <f t="shared" si="74"/>
        <v>60</v>
      </c>
      <c r="P644" t="s">
        <v>2035</v>
      </c>
      <c r="Q644" t="str">
        <f t="shared" si="75"/>
        <v>USA</v>
      </c>
      <c r="R644">
        <v>2023</v>
      </c>
      <c r="S644">
        <v>8</v>
      </c>
      <c r="T644">
        <v>1</v>
      </c>
      <c r="U644">
        <v>13</v>
      </c>
      <c r="Y644" s="4">
        <f t="shared" si="76"/>
        <v>13</v>
      </c>
    </row>
    <row r="645" spans="1:25" ht="18" x14ac:dyDescent="0.25">
      <c r="A645" t="s">
        <v>2225</v>
      </c>
      <c r="B645" t="s">
        <v>388</v>
      </c>
      <c r="C645" s="12" t="str">
        <f t="shared" si="70"/>
        <v>Positive</v>
      </c>
      <c r="D645" s="18">
        <f t="shared" si="71"/>
        <v>1</v>
      </c>
      <c r="E645" s="1">
        <v>45140.614583333336</v>
      </c>
      <c r="F645" s="10">
        <f>INT(E645)</f>
        <v>45140</v>
      </c>
      <c r="G645" s="15">
        <f>MOD(E645,2)</f>
        <v>0.61458333333575865</v>
      </c>
      <c r="H645" s="15" t="str">
        <f t="shared" si="72"/>
        <v>14:45</v>
      </c>
      <c r="I645" t="s">
        <v>2226</v>
      </c>
      <c r="J645" t="s">
        <v>874</v>
      </c>
      <c r="K645" t="str">
        <f t="shared" si="73"/>
        <v>Twitter</v>
      </c>
      <c r="L645" t="s">
        <v>2227</v>
      </c>
      <c r="M645">
        <v>25</v>
      </c>
      <c r="N645">
        <v>50</v>
      </c>
      <c r="O645">
        <f t="shared" si="74"/>
        <v>75</v>
      </c>
      <c r="P645" t="s">
        <v>2044</v>
      </c>
      <c r="Q645" t="str">
        <f t="shared" si="75"/>
        <v>UK</v>
      </c>
      <c r="R645">
        <v>2023</v>
      </c>
      <c r="S645">
        <v>8</v>
      </c>
      <c r="T645">
        <v>2</v>
      </c>
      <c r="U645">
        <v>14</v>
      </c>
      <c r="Y645" s="4">
        <f t="shared" si="76"/>
        <v>14</v>
      </c>
    </row>
    <row r="646" spans="1:25" ht="18" x14ac:dyDescent="0.25">
      <c r="A646" t="s">
        <v>2228</v>
      </c>
      <c r="B646" t="s">
        <v>388</v>
      </c>
      <c r="C646" s="12" t="str">
        <f t="shared" si="70"/>
        <v>Positive</v>
      </c>
      <c r="D646" s="18">
        <f t="shared" si="71"/>
        <v>1</v>
      </c>
      <c r="E646" s="1">
        <v>45141.510416666664</v>
      </c>
      <c r="F646" s="10">
        <f>INT(E646)</f>
        <v>45141</v>
      </c>
      <c r="G646" s="15">
        <f>MOD(E646,2)</f>
        <v>1.5104166666642413</v>
      </c>
      <c r="H646" s="15" t="str">
        <f t="shared" si="72"/>
        <v>12:15</v>
      </c>
      <c r="I646" t="s">
        <v>2229</v>
      </c>
      <c r="J646" t="s">
        <v>31</v>
      </c>
      <c r="K646" t="str">
        <f t="shared" si="73"/>
        <v>Facebook</v>
      </c>
      <c r="L646" t="s">
        <v>2230</v>
      </c>
      <c r="M646">
        <v>18</v>
      </c>
      <c r="N646">
        <v>35</v>
      </c>
      <c r="O646">
        <f t="shared" si="74"/>
        <v>53</v>
      </c>
      <c r="P646" t="s">
        <v>2040</v>
      </c>
      <c r="Q646" t="str">
        <f t="shared" si="75"/>
        <v>Canada</v>
      </c>
      <c r="R646">
        <v>2023</v>
      </c>
      <c r="S646">
        <v>8</v>
      </c>
      <c r="T646">
        <v>3</v>
      </c>
      <c r="U646">
        <v>12</v>
      </c>
      <c r="Y646" s="4">
        <f t="shared" si="76"/>
        <v>12</v>
      </c>
    </row>
    <row r="647" spans="1:25" ht="18" x14ac:dyDescent="0.25">
      <c r="A647" t="s">
        <v>2231</v>
      </c>
      <c r="B647" t="s">
        <v>1624</v>
      </c>
      <c r="C647" s="12" t="str">
        <f t="shared" si="70"/>
        <v>Positive</v>
      </c>
      <c r="D647" s="18">
        <f t="shared" si="71"/>
        <v>1</v>
      </c>
      <c r="E647" s="1">
        <v>45142.6875</v>
      </c>
      <c r="F647" s="10">
        <f>INT(E647)</f>
        <v>45142</v>
      </c>
      <c r="G647" s="15">
        <f>MOD(E647,2)</f>
        <v>0.6875</v>
      </c>
      <c r="H647" s="15" t="str">
        <f t="shared" si="72"/>
        <v>16:30</v>
      </c>
      <c r="I647" t="s">
        <v>2232</v>
      </c>
      <c r="J647" t="s">
        <v>26</v>
      </c>
      <c r="K647" t="str">
        <f t="shared" si="73"/>
        <v>Instagram</v>
      </c>
      <c r="L647" t="s">
        <v>2233</v>
      </c>
      <c r="M647">
        <v>22</v>
      </c>
      <c r="N647">
        <v>45</v>
      </c>
      <c r="O647">
        <f t="shared" si="74"/>
        <v>67</v>
      </c>
      <c r="P647" t="s">
        <v>2035</v>
      </c>
      <c r="Q647" t="str">
        <f t="shared" si="75"/>
        <v>USA</v>
      </c>
      <c r="R647">
        <v>2023</v>
      </c>
      <c r="S647">
        <v>8</v>
      </c>
      <c r="T647">
        <v>4</v>
      </c>
      <c r="U647">
        <v>16</v>
      </c>
      <c r="Y647" s="4">
        <f t="shared" si="76"/>
        <v>16</v>
      </c>
    </row>
    <row r="648" spans="1:25" ht="18" x14ac:dyDescent="0.25">
      <c r="A648" t="s">
        <v>2234</v>
      </c>
      <c r="B648" t="s">
        <v>388</v>
      </c>
      <c r="C648" s="12" t="str">
        <f t="shared" si="70"/>
        <v>Positive</v>
      </c>
      <c r="D648" s="18">
        <f t="shared" si="71"/>
        <v>1</v>
      </c>
      <c r="E648" s="1">
        <v>45143.822916666664</v>
      </c>
      <c r="F648" s="10">
        <f>INT(E648)</f>
        <v>45143</v>
      </c>
      <c r="G648" s="15">
        <f>MOD(E648,2)</f>
        <v>1.8229166666642413</v>
      </c>
      <c r="H648" s="15" t="str">
        <f t="shared" si="72"/>
        <v>19:45</v>
      </c>
      <c r="I648" t="s">
        <v>2235</v>
      </c>
      <c r="J648" t="s">
        <v>874</v>
      </c>
      <c r="K648" t="str">
        <f t="shared" si="73"/>
        <v>Twitter</v>
      </c>
      <c r="L648" t="s">
        <v>2236</v>
      </c>
      <c r="M648">
        <v>30</v>
      </c>
      <c r="N648">
        <v>60</v>
      </c>
      <c r="O648">
        <f t="shared" si="74"/>
        <v>90</v>
      </c>
      <c r="P648" t="s">
        <v>2040</v>
      </c>
      <c r="Q648" t="str">
        <f t="shared" si="75"/>
        <v>Canada</v>
      </c>
      <c r="R648">
        <v>2023</v>
      </c>
      <c r="S648">
        <v>8</v>
      </c>
      <c r="T648">
        <v>5</v>
      </c>
      <c r="U648">
        <v>19</v>
      </c>
      <c r="Y648" s="4">
        <f t="shared" si="76"/>
        <v>19</v>
      </c>
    </row>
    <row r="649" spans="1:25" ht="18" x14ac:dyDescent="0.25">
      <c r="A649" t="s">
        <v>2237</v>
      </c>
      <c r="B649" t="s">
        <v>2238</v>
      </c>
      <c r="C649" s="12" t="str">
        <f t="shared" si="70"/>
        <v>Positive</v>
      </c>
      <c r="D649" s="18">
        <f t="shared" si="71"/>
        <v>1</v>
      </c>
      <c r="E649" s="1">
        <v>45144.583333333336</v>
      </c>
      <c r="F649" s="10">
        <f>INT(E649)</f>
        <v>45144</v>
      </c>
      <c r="G649" s="15">
        <f>MOD(E649,2)</f>
        <v>0.58333333333575865</v>
      </c>
      <c r="H649" s="15" t="str">
        <f t="shared" si="72"/>
        <v>14:00</v>
      </c>
      <c r="I649" t="s">
        <v>2239</v>
      </c>
      <c r="J649" t="s">
        <v>31</v>
      </c>
      <c r="K649" t="str">
        <f t="shared" si="73"/>
        <v>Facebook</v>
      </c>
      <c r="L649" t="s">
        <v>2240</v>
      </c>
      <c r="M649">
        <v>28</v>
      </c>
      <c r="N649">
        <v>55</v>
      </c>
      <c r="O649">
        <f t="shared" si="74"/>
        <v>83</v>
      </c>
      <c r="P649" t="s">
        <v>2035</v>
      </c>
      <c r="Q649" t="str">
        <f t="shared" si="75"/>
        <v>USA</v>
      </c>
      <c r="R649">
        <v>2023</v>
      </c>
      <c r="S649">
        <v>8</v>
      </c>
      <c r="T649">
        <v>6</v>
      </c>
      <c r="U649">
        <v>14</v>
      </c>
      <c r="Y649" s="4">
        <f t="shared" si="76"/>
        <v>14</v>
      </c>
    </row>
    <row r="650" spans="1:25" ht="18" x14ac:dyDescent="0.25">
      <c r="A650" t="s">
        <v>2241</v>
      </c>
      <c r="B650" t="s">
        <v>2242</v>
      </c>
      <c r="C650" s="12" t="str">
        <f t="shared" si="70"/>
        <v>Negative</v>
      </c>
      <c r="D650" s="18">
        <f t="shared" si="71"/>
        <v>-1</v>
      </c>
      <c r="E650" s="1">
        <v>45145.822916666664</v>
      </c>
      <c r="F650" s="10">
        <f>INT(E650)</f>
        <v>45145</v>
      </c>
      <c r="G650" s="15">
        <f>MOD(E650,2)</f>
        <v>1.8229166666642413</v>
      </c>
      <c r="H650" s="15" t="str">
        <f t="shared" si="72"/>
        <v>19:45</v>
      </c>
      <c r="I650" t="s">
        <v>2243</v>
      </c>
      <c r="J650" t="s">
        <v>26</v>
      </c>
      <c r="K650" t="str">
        <f t="shared" si="73"/>
        <v>Instagram</v>
      </c>
      <c r="L650" t="s">
        <v>2244</v>
      </c>
      <c r="M650">
        <v>22</v>
      </c>
      <c r="N650">
        <v>45</v>
      </c>
      <c r="O650">
        <f t="shared" si="74"/>
        <v>67</v>
      </c>
      <c r="P650" t="s">
        <v>2044</v>
      </c>
      <c r="Q650" t="str">
        <f t="shared" si="75"/>
        <v>UK</v>
      </c>
      <c r="R650">
        <v>2023</v>
      </c>
      <c r="S650">
        <v>8</v>
      </c>
      <c r="T650">
        <v>7</v>
      </c>
      <c r="U650">
        <v>19</v>
      </c>
      <c r="Y650" s="4">
        <f t="shared" si="76"/>
        <v>19</v>
      </c>
    </row>
    <row r="651" spans="1:25" ht="18" x14ac:dyDescent="0.25">
      <c r="A651" t="s">
        <v>2245</v>
      </c>
      <c r="B651" t="s">
        <v>388</v>
      </c>
      <c r="C651" s="12" t="str">
        <f t="shared" si="70"/>
        <v>Positive</v>
      </c>
      <c r="D651" s="18">
        <f t="shared" si="71"/>
        <v>1</v>
      </c>
      <c r="E651" s="1">
        <v>45146.666666666664</v>
      </c>
      <c r="F651" s="10">
        <f>INT(E651)</f>
        <v>45146</v>
      </c>
      <c r="G651" s="15">
        <f>MOD(E651,2)</f>
        <v>0.66666666666424135</v>
      </c>
      <c r="H651" s="15" t="str">
        <f t="shared" si="72"/>
        <v>16:00</v>
      </c>
      <c r="I651" t="s">
        <v>2246</v>
      </c>
      <c r="J651" t="s">
        <v>874</v>
      </c>
      <c r="K651" t="str">
        <f t="shared" si="73"/>
        <v>Twitter</v>
      </c>
      <c r="L651" t="s">
        <v>2247</v>
      </c>
      <c r="M651">
        <v>30</v>
      </c>
      <c r="N651">
        <v>60</v>
      </c>
      <c r="O651">
        <f t="shared" si="74"/>
        <v>90</v>
      </c>
      <c r="P651" t="s">
        <v>2040</v>
      </c>
      <c r="Q651" t="str">
        <f t="shared" si="75"/>
        <v>Canada</v>
      </c>
      <c r="R651">
        <v>2023</v>
      </c>
      <c r="S651">
        <v>8</v>
      </c>
      <c r="T651">
        <v>8</v>
      </c>
      <c r="U651">
        <v>16</v>
      </c>
      <c r="Y651" s="4">
        <f t="shared" si="76"/>
        <v>16</v>
      </c>
    </row>
    <row r="652" spans="1:25" ht="18" x14ac:dyDescent="0.25">
      <c r="A652" t="s">
        <v>2248</v>
      </c>
      <c r="B652" t="s">
        <v>1624</v>
      </c>
      <c r="C652" s="12" t="str">
        <f t="shared" si="70"/>
        <v>Positive</v>
      </c>
      <c r="D652" s="18">
        <f t="shared" si="71"/>
        <v>1</v>
      </c>
      <c r="E652" s="1">
        <v>45147.9375</v>
      </c>
      <c r="F652" s="10">
        <f>INT(E652)</f>
        <v>45147</v>
      </c>
      <c r="G652" s="15">
        <f>MOD(E652,2)</f>
        <v>1.9375</v>
      </c>
      <c r="H652" s="15" t="str">
        <f t="shared" si="72"/>
        <v>22:30</v>
      </c>
      <c r="I652" t="s">
        <v>2249</v>
      </c>
      <c r="J652" t="s">
        <v>31</v>
      </c>
      <c r="K652" t="str">
        <f t="shared" si="73"/>
        <v>Facebook</v>
      </c>
      <c r="L652" t="s">
        <v>2250</v>
      </c>
      <c r="M652">
        <v>20</v>
      </c>
      <c r="N652">
        <v>40</v>
      </c>
      <c r="O652">
        <f t="shared" si="74"/>
        <v>60</v>
      </c>
      <c r="P652" t="s">
        <v>2035</v>
      </c>
      <c r="Q652" t="str">
        <f t="shared" si="75"/>
        <v>USA</v>
      </c>
      <c r="R652">
        <v>2023</v>
      </c>
      <c r="S652">
        <v>8</v>
      </c>
      <c r="T652">
        <v>9</v>
      </c>
      <c r="U652">
        <v>22</v>
      </c>
      <c r="Y652" s="4">
        <f t="shared" si="76"/>
        <v>22</v>
      </c>
    </row>
    <row r="653" spans="1:25" ht="18" x14ac:dyDescent="0.25">
      <c r="A653" t="s">
        <v>2251</v>
      </c>
      <c r="B653" t="s">
        <v>1624</v>
      </c>
      <c r="C653" s="12" t="str">
        <f t="shared" si="70"/>
        <v>Positive</v>
      </c>
      <c r="D653" s="18">
        <f t="shared" si="71"/>
        <v>1</v>
      </c>
      <c r="E653" s="1">
        <v>45148.597222222219</v>
      </c>
      <c r="F653" s="10">
        <f>INT(E653)</f>
        <v>45148</v>
      </c>
      <c r="G653" s="15">
        <f>MOD(E653,2)</f>
        <v>0.59722222221898846</v>
      </c>
      <c r="H653" s="15" t="str">
        <f t="shared" si="72"/>
        <v>14:20</v>
      </c>
      <c r="I653" t="s">
        <v>2252</v>
      </c>
      <c r="J653" t="s">
        <v>26</v>
      </c>
      <c r="K653" t="str">
        <f t="shared" si="73"/>
        <v>Instagram</v>
      </c>
      <c r="L653" t="s">
        <v>2253</v>
      </c>
      <c r="M653">
        <v>28</v>
      </c>
      <c r="N653">
        <v>55</v>
      </c>
      <c r="O653">
        <f t="shared" si="74"/>
        <v>83</v>
      </c>
      <c r="P653" t="s">
        <v>2044</v>
      </c>
      <c r="Q653" t="str">
        <f t="shared" si="75"/>
        <v>UK</v>
      </c>
      <c r="R653">
        <v>2023</v>
      </c>
      <c r="S653">
        <v>8</v>
      </c>
      <c r="T653">
        <v>10</v>
      </c>
      <c r="U653">
        <v>14</v>
      </c>
      <c r="Y653" s="4">
        <f t="shared" si="76"/>
        <v>14</v>
      </c>
    </row>
    <row r="654" spans="1:25" ht="18" x14ac:dyDescent="0.25">
      <c r="A654" t="s">
        <v>2254</v>
      </c>
      <c r="B654" t="s">
        <v>1624</v>
      </c>
      <c r="C654" s="12" t="str">
        <f t="shared" si="70"/>
        <v>Positive</v>
      </c>
      <c r="D654" s="18">
        <f t="shared" si="71"/>
        <v>1</v>
      </c>
      <c r="E654" s="1">
        <v>45149.78125</v>
      </c>
      <c r="F654" s="10">
        <f>INT(E654)</f>
        <v>45149</v>
      </c>
      <c r="G654" s="15">
        <f>MOD(E654,2)</f>
        <v>1.78125</v>
      </c>
      <c r="H654" s="15" t="str">
        <f t="shared" si="72"/>
        <v>18:45</v>
      </c>
      <c r="I654" t="s">
        <v>2255</v>
      </c>
      <c r="J654" t="s">
        <v>874</v>
      </c>
      <c r="K654" t="str">
        <f t="shared" si="73"/>
        <v>Twitter</v>
      </c>
      <c r="L654" t="s">
        <v>2256</v>
      </c>
      <c r="M654">
        <v>22</v>
      </c>
      <c r="N654">
        <v>45</v>
      </c>
      <c r="O654">
        <f t="shared" si="74"/>
        <v>67</v>
      </c>
      <c r="P654" t="s">
        <v>2040</v>
      </c>
      <c r="Q654" t="str">
        <f t="shared" si="75"/>
        <v>Canada</v>
      </c>
      <c r="R654">
        <v>2023</v>
      </c>
      <c r="S654">
        <v>8</v>
      </c>
      <c r="T654">
        <v>11</v>
      </c>
      <c r="U654">
        <v>18</v>
      </c>
      <c r="Y654" s="4">
        <f t="shared" si="76"/>
        <v>18</v>
      </c>
    </row>
    <row r="655" spans="1:25" ht="18" x14ac:dyDescent="0.25">
      <c r="A655" t="s">
        <v>2257</v>
      </c>
      <c r="B655" t="s">
        <v>388</v>
      </c>
      <c r="C655" s="12" t="str">
        <f t="shared" si="70"/>
        <v>Positive</v>
      </c>
      <c r="D655" s="18">
        <f t="shared" si="71"/>
        <v>1</v>
      </c>
      <c r="E655" s="1">
        <v>45150.572916666664</v>
      </c>
      <c r="F655" s="10">
        <f>INT(E655)</f>
        <v>45150</v>
      </c>
      <c r="G655" s="15">
        <f>MOD(E655,2)</f>
        <v>0.57291666666424135</v>
      </c>
      <c r="H655" s="15" t="str">
        <f t="shared" si="72"/>
        <v>13:45</v>
      </c>
      <c r="I655" t="s">
        <v>2258</v>
      </c>
      <c r="J655" t="s">
        <v>31</v>
      </c>
      <c r="K655" t="str">
        <f t="shared" si="73"/>
        <v>Facebook</v>
      </c>
      <c r="L655" t="s">
        <v>2259</v>
      </c>
      <c r="M655">
        <v>25</v>
      </c>
      <c r="N655">
        <v>50</v>
      </c>
      <c r="O655">
        <f t="shared" si="74"/>
        <v>75</v>
      </c>
      <c r="P655" t="s">
        <v>2035</v>
      </c>
      <c r="Q655" t="str">
        <f t="shared" si="75"/>
        <v>USA</v>
      </c>
      <c r="R655">
        <v>2023</v>
      </c>
      <c r="S655">
        <v>8</v>
      </c>
      <c r="T655">
        <v>12</v>
      </c>
      <c r="U655">
        <v>13</v>
      </c>
      <c r="Y655" s="4">
        <f t="shared" si="76"/>
        <v>13</v>
      </c>
    </row>
    <row r="656" spans="1:25" ht="18" x14ac:dyDescent="0.25">
      <c r="A656" t="s">
        <v>2260</v>
      </c>
      <c r="B656" t="s">
        <v>388</v>
      </c>
      <c r="C656" s="12" t="str">
        <f t="shared" si="70"/>
        <v>Positive</v>
      </c>
      <c r="D656" s="18">
        <f t="shared" si="71"/>
        <v>1</v>
      </c>
      <c r="E656" s="1">
        <v>45151.833333333336</v>
      </c>
      <c r="F656" s="10">
        <f>INT(E656)</f>
        <v>45151</v>
      </c>
      <c r="G656" s="15">
        <f>MOD(E656,2)</f>
        <v>1.8333333333357587</v>
      </c>
      <c r="H656" s="15" t="str">
        <f t="shared" si="72"/>
        <v>20:00</v>
      </c>
      <c r="I656" t="s">
        <v>2261</v>
      </c>
      <c r="J656" t="s">
        <v>26</v>
      </c>
      <c r="K656" t="str">
        <f t="shared" si="73"/>
        <v>Instagram</v>
      </c>
      <c r="L656" t="s">
        <v>2262</v>
      </c>
      <c r="M656">
        <v>35</v>
      </c>
      <c r="N656">
        <v>70</v>
      </c>
      <c r="O656">
        <f t="shared" si="74"/>
        <v>105</v>
      </c>
      <c r="P656" t="s">
        <v>2044</v>
      </c>
      <c r="Q656" t="str">
        <f t="shared" si="75"/>
        <v>UK</v>
      </c>
      <c r="R656">
        <v>2023</v>
      </c>
      <c r="S656">
        <v>8</v>
      </c>
      <c r="T656">
        <v>13</v>
      </c>
      <c r="U656">
        <v>20</v>
      </c>
      <c r="Y656" s="4">
        <f t="shared" si="76"/>
        <v>20</v>
      </c>
    </row>
    <row r="657" spans="1:25" ht="18" x14ac:dyDescent="0.25">
      <c r="A657" t="s">
        <v>2263</v>
      </c>
      <c r="B657" t="s">
        <v>1624</v>
      </c>
      <c r="C657" s="12" t="str">
        <f t="shared" si="70"/>
        <v>Positive</v>
      </c>
      <c r="D657" s="18">
        <f t="shared" si="71"/>
        <v>1</v>
      </c>
      <c r="E657" s="1">
        <v>45152.677083333336</v>
      </c>
      <c r="F657" s="10">
        <f>INT(E657)</f>
        <v>45152</v>
      </c>
      <c r="G657" s="15">
        <f>MOD(E657,2)</f>
        <v>0.67708333333575865</v>
      </c>
      <c r="H657" s="15" t="str">
        <f t="shared" si="72"/>
        <v>16:15</v>
      </c>
      <c r="I657" t="s">
        <v>2264</v>
      </c>
      <c r="J657" t="s">
        <v>874</v>
      </c>
      <c r="K657" t="str">
        <f t="shared" si="73"/>
        <v>Twitter</v>
      </c>
      <c r="L657" t="s">
        <v>2265</v>
      </c>
      <c r="M657">
        <v>20</v>
      </c>
      <c r="N657">
        <v>40</v>
      </c>
      <c r="O657">
        <f t="shared" si="74"/>
        <v>60</v>
      </c>
      <c r="P657" t="s">
        <v>2035</v>
      </c>
      <c r="Q657" t="str">
        <f t="shared" si="75"/>
        <v>USA</v>
      </c>
      <c r="R657">
        <v>2023</v>
      </c>
      <c r="S657">
        <v>8</v>
      </c>
      <c r="T657">
        <v>14</v>
      </c>
      <c r="U657">
        <v>16</v>
      </c>
      <c r="Y657" s="4">
        <f t="shared" si="76"/>
        <v>16</v>
      </c>
    </row>
    <row r="658" spans="1:25" ht="18" x14ac:dyDescent="0.25">
      <c r="A658" t="s">
        <v>2266</v>
      </c>
      <c r="B658" t="s">
        <v>388</v>
      </c>
      <c r="C658" s="12" t="str">
        <f t="shared" si="70"/>
        <v>Positive</v>
      </c>
      <c r="D658" s="18">
        <f t="shared" si="71"/>
        <v>1</v>
      </c>
      <c r="E658" s="1">
        <v>45153.8125</v>
      </c>
      <c r="F658" s="10">
        <f>INT(E658)</f>
        <v>45153</v>
      </c>
      <c r="G658" s="15">
        <f>MOD(E658,2)</f>
        <v>1.8125</v>
      </c>
      <c r="H658" s="15" t="str">
        <f t="shared" si="72"/>
        <v>19:30</v>
      </c>
      <c r="I658" t="s">
        <v>2267</v>
      </c>
      <c r="J658" t="s">
        <v>31</v>
      </c>
      <c r="K658" t="str">
        <f t="shared" si="73"/>
        <v>Facebook</v>
      </c>
      <c r="L658" t="s">
        <v>2268</v>
      </c>
      <c r="M658">
        <v>28</v>
      </c>
      <c r="N658">
        <v>55</v>
      </c>
      <c r="O658">
        <f t="shared" si="74"/>
        <v>83</v>
      </c>
      <c r="P658" t="s">
        <v>2040</v>
      </c>
      <c r="Q658" t="str">
        <f t="shared" si="75"/>
        <v>Canada</v>
      </c>
      <c r="R658">
        <v>2023</v>
      </c>
      <c r="S658">
        <v>8</v>
      </c>
      <c r="T658">
        <v>15</v>
      </c>
      <c r="U658">
        <v>19</v>
      </c>
      <c r="Y658" s="4">
        <f t="shared" si="76"/>
        <v>19</v>
      </c>
    </row>
    <row r="659" spans="1:25" ht="18" x14ac:dyDescent="0.25">
      <c r="A659" t="s">
        <v>2269</v>
      </c>
      <c r="B659" t="s">
        <v>2270</v>
      </c>
      <c r="C659" s="12" t="str">
        <f t="shared" si="70"/>
        <v>Neutral</v>
      </c>
      <c r="D659" s="18">
        <f t="shared" si="71"/>
        <v>0</v>
      </c>
      <c r="E659" s="1">
        <v>45154.583333333336</v>
      </c>
      <c r="F659" s="10">
        <f>INT(E659)</f>
        <v>45154</v>
      </c>
      <c r="G659" s="15">
        <f>MOD(E659,2)</f>
        <v>0.58333333333575865</v>
      </c>
      <c r="H659" s="15" t="str">
        <f t="shared" si="72"/>
        <v>14:00</v>
      </c>
      <c r="I659" t="s">
        <v>2271</v>
      </c>
      <c r="J659" t="s">
        <v>26</v>
      </c>
      <c r="K659" t="str">
        <f t="shared" si="73"/>
        <v>Instagram</v>
      </c>
      <c r="L659" t="s">
        <v>2272</v>
      </c>
      <c r="M659">
        <v>30</v>
      </c>
      <c r="N659">
        <v>60</v>
      </c>
      <c r="O659">
        <f t="shared" si="74"/>
        <v>90</v>
      </c>
      <c r="P659" t="s">
        <v>2035</v>
      </c>
      <c r="Q659" t="str">
        <f t="shared" si="75"/>
        <v>USA</v>
      </c>
      <c r="R659">
        <v>2023</v>
      </c>
      <c r="S659">
        <v>8</v>
      </c>
      <c r="T659">
        <v>16</v>
      </c>
      <c r="U659">
        <v>14</v>
      </c>
      <c r="Y659" s="4">
        <f t="shared" si="76"/>
        <v>14</v>
      </c>
    </row>
    <row r="660" spans="1:25" ht="18" x14ac:dyDescent="0.25">
      <c r="A660" t="s">
        <v>2273</v>
      </c>
      <c r="B660" t="s">
        <v>388</v>
      </c>
      <c r="C660" s="12" t="str">
        <f t="shared" si="70"/>
        <v>Positive</v>
      </c>
      <c r="D660" s="18">
        <f t="shared" si="71"/>
        <v>1</v>
      </c>
      <c r="E660" s="1">
        <v>45155.927083333336</v>
      </c>
      <c r="F660" s="10">
        <f>INT(E660)</f>
        <v>45155</v>
      </c>
      <c r="G660" s="15">
        <f>MOD(E660,2)</f>
        <v>1.9270833333357587</v>
      </c>
      <c r="H660" s="15" t="str">
        <f t="shared" si="72"/>
        <v>22:15</v>
      </c>
      <c r="I660" t="s">
        <v>2274</v>
      </c>
      <c r="J660" t="s">
        <v>874</v>
      </c>
      <c r="K660" t="str">
        <f t="shared" si="73"/>
        <v>Twitter</v>
      </c>
      <c r="L660" t="s">
        <v>2275</v>
      </c>
      <c r="M660">
        <v>18</v>
      </c>
      <c r="N660">
        <v>35</v>
      </c>
      <c r="O660">
        <f t="shared" si="74"/>
        <v>53</v>
      </c>
      <c r="P660" t="s">
        <v>2044</v>
      </c>
      <c r="Q660" t="str">
        <f t="shared" si="75"/>
        <v>UK</v>
      </c>
      <c r="R660">
        <v>2023</v>
      </c>
      <c r="S660">
        <v>8</v>
      </c>
      <c r="T660">
        <v>17</v>
      </c>
      <c r="U660">
        <v>22</v>
      </c>
      <c r="Y660" s="4">
        <f t="shared" si="76"/>
        <v>22</v>
      </c>
    </row>
    <row r="661" spans="1:25" ht="18" x14ac:dyDescent="0.25">
      <c r="A661" t="s">
        <v>2276</v>
      </c>
      <c r="B661" t="s">
        <v>2242</v>
      </c>
      <c r="C661" s="12" t="str">
        <f t="shared" si="70"/>
        <v>Negative</v>
      </c>
      <c r="D661" s="18">
        <f t="shared" si="71"/>
        <v>-1</v>
      </c>
      <c r="E661" s="1">
        <v>45156.6875</v>
      </c>
      <c r="F661" s="10">
        <f>INT(E661)</f>
        <v>45156</v>
      </c>
      <c r="G661" s="15">
        <f>MOD(E661,2)</f>
        <v>0.6875</v>
      </c>
      <c r="H661" s="15" t="str">
        <f t="shared" si="72"/>
        <v>16:30</v>
      </c>
      <c r="I661" t="s">
        <v>2277</v>
      </c>
      <c r="J661" t="s">
        <v>31</v>
      </c>
      <c r="K661" t="str">
        <f t="shared" si="73"/>
        <v>Facebook</v>
      </c>
      <c r="L661" t="s">
        <v>2278</v>
      </c>
      <c r="M661">
        <v>25</v>
      </c>
      <c r="N661">
        <v>50</v>
      </c>
      <c r="O661">
        <f t="shared" si="74"/>
        <v>75</v>
      </c>
      <c r="P661" t="s">
        <v>2035</v>
      </c>
      <c r="Q661" t="str">
        <f t="shared" si="75"/>
        <v>USA</v>
      </c>
      <c r="R661">
        <v>2023</v>
      </c>
      <c r="S661">
        <v>8</v>
      </c>
      <c r="T661">
        <v>18</v>
      </c>
      <c r="U661">
        <v>16</v>
      </c>
      <c r="Y661" s="4">
        <f t="shared" si="76"/>
        <v>16</v>
      </c>
    </row>
    <row r="662" spans="1:25" ht="18" x14ac:dyDescent="0.25">
      <c r="A662" t="s">
        <v>2279</v>
      </c>
      <c r="B662" t="s">
        <v>2242</v>
      </c>
      <c r="C662" s="12" t="str">
        <f t="shared" si="70"/>
        <v>Negative</v>
      </c>
      <c r="D662" s="18">
        <f t="shared" si="71"/>
        <v>-1</v>
      </c>
      <c r="E662" s="1">
        <v>45157.822916666664</v>
      </c>
      <c r="F662" s="10">
        <f>INT(E662)</f>
        <v>45157</v>
      </c>
      <c r="G662" s="15">
        <f>MOD(E662,2)</f>
        <v>1.8229166666642413</v>
      </c>
      <c r="H662" s="15" t="str">
        <f t="shared" si="72"/>
        <v>19:45</v>
      </c>
      <c r="I662" t="s">
        <v>2280</v>
      </c>
      <c r="J662" t="s">
        <v>26</v>
      </c>
      <c r="K662" t="str">
        <f t="shared" si="73"/>
        <v>Instagram</v>
      </c>
      <c r="L662" t="s">
        <v>2281</v>
      </c>
      <c r="M662">
        <v>22</v>
      </c>
      <c r="N662">
        <v>45</v>
      </c>
      <c r="O662">
        <f t="shared" si="74"/>
        <v>67</v>
      </c>
      <c r="P662" t="s">
        <v>2044</v>
      </c>
      <c r="Q662" t="str">
        <f t="shared" si="75"/>
        <v>UK</v>
      </c>
      <c r="R662">
        <v>2023</v>
      </c>
      <c r="S662">
        <v>8</v>
      </c>
      <c r="T662">
        <v>19</v>
      </c>
      <c r="U662">
        <v>19</v>
      </c>
      <c r="Y662" s="4">
        <f t="shared" si="76"/>
        <v>19</v>
      </c>
    </row>
    <row r="663" spans="1:25" ht="18" x14ac:dyDescent="0.25">
      <c r="A663" t="s">
        <v>2282</v>
      </c>
      <c r="B663" t="s">
        <v>2242</v>
      </c>
      <c r="C663" s="12" t="str">
        <f t="shared" si="70"/>
        <v>Negative</v>
      </c>
      <c r="D663" s="18">
        <f t="shared" si="71"/>
        <v>-1</v>
      </c>
      <c r="E663" s="1">
        <v>45158.708333333336</v>
      </c>
      <c r="F663" s="10">
        <f>INT(E663)</f>
        <v>45158</v>
      </c>
      <c r="G663" s="15">
        <f>MOD(E663,2)</f>
        <v>0.70833333333575865</v>
      </c>
      <c r="H663" s="15" t="str">
        <f t="shared" si="72"/>
        <v>17:00</v>
      </c>
      <c r="I663" t="s">
        <v>2283</v>
      </c>
      <c r="J663" t="s">
        <v>874</v>
      </c>
      <c r="K663" t="str">
        <f t="shared" si="73"/>
        <v>Twitter</v>
      </c>
      <c r="L663" t="s">
        <v>2284</v>
      </c>
      <c r="M663">
        <v>30</v>
      </c>
      <c r="N663">
        <v>60</v>
      </c>
      <c r="O663">
        <f t="shared" si="74"/>
        <v>90</v>
      </c>
      <c r="P663" t="s">
        <v>2040</v>
      </c>
      <c r="Q663" t="str">
        <f t="shared" si="75"/>
        <v>Canada</v>
      </c>
      <c r="R663">
        <v>2023</v>
      </c>
      <c r="S663">
        <v>8</v>
      </c>
      <c r="T663">
        <v>20</v>
      </c>
      <c r="U663">
        <v>17</v>
      </c>
      <c r="Y663" s="4">
        <f t="shared" si="76"/>
        <v>17</v>
      </c>
    </row>
    <row r="664" spans="1:25" ht="18" x14ac:dyDescent="0.25">
      <c r="A664" t="s">
        <v>2285</v>
      </c>
      <c r="B664" t="s">
        <v>1624</v>
      </c>
      <c r="C664" s="12" t="str">
        <f t="shared" si="70"/>
        <v>Positive</v>
      </c>
      <c r="D664" s="18">
        <f t="shared" si="71"/>
        <v>1</v>
      </c>
      <c r="E664" s="1">
        <v>45159.65625</v>
      </c>
      <c r="F664" s="10">
        <f>INT(E664)</f>
        <v>45159</v>
      </c>
      <c r="G664" s="15">
        <f>MOD(E664,2)</f>
        <v>1.65625</v>
      </c>
      <c r="H664" s="15" t="str">
        <f t="shared" si="72"/>
        <v>15:45</v>
      </c>
      <c r="I664" t="s">
        <v>2286</v>
      </c>
      <c r="J664" t="s">
        <v>26</v>
      </c>
      <c r="K664" t="str">
        <f t="shared" si="73"/>
        <v>Instagram</v>
      </c>
      <c r="L664" t="s">
        <v>2287</v>
      </c>
      <c r="M664">
        <v>15</v>
      </c>
      <c r="N664">
        <v>30</v>
      </c>
      <c r="O664">
        <f t="shared" si="74"/>
        <v>45</v>
      </c>
      <c r="P664" t="s">
        <v>2035</v>
      </c>
      <c r="Q664" t="str">
        <f t="shared" si="75"/>
        <v>USA</v>
      </c>
      <c r="R664">
        <v>2023</v>
      </c>
      <c r="S664">
        <v>8</v>
      </c>
      <c r="T664">
        <v>21</v>
      </c>
      <c r="U664">
        <v>15</v>
      </c>
      <c r="Y664" s="4">
        <f t="shared" si="76"/>
        <v>15</v>
      </c>
    </row>
    <row r="665" spans="1:25" ht="18" x14ac:dyDescent="0.25">
      <c r="A665" t="s">
        <v>2288</v>
      </c>
      <c r="B665" t="s">
        <v>388</v>
      </c>
      <c r="C665" s="12" t="str">
        <f t="shared" si="70"/>
        <v>Positive</v>
      </c>
      <c r="D665" s="18">
        <f t="shared" si="71"/>
        <v>1</v>
      </c>
      <c r="E665" s="1">
        <v>45160.520833333336</v>
      </c>
      <c r="F665" s="10">
        <f>INT(E665)</f>
        <v>45160</v>
      </c>
      <c r="G665" s="15">
        <f>MOD(E665,2)</f>
        <v>0.52083333333575865</v>
      </c>
      <c r="H665" s="15" t="str">
        <f t="shared" si="72"/>
        <v>12:30</v>
      </c>
      <c r="I665" t="s">
        <v>2289</v>
      </c>
      <c r="J665" t="s">
        <v>31</v>
      </c>
      <c r="K665" t="str">
        <f t="shared" si="73"/>
        <v>Facebook</v>
      </c>
      <c r="L665" t="s">
        <v>2290</v>
      </c>
      <c r="M665">
        <v>22</v>
      </c>
      <c r="N665">
        <v>40</v>
      </c>
      <c r="O665">
        <f t="shared" si="74"/>
        <v>62</v>
      </c>
      <c r="P665" t="s">
        <v>2040</v>
      </c>
      <c r="Q665" t="str">
        <f t="shared" si="75"/>
        <v>Canada</v>
      </c>
      <c r="R665">
        <v>2023</v>
      </c>
      <c r="S665">
        <v>8</v>
      </c>
      <c r="T665">
        <v>22</v>
      </c>
      <c r="U665">
        <v>12</v>
      </c>
      <c r="Y665" s="4">
        <f t="shared" si="76"/>
        <v>12</v>
      </c>
    </row>
    <row r="666" spans="1:25" ht="18" x14ac:dyDescent="0.25">
      <c r="A666" t="s">
        <v>2291</v>
      </c>
      <c r="B666" t="s">
        <v>2270</v>
      </c>
      <c r="C666" s="12" t="str">
        <f t="shared" si="70"/>
        <v>Neutral</v>
      </c>
      <c r="D666" s="18">
        <f t="shared" si="71"/>
        <v>0</v>
      </c>
      <c r="E666" s="1">
        <v>45161.697916666664</v>
      </c>
      <c r="F666" s="10">
        <f>INT(E666)</f>
        <v>45161</v>
      </c>
      <c r="G666" s="15">
        <f>MOD(E666,2)</f>
        <v>1.6979166666642413</v>
      </c>
      <c r="H666" s="15" t="str">
        <f t="shared" si="72"/>
        <v>16:45</v>
      </c>
      <c r="I666" t="s">
        <v>2292</v>
      </c>
      <c r="J666" t="s">
        <v>874</v>
      </c>
      <c r="K666" t="str">
        <f t="shared" si="73"/>
        <v>Twitter</v>
      </c>
      <c r="L666" t="s">
        <v>2293</v>
      </c>
      <c r="M666">
        <v>28</v>
      </c>
      <c r="N666">
        <v>55</v>
      </c>
      <c r="O666">
        <f t="shared" si="74"/>
        <v>83</v>
      </c>
      <c r="P666" t="s">
        <v>2035</v>
      </c>
      <c r="Q666" t="str">
        <f t="shared" si="75"/>
        <v>USA</v>
      </c>
      <c r="R666">
        <v>2023</v>
      </c>
      <c r="S666">
        <v>8</v>
      </c>
      <c r="T666">
        <v>23</v>
      </c>
      <c r="U666">
        <v>16</v>
      </c>
      <c r="Y666" s="4">
        <f t="shared" si="76"/>
        <v>16</v>
      </c>
    </row>
    <row r="667" spans="1:25" ht="18" x14ac:dyDescent="0.25">
      <c r="A667" t="s">
        <v>2294</v>
      </c>
      <c r="B667" t="s">
        <v>388</v>
      </c>
      <c r="C667" s="12" t="str">
        <f t="shared" si="70"/>
        <v>Positive</v>
      </c>
      <c r="D667" s="18">
        <f t="shared" si="71"/>
        <v>1</v>
      </c>
      <c r="E667" s="1">
        <v>45162.763888888891</v>
      </c>
      <c r="F667" s="10">
        <f>INT(E667)</f>
        <v>45162</v>
      </c>
      <c r="G667" s="15">
        <f>MOD(E667,2)</f>
        <v>0.76388888889050577</v>
      </c>
      <c r="H667" s="15" t="str">
        <f t="shared" si="72"/>
        <v>18:20</v>
      </c>
      <c r="I667" t="s">
        <v>2295</v>
      </c>
      <c r="J667" t="s">
        <v>26</v>
      </c>
      <c r="K667" t="str">
        <f t="shared" si="73"/>
        <v>Instagram</v>
      </c>
      <c r="L667" t="s">
        <v>2296</v>
      </c>
      <c r="M667">
        <v>20</v>
      </c>
      <c r="N667">
        <v>38</v>
      </c>
      <c r="O667">
        <f t="shared" si="74"/>
        <v>58</v>
      </c>
      <c r="P667" t="s">
        <v>2044</v>
      </c>
      <c r="Q667" t="str">
        <f t="shared" si="75"/>
        <v>UK</v>
      </c>
      <c r="R667">
        <v>2023</v>
      </c>
      <c r="S667">
        <v>8</v>
      </c>
      <c r="T667">
        <v>24</v>
      </c>
      <c r="U667">
        <v>18</v>
      </c>
      <c r="Y667" s="4">
        <f t="shared" si="76"/>
        <v>18</v>
      </c>
    </row>
    <row r="668" spans="1:25" ht="18" x14ac:dyDescent="0.25">
      <c r="A668" t="s">
        <v>2297</v>
      </c>
      <c r="B668" t="s">
        <v>1624</v>
      </c>
      <c r="C668" s="12" t="str">
        <f t="shared" si="70"/>
        <v>Positive</v>
      </c>
      <c r="D668" s="18">
        <f t="shared" si="71"/>
        <v>1</v>
      </c>
      <c r="E668" s="1">
        <v>45163.59375</v>
      </c>
      <c r="F668" s="10">
        <f>INT(E668)</f>
        <v>45163</v>
      </c>
      <c r="G668" s="15">
        <f>MOD(E668,2)</f>
        <v>1.59375</v>
      </c>
      <c r="H668" s="15" t="str">
        <f t="shared" si="72"/>
        <v>14:15</v>
      </c>
      <c r="I668" t="s">
        <v>2298</v>
      </c>
      <c r="J668" t="s">
        <v>31</v>
      </c>
      <c r="K668" t="str">
        <f t="shared" si="73"/>
        <v>Facebook</v>
      </c>
      <c r="L668" t="s">
        <v>2299</v>
      </c>
      <c r="M668">
        <v>25</v>
      </c>
      <c r="N668">
        <v>50</v>
      </c>
      <c r="O668">
        <f t="shared" si="74"/>
        <v>75</v>
      </c>
      <c r="P668" t="s">
        <v>2040</v>
      </c>
      <c r="Q668" t="str">
        <f t="shared" si="75"/>
        <v>Canada</v>
      </c>
      <c r="R668">
        <v>2023</v>
      </c>
      <c r="S668">
        <v>8</v>
      </c>
      <c r="T668">
        <v>25</v>
      </c>
      <c r="U668">
        <v>14</v>
      </c>
      <c r="Y668" s="4">
        <f t="shared" si="76"/>
        <v>14</v>
      </c>
    </row>
    <row r="669" spans="1:25" ht="18" x14ac:dyDescent="0.25">
      <c r="A669" t="s">
        <v>2300</v>
      </c>
      <c r="B669" t="s">
        <v>2242</v>
      </c>
      <c r="C669" s="12" t="str">
        <f t="shared" si="70"/>
        <v>Negative</v>
      </c>
      <c r="D669" s="18">
        <f t="shared" si="71"/>
        <v>-1</v>
      </c>
      <c r="E669" s="1">
        <v>45164.729166666664</v>
      </c>
      <c r="F669" s="10">
        <f>INT(E669)</f>
        <v>45164</v>
      </c>
      <c r="G669" s="15">
        <f>MOD(E669,2)</f>
        <v>0.72916666666424135</v>
      </c>
      <c r="H669" s="15" t="str">
        <f t="shared" si="72"/>
        <v>17:30</v>
      </c>
      <c r="I669" t="s">
        <v>2301</v>
      </c>
      <c r="J669" t="s">
        <v>874</v>
      </c>
      <c r="K669" t="str">
        <f t="shared" si="73"/>
        <v>Twitter</v>
      </c>
      <c r="L669" t="s">
        <v>2302</v>
      </c>
      <c r="M669">
        <v>18</v>
      </c>
      <c r="N669">
        <v>35</v>
      </c>
      <c r="O669">
        <f t="shared" si="74"/>
        <v>53</v>
      </c>
      <c r="P669" t="s">
        <v>2035</v>
      </c>
      <c r="Q669" t="str">
        <f t="shared" si="75"/>
        <v>USA</v>
      </c>
      <c r="R669">
        <v>2023</v>
      </c>
      <c r="S669">
        <v>8</v>
      </c>
      <c r="T669">
        <v>26</v>
      </c>
      <c r="U669">
        <v>17</v>
      </c>
      <c r="Y669" s="4">
        <f t="shared" si="76"/>
        <v>17</v>
      </c>
    </row>
    <row r="670" spans="1:25" ht="18" x14ac:dyDescent="0.25">
      <c r="A670" t="s">
        <v>2303</v>
      </c>
      <c r="B670" t="s">
        <v>2242</v>
      </c>
      <c r="C670" s="12" t="str">
        <f t="shared" si="70"/>
        <v>Negative</v>
      </c>
      <c r="D670" s="18">
        <f t="shared" si="71"/>
        <v>-1</v>
      </c>
      <c r="E670" s="1">
        <v>45165.864583333336</v>
      </c>
      <c r="F670" s="10">
        <f>INT(E670)</f>
        <v>45165</v>
      </c>
      <c r="G670" s="15">
        <f>MOD(E670,2)</f>
        <v>1.8645833333357587</v>
      </c>
      <c r="H670" s="15" t="str">
        <f t="shared" si="72"/>
        <v>20:45</v>
      </c>
      <c r="I670" t="s">
        <v>2304</v>
      </c>
      <c r="J670" t="s">
        <v>26</v>
      </c>
      <c r="K670" t="str">
        <f t="shared" si="73"/>
        <v>Instagram</v>
      </c>
      <c r="L670" t="s">
        <v>2305</v>
      </c>
      <c r="M670">
        <v>22</v>
      </c>
      <c r="N670">
        <v>45</v>
      </c>
      <c r="O670">
        <f t="shared" si="74"/>
        <v>67</v>
      </c>
      <c r="P670" t="s">
        <v>2044</v>
      </c>
      <c r="Q670" t="str">
        <f t="shared" si="75"/>
        <v>UK</v>
      </c>
      <c r="R670">
        <v>2023</v>
      </c>
      <c r="S670">
        <v>8</v>
      </c>
      <c r="T670">
        <v>27</v>
      </c>
      <c r="U670">
        <v>20</v>
      </c>
      <c r="Y670" s="4">
        <f t="shared" si="76"/>
        <v>20</v>
      </c>
    </row>
    <row r="671" spans="1:25" ht="18" x14ac:dyDescent="0.25">
      <c r="A671" t="s">
        <v>2306</v>
      </c>
      <c r="B671" t="s">
        <v>1624</v>
      </c>
      <c r="C671" s="12" t="str">
        <f t="shared" si="70"/>
        <v>Positive</v>
      </c>
      <c r="D671" s="18">
        <f t="shared" si="71"/>
        <v>1</v>
      </c>
      <c r="E671" s="1">
        <v>45166.666666666664</v>
      </c>
      <c r="F671" s="10">
        <f>INT(E671)</f>
        <v>45166</v>
      </c>
      <c r="G671" s="15">
        <f>MOD(E671,2)</f>
        <v>0.66666666666424135</v>
      </c>
      <c r="H671" s="15" t="str">
        <f t="shared" si="72"/>
        <v>16:00</v>
      </c>
      <c r="I671" t="s">
        <v>2307</v>
      </c>
      <c r="J671" t="s">
        <v>874</v>
      </c>
      <c r="K671" t="str">
        <f t="shared" si="73"/>
        <v>Twitter</v>
      </c>
      <c r="L671" t="s">
        <v>2308</v>
      </c>
      <c r="M671">
        <v>18</v>
      </c>
      <c r="N671">
        <v>36</v>
      </c>
      <c r="O671">
        <f t="shared" si="74"/>
        <v>54</v>
      </c>
      <c r="P671" t="s">
        <v>2035</v>
      </c>
      <c r="Q671" t="str">
        <f t="shared" si="75"/>
        <v>USA</v>
      </c>
      <c r="R671">
        <v>2023</v>
      </c>
      <c r="S671">
        <v>8</v>
      </c>
      <c r="T671">
        <v>28</v>
      </c>
      <c r="U671">
        <v>16</v>
      </c>
      <c r="Y671" s="4">
        <f t="shared" si="76"/>
        <v>16</v>
      </c>
    </row>
    <row r="672" spans="1:25" ht="18" x14ac:dyDescent="0.25">
      <c r="A672" t="s">
        <v>2309</v>
      </c>
      <c r="B672" t="s">
        <v>388</v>
      </c>
      <c r="C672" s="12" t="str">
        <f t="shared" si="70"/>
        <v>Positive</v>
      </c>
      <c r="D672" s="18">
        <f t="shared" si="71"/>
        <v>1</v>
      </c>
      <c r="E672" s="1">
        <v>45167.572916666664</v>
      </c>
      <c r="F672" s="10">
        <f>INT(E672)</f>
        <v>45167</v>
      </c>
      <c r="G672" s="15">
        <f>MOD(E672,2)</f>
        <v>1.5729166666642413</v>
      </c>
      <c r="H672" s="15" t="str">
        <f t="shared" si="72"/>
        <v>13:45</v>
      </c>
      <c r="I672" t="s">
        <v>2310</v>
      </c>
      <c r="J672" t="s">
        <v>26</v>
      </c>
      <c r="K672" t="str">
        <f t="shared" si="73"/>
        <v>Instagram</v>
      </c>
      <c r="L672" t="s">
        <v>2311</v>
      </c>
      <c r="M672">
        <v>26</v>
      </c>
      <c r="N672">
        <v>48</v>
      </c>
      <c r="O672">
        <f t="shared" si="74"/>
        <v>74</v>
      </c>
      <c r="P672" t="s">
        <v>2040</v>
      </c>
      <c r="Q672" t="str">
        <f t="shared" si="75"/>
        <v>Canada</v>
      </c>
      <c r="R672">
        <v>2023</v>
      </c>
      <c r="S672">
        <v>8</v>
      </c>
      <c r="T672">
        <v>29</v>
      </c>
      <c r="U672">
        <v>13</v>
      </c>
      <c r="Y672" s="4">
        <f t="shared" si="76"/>
        <v>13</v>
      </c>
    </row>
    <row r="673" spans="1:25" ht="18" x14ac:dyDescent="0.25">
      <c r="A673" t="s">
        <v>2312</v>
      </c>
      <c r="B673" t="s">
        <v>1624</v>
      </c>
      <c r="C673" s="12" t="str">
        <f t="shared" si="70"/>
        <v>Positive</v>
      </c>
      <c r="D673" s="18">
        <f t="shared" si="71"/>
        <v>1</v>
      </c>
      <c r="E673" s="1">
        <v>45168.729166666664</v>
      </c>
      <c r="F673" s="10">
        <f>INT(E673)</f>
        <v>45168</v>
      </c>
      <c r="G673" s="15">
        <f>MOD(E673,2)</f>
        <v>0.72916666666424135</v>
      </c>
      <c r="H673" s="15" t="str">
        <f t="shared" si="72"/>
        <v>17:30</v>
      </c>
      <c r="I673" t="s">
        <v>2313</v>
      </c>
      <c r="J673" t="s">
        <v>31</v>
      </c>
      <c r="K673" t="str">
        <f t="shared" si="73"/>
        <v>Facebook</v>
      </c>
      <c r="L673" t="s">
        <v>2314</v>
      </c>
      <c r="M673">
        <v>20</v>
      </c>
      <c r="N673">
        <v>40</v>
      </c>
      <c r="O673">
        <f t="shared" si="74"/>
        <v>60</v>
      </c>
      <c r="P673" t="s">
        <v>2035</v>
      </c>
      <c r="Q673" t="str">
        <f t="shared" si="75"/>
        <v>USA</v>
      </c>
      <c r="R673">
        <v>2023</v>
      </c>
      <c r="S673">
        <v>8</v>
      </c>
      <c r="T673">
        <v>30</v>
      </c>
      <c r="U673">
        <v>17</v>
      </c>
      <c r="Y673" s="4">
        <f t="shared" si="76"/>
        <v>17</v>
      </c>
    </row>
    <row r="674" spans="1:25" ht="18" x14ac:dyDescent="0.25">
      <c r="A674" t="s">
        <v>2315</v>
      </c>
      <c r="B674" t="s">
        <v>388</v>
      </c>
      <c r="C674" s="12" t="str">
        <f t="shared" si="70"/>
        <v>Positive</v>
      </c>
      <c r="D674" s="18">
        <f t="shared" si="71"/>
        <v>1</v>
      </c>
      <c r="E674" s="1">
        <v>45169.84375</v>
      </c>
      <c r="F674" s="10">
        <f>INT(E674)</f>
        <v>45169</v>
      </c>
      <c r="G674" s="15">
        <f>MOD(E674,2)</f>
        <v>1.84375</v>
      </c>
      <c r="H674" s="15" t="str">
        <f t="shared" si="72"/>
        <v>20:15</v>
      </c>
      <c r="I674" t="s">
        <v>2316</v>
      </c>
      <c r="J674" t="s">
        <v>874</v>
      </c>
      <c r="K674" t="str">
        <f t="shared" si="73"/>
        <v>Twitter</v>
      </c>
      <c r="L674" t="s">
        <v>2317</v>
      </c>
      <c r="M674">
        <v>24</v>
      </c>
      <c r="N674">
        <v>42</v>
      </c>
      <c r="O674">
        <f t="shared" si="74"/>
        <v>66</v>
      </c>
      <c r="P674" t="s">
        <v>2044</v>
      </c>
      <c r="Q674" t="str">
        <f t="shared" si="75"/>
        <v>UK</v>
      </c>
      <c r="R674">
        <v>2023</v>
      </c>
      <c r="S674">
        <v>8</v>
      </c>
      <c r="T674">
        <v>31</v>
      </c>
      <c r="U674">
        <v>20</v>
      </c>
      <c r="Y674" s="4">
        <f t="shared" si="76"/>
        <v>20</v>
      </c>
    </row>
    <row r="675" spans="1:25" ht="18" x14ac:dyDescent="0.25">
      <c r="A675" t="s">
        <v>2318</v>
      </c>
      <c r="B675" t="s">
        <v>1624</v>
      </c>
      <c r="C675" s="12" t="str">
        <f t="shared" si="70"/>
        <v>Positive</v>
      </c>
      <c r="D675" s="18">
        <f t="shared" si="71"/>
        <v>1</v>
      </c>
      <c r="E675" s="1">
        <v>45170.614583333336</v>
      </c>
      <c r="F675" s="10">
        <f>INT(E675)</f>
        <v>45170</v>
      </c>
      <c r="G675" s="15">
        <f>MOD(E675,2)</f>
        <v>0.61458333333575865</v>
      </c>
      <c r="H675" s="15" t="str">
        <f t="shared" si="72"/>
        <v>14:45</v>
      </c>
      <c r="I675" t="s">
        <v>2319</v>
      </c>
      <c r="J675" t="s">
        <v>26</v>
      </c>
      <c r="K675" t="str">
        <f t="shared" si="73"/>
        <v>Instagram</v>
      </c>
      <c r="L675" t="s">
        <v>2320</v>
      </c>
      <c r="M675">
        <v>21</v>
      </c>
      <c r="N675">
        <v>39</v>
      </c>
      <c r="O675">
        <f t="shared" si="74"/>
        <v>60</v>
      </c>
      <c r="P675" t="s">
        <v>2040</v>
      </c>
      <c r="Q675" t="str">
        <f t="shared" si="75"/>
        <v>Canada</v>
      </c>
      <c r="R675">
        <v>2023</v>
      </c>
      <c r="S675">
        <v>9</v>
      </c>
      <c r="T675">
        <v>1</v>
      </c>
      <c r="U675">
        <v>14</v>
      </c>
      <c r="Y675" s="4">
        <f t="shared" si="76"/>
        <v>14</v>
      </c>
    </row>
    <row r="676" spans="1:25" ht="18" x14ac:dyDescent="0.25">
      <c r="A676" t="s">
        <v>2321</v>
      </c>
      <c r="B676" t="s">
        <v>2242</v>
      </c>
      <c r="C676" s="12" t="str">
        <f t="shared" si="70"/>
        <v>Negative</v>
      </c>
      <c r="D676" s="18">
        <f t="shared" si="71"/>
        <v>-1</v>
      </c>
      <c r="E676" s="1">
        <v>45171.770833333336</v>
      </c>
      <c r="F676" s="10">
        <f>INT(E676)</f>
        <v>45171</v>
      </c>
      <c r="G676" s="15">
        <f>MOD(E676,2)</f>
        <v>1.7708333333357587</v>
      </c>
      <c r="H676" s="15" t="str">
        <f t="shared" si="72"/>
        <v>18:30</v>
      </c>
      <c r="I676" t="s">
        <v>2322</v>
      </c>
      <c r="J676" t="s">
        <v>31</v>
      </c>
      <c r="K676" t="str">
        <f t="shared" si="73"/>
        <v>Facebook</v>
      </c>
      <c r="L676" t="s">
        <v>2323</v>
      </c>
      <c r="M676">
        <v>17</v>
      </c>
      <c r="N676">
        <v>33</v>
      </c>
      <c r="O676">
        <f t="shared" si="74"/>
        <v>50</v>
      </c>
      <c r="P676" t="s">
        <v>2035</v>
      </c>
      <c r="Q676" t="str">
        <f t="shared" si="75"/>
        <v>USA</v>
      </c>
      <c r="R676">
        <v>2023</v>
      </c>
      <c r="S676">
        <v>9</v>
      </c>
      <c r="T676">
        <v>2</v>
      </c>
      <c r="U676">
        <v>18</v>
      </c>
      <c r="Y676" s="4">
        <f t="shared" si="76"/>
        <v>18</v>
      </c>
    </row>
    <row r="677" spans="1:25" ht="18" x14ac:dyDescent="0.25">
      <c r="A677" t="s">
        <v>2324</v>
      </c>
      <c r="B677" t="s">
        <v>388</v>
      </c>
      <c r="C677" s="12" t="str">
        <f t="shared" si="70"/>
        <v>Positive</v>
      </c>
      <c r="D677" s="18">
        <f t="shared" si="71"/>
        <v>1</v>
      </c>
      <c r="E677" s="1">
        <v>45172.916666666664</v>
      </c>
      <c r="F677" s="10">
        <f>INT(E677)</f>
        <v>45172</v>
      </c>
      <c r="G677" s="15">
        <f>MOD(E677,2)</f>
        <v>0.91666666666424135</v>
      </c>
      <c r="H677" s="15" t="str">
        <f t="shared" si="72"/>
        <v>22:00</v>
      </c>
      <c r="I677" t="s">
        <v>2325</v>
      </c>
      <c r="J677" t="s">
        <v>874</v>
      </c>
      <c r="K677" t="str">
        <f t="shared" si="73"/>
        <v>Twitter</v>
      </c>
      <c r="L677" t="s">
        <v>2326</v>
      </c>
      <c r="M677">
        <v>23</v>
      </c>
      <c r="N677">
        <v>44</v>
      </c>
      <c r="O677">
        <f t="shared" si="74"/>
        <v>67</v>
      </c>
      <c r="P677" t="s">
        <v>2044</v>
      </c>
      <c r="Q677" t="str">
        <f t="shared" si="75"/>
        <v>UK</v>
      </c>
      <c r="R677">
        <v>2023</v>
      </c>
      <c r="S677">
        <v>9</v>
      </c>
      <c r="T677">
        <v>3</v>
      </c>
      <c r="U677">
        <v>22</v>
      </c>
      <c r="Y677" s="4">
        <f t="shared" si="76"/>
        <v>22</v>
      </c>
    </row>
    <row r="678" spans="1:25" ht="18" x14ac:dyDescent="0.25">
      <c r="A678" t="s">
        <v>2327</v>
      </c>
      <c r="B678" t="s">
        <v>1624</v>
      </c>
      <c r="C678" s="12" t="str">
        <f t="shared" si="70"/>
        <v>Positive</v>
      </c>
      <c r="D678" s="18">
        <f t="shared" si="71"/>
        <v>1</v>
      </c>
      <c r="E678" s="1">
        <v>45173.635416666664</v>
      </c>
      <c r="F678" s="10">
        <f>INT(E678)</f>
        <v>45173</v>
      </c>
      <c r="G678" s="15">
        <f>MOD(E678,2)</f>
        <v>1.6354166666642413</v>
      </c>
      <c r="H678" s="15" t="str">
        <f t="shared" si="72"/>
        <v>15:15</v>
      </c>
      <c r="I678" t="s">
        <v>2328</v>
      </c>
      <c r="J678" t="s">
        <v>26</v>
      </c>
      <c r="K678" t="str">
        <f t="shared" si="73"/>
        <v>Instagram</v>
      </c>
      <c r="L678" t="s">
        <v>2329</v>
      </c>
      <c r="M678">
        <v>19</v>
      </c>
      <c r="N678">
        <v>37</v>
      </c>
      <c r="O678">
        <f t="shared" si="74"/>
        <v>56</v>
      </c>
      <c r="P678" t="s">
        <v>2035</v>
      </c>
      <c r="Q678" t="str">
        <f t="shared" si="75"/>
        <v>USA</v>
      </c>
      <c r="R678">
        <v>2023</v>
      </c>
      <c r="S678">
        <v>9</v>
      </c>
      <c r="T678">
        <v>4</v>
      </c>
      <c r="U678">
        <v>15</v>
      </c>
      <c r="Y678" s="4">
        <f t="shared" si="76"/>
        <v>15</v>
      </c>
    </row>
    <row r="679" spans="1:25" ht="18" x14ac:dyDescent="0.25">
      <c r="A679" t="s">
        <v>2330</v>
      </c>
      <c r="B679" t="s">
        <v>388</v>
      </c>
      <c r="C679" s="12" t="str">
        <f t="shared" si="70"/>
        <v>Positive</v>
      </c>
      <c r="D679" s="18">
        <f t="shared" si="71"/>
        <v>1</v>
      </c>
      <c r="E679" s="1">
        <v>45174.520833333336</v>
      </c>
      <c r="F679" s="10">
        <f>INT(E679)</f>
        <v>45174</v>
      </c>
      <c r="G679" s="15">
        <f>MOD(E679,2)</f>
        <v>0.52083333333575865</v>
      </c>
      <c r="H679" s="15" t="str">
        <f t="shared" si="72"/>
        <v>12:30</v>
      </c>
      <c r="I679" t="s">
        <v>2331</v>
      </c>
      <c r="J679" t="s">
        <v>874</v>
      </c>
      <c r="K679" t="str">
        <f t="shared" si="73"/>
        <v>Twitter</v>
      </c>
      <c r="L679" t="s">
        <v>2332</v>
      </c>
      <c r="M679">
        <v>27</v>
      </c>
      <c r="N679">
        <v>52</v>
      </c>
      <c r="O679">
        <f t="shared" si="74"/>
        <v>79</v>
      </c>
      <c r="P679" t="s">
        <v>2040</v>
      </c>
      <c r="Q679" t="str">
        <f t="shared" si="75"/>
        <v>Canada</v>
      </c>
      <c r="R679">
        <v>2023</v>
      </c>
      <c r="S679">
        <v>9</v>
      </c>
      <c r="T679">
        <v>5</v>
      </c>
      <c r="U679">
        <v>12</v>
      </c>
      <c r="Y679" s="4">
        <f t="shared" si="76"/>
        <v>12</v>
      </c>
    </row>
    <row r="680" spans="1:25" ht="18" x14ac:dyDescent="0.25">
      <c r="A680" t="s">
        <v>2333</v>
      </c>
      <c r="B680" t="s">
        <v>1624</v>
      </c>
      <c r="C680" s="12" t="str">
        <f t="shared" si="70"/>
        <v>Positive</v>
      </c>
      <c r="D680" s="18">
        <f t="shared" si="71"/>
        <v>1</v>
      </c>
      <c r="E680" s="1">
        <v>45175.697916666664</v>
      </c>
      <c r="F680" s="10">
        <f>INT(E680)</f>
        <v>45175</v>
      </c>
      <c r="G680" s="15">
        <f>MOD(E680,2)</f>
        <v>1.6979166666642413</v>
      </c>
      <c r="H680" s="15" t="str">
        <f t="shared" si="72"/>
        <v>16:45</v>
      </c>
      <c r="I680" t="s">
        <v>2334</v>
      </c>
      <c r="J680" t="s">
        <v>31</v>
      </c>
      <c r="K680" t="str">
        <f t="shared" si="73"/>
        <v>Facebook</v>
      </c>
      <c r="L680" t="s">
        <v>2335</v>
      </c>
      <c r="M680">
        <v>22</v>
      </c>
      <c r="N680">
        <v>43</v>
      </c>
      <c r="O680">
        <f t="shared" si="74"/>
        <v>65</v>
      </c>
      <c r="P680" t="s">
        <v>2044</v>
      </c>
      <c r="Q680" t="str">
        <f t="shared" si="75"/>
        <v>UK</v>
      </c>
      <c r="R680">
        <v>2023</v>
      </c>
      <c r="S680">
        <v>9</v>
      </c>
      <c r="T680">
        <v>6</v>
      </c>
      <c r="U680">
        <v>16</v>
      </c>
      <c r="Y680" s="4">
        <f t="shared" si="76"/>
        <v>16</v>
      </c>
    </row>
    <row r="681" spans="1:25" ht="18" x14ac:dyDescent="0.25">
      <c r="A681" t="s">
        <v>2336</v>
      </c>
      <c r="B681" t="s">
        <v>388</v>
      </c>
      <c r="C681" s="12" t="str">
        <f t="shared" si="70"/>
        <v>Positive</v>
      </c>
      <c r="D681" s="18">
        <f t="shared" si="71"/>
        <v>1</v>
      </c>
      <c r="E681" s="1">
        <v>45176.763888888891</v>
      </c>
      <c r="F681" s="10">
        <f>INT(E681)</f>
        <v>45176</v>
      </c>
      <c r="G681" s="15">
        <f>MOD(E681,2)</f>
        <v>0.76388888889050577</v>
      </c>
      <c r="H681" s="15" t="str">
        <f t="shared" si="72"/>
        <v>18:20</v>
      </c>
      <c r="I681" t="s">
        <v>2337</v>
      </c>
      <c r="J681" t="s">
        <v>26</v>
      </c>
      <c r="K681" t="str">
        <f t="shared" si="73"/>
        <v>Instagram</v>
      </c>
      <c r="L681" t="s">
        <v>2338</v>
      </c>
      <c r="M681">
        <v>20</v>
      </c>
      <c r="N681">
        <v>39</v>
      </c>
      <c r="O681">
        <f t="shared" si="74"/>
        <v>59</v>
      </c>
      <c r="P681" t="s">
        <v>2035</v>
      </c>
      <c r="Q681" t="str">
        <f t="shared" si="75"/>
        <v>USA</v>
      </c>
      <c r="R681">
        <v>2023</v>
      </c>
      <c r="S681">
        <v>9</v>
      </c>
      <c r="T681">
        <v>7</v>
      </c>
      <c r="U681">
        <v>18</v>
      </c>
      <c r="Y681" s="4">
        <f t="shared" si="76"/>
        <v>18</v>
      </c>
    </row>
    <row r="682" spans="1:25" ht="18" x14ac:dyDescent="0.25">
      <c r="A682" t="s">
        <v>2339</v>
      </c>
      <c r="B682" t="s">
        <v>1624</v>
      </c>
      <c r="C682" s="12" t="str">
        <f t="shared" si="70"/>
        <v>Positive</v>
      </c>
      <c r="D682" s="18">
        <f t="shared" si="71"/>
        <v>1</v>
      </c>
      <c r="E682" s="1">
        <v>45177.59375</v>
      </c>
      <c r="F682" s="10">
        <f>INT(E682)</f>
        <v>45177</v>
      </c>
      <c r="G682" s="15">
        <f>MOD(E682,2)</f>
        <v>1.59375</v>
      </c>
      <c r="H682" s="15" t="str">
        <f t="shared" si="72"/>
        <v>14:15</v>
      </c>
      <c r="I682" t="s">
        <v>2340</v>
      </c>
      <c r="J682" t="s">
        <v>31</v>
      </c>
      <c r="K682" t="str">
        <f t="shared" si="73"/>
        <v>Facebook</v>
      </c>
      <c r="L682" t="s">
        <v>2341</v>
      </c>
      <c r="M682">
        <v>26</v>
      </c>
      <c r="N682">
        <v>48</v>
      </c>
      <c r="O682">
        <f t="shared" si="74"/>
        <v>74</v>
      </c>
      <c r="P682" t="s">
        <v>2040</v>
      </c>
      <c r="Q682" t="str">
        <f t="shared" si="75"/>
        <v>Canada</v>
      </c>
      <c r="R682">
        <v>2023</v>
      </c>
      <c r="S682">
        <v>9</v>
      </c>
      <c r="T682">
        <v>8</v>
      </c>
      <c r="U682">
        <v>14</v>
      </c>
      <c r="Y682" s="4">
        <f t="shared" si="76"/>
        <v>14</v>
      </c>
    </row>
    <row r="683" spans="1:25" ht="18" x14ac:dyDescent="0.25">
      <c r="A683" t="s">
        <v>2342</v>
      </c>
      <c r="B683" t="s">
        <v>2242</v>
      </c>
      <c r="C683" s="12" t="str">
        <f t="shared" si="70"/>
        <v>Negative</v>
      </c>
      <c r="D683" s="18">
        <f t="shared" si="71"/>
        <v>-1</v>
      </c>
      <c r="E683" s="1">
        <v>45178.729166666664</v>
      </c>
      <c r="F683" s="10">
        <f>INT(E683)</f>
        <v>45178</v>
      </c>
      <c r="G683" s="15">
        <f>MOD(E683,2)</f>
        <v>0.72916666666424135</v>
      </c>
      <c r="H683" s="15" t="str">
        <f t="shared" si="72"/>
        <v>17:30</v>
      </c>
      <c r="I683" t="s">
        <v>2343</v>
      </c>
      <c r="J683" t="s">
        <v>874</v>
      </c>
      <c r="K683" t="str">
        <f t="shared" si="73"/>
        <v>Twitter</v>
      </c>
      <c r="L683" t="s">
        <v>2344</v>
      </c>
      <c r="M683">
        <v>16</v>
      </c>
      <c r="N683">
        <v>32</v>
      </c>
      <c r="O683">
        <f t="shared" si="74"/>
        <v>48</v>
      </c>
      <c r="P683" t="s">
        <v>2035</v>
      </c>
      <c r="Q683" t="str">
        <f t="shared" si="75"/>
        <v>USA</v>
      </c>
      <c r="R683">
        <v>2023</v>
      </c>
      <c r="S683">
        <v>9</v>
      </c>
      <c r="T683">
        <v>9</v>
      </c>
      <c r="U683">
        <v>17</v>
      </c>
      <c r="Y683" s="4">
        <f t="shared" si="76"/>
        <v>17</v>
      </c>
    </row>
    <row r="684" spans="1:25" ht="18" x14ac:dyDescent="0.25">
      <c r="A684" t="s">
        <v>2345</v>
      </c>
      <c r="B684" t="s">
        <v>388</v>
      </c>
      <c r="C684" s="12" t="str">
        <f t="shared" si="70"/>
        <v>Positive</v>
      </c>
      <c r="D684" s="18">
        <f t="shared" si="71"/>
        <v>1</v>
      </c>
      <c r="E684" s="1">
        <v>45179.864583333336</v>
      </c>
      <c r="F684" s="10">
        <f>INT(E684)</f>
        <v>45179</v>
      </c>
      <c r="G684" s="15">
        <f>MOD(E684,2)</f>
        <v>1.8645833333357587</v>
      </c>
      <c r="H684" s="15" t="str">
        <f t="shared" si="72"/>
        <v>20:45</v>
      </c>
      <c r="I684" t="s">
        <v>2346</v>
      </c>
      <c r="J684" t="s">
        <v>26</v>
      </c>
      <c r="K684" t="str">
        <f t="shared" si="73"/>
        <v>Instagram</v>
      </c>
      <c r="L684" t="s">
        <v>2347</v>
      </c>
      <c r="M684">
        <v>23</v>
      </c>
      <c r="N684">
        <v>42</v>
      </c>
      <c r="O684">
        <f t="shared" si="74"/>
        <v>65</v>
      </c>
      <c r="P684" t="s">
        <v>2044</v>
      </c>
      <c r="Q684" t="str">
        <f t="shared" si="75"/>
        <v>UK</v>
      </c>
      <c r="R684">
        <v>2023</v>
      </c>
      <c r="S684">
        <v>9</v>
      </c>
      <c r="T684">
        <v>10</v>
      </c>
      <c r="U684">
        <v>20</v>
      </c>
      <c r="Y684" s="4">
        <f t="shared" si="76"/>
        <v>20</v>
      </c>
    </row>
    <row r="685" spans="1:25" ht="18" x14ac:dyDescent="0.25">
      <c r="A685" t="s">
        <v>2348</v>
      </c>
      <c r="B685" t="s">
        <v>2349</v>
      </c>
      <c r="C685" s="12" t="str">
        <f t="shared" si="70"/>
        <v>Negative</v>
      </c>
      <c r="D685" s="18">
        <f t="shared" si="71"/>
        <v>-1</v>
      </c>
      <c r="E685" s="1">
        <v>45180.65625</v>
      </c>
      <c r="F685" s="10">
        <f>INT(E685)</f>
        <v>45180</v>
      </c>
      <c r="G685" s="15">
        <f>MOD(E685,2)</f>
        <v>0.65625</v>
      </c>
      <c r="H685" s="15" t="str">
        <f t="shared" si="72"/>
        <v>15:45</v>
      </c>
      <c r="I685" t="s">
        <v>2350</v>
      </c>
      <c r="J685" t="s">
        <v>874</v>
      </c>
      <c r="K685" t="str">
        <f t="shared" si="73"/>
        <v>Twitter</v>
      </c>
      <c r="L685" t="s">
        <v>2351</v>
      </c>
      <c r="M685">
        <v>15</v>
      </c>
      <c r="N685">
        <v>28</v>
      </c>
      <c r="O685">
        <f t="shared" si="74"/>
        <v>43</v>
      </c>
      <c r="P685" t="s">
        <v>2035</v>
      </c>
      <c r="Q685" t="str">
        <f t="shared" si="75"/>
        <v>USA</v>
      </c>
      <c r="R685">
        <v>2023</v>
      </c>
      <c r="S685">
        <v>9</v>
      </c>
      <c r="T685">
        <v>11</v>
      </c>
      <c r="U685">
        <v>15</v>
      </c>
      <c r="Y685" s="4">
        <f t="shared" si="76"/>
        <v>15</v>
      </c>
    </row>
    <row r="686" spans="1:25" ht="18" x14ac:dyDescent="0.25">
      <c r="A686" t="s">
        <v>2352</v>
      </c>
      <c r="B686" t="s">
        <v>2353</v>
      </c>
      <c r="C686" s="12" t="str">
        <f t="shared" si="70"/>
        <v>Negative</v>
      </c>
      <c r="D686" s="18">
        <f t="shared" si="71"/>
        <v>-1</v>
      </c>
      <c r="E686" s="1">
        <v>45181.520833333336</v>
      </c>
      <c r="F686" s="10">
        <f>INT(E686)</f>
        <v>45181</v>
      </c>
      <c r="G686" s="15">
        <f>MOD(E686,2)</f>
        <v>1.5208333333357587</v>
      </c>
      <c r="H686" s="15" t="str">
        <f t="shared" si="72"/>
        <v>12:30</v>
      </c>
      <c r="I686" t="s">
        <v>2354</v>
      </c>
      <c r="J686" t="s">
        <v>26</v>
      </c>
      <c r="K686" t="str">
        <f t="shared" si="73"/>
        <v>Instagram</v>
      </c>
      <c r="L686" t="s">
        <v>2355</v>
      </c>
      <c r="M686">
        <v>18</v>
      </c>
      <c r="N686">
        <v>36</v>
      </c>
      <c r="O686">
        <f t="shared" si="74"/>
        <v>54</v>
      </c>
      <c r="P686" t="s">
        <v>2040</v>
      </c>
      <c r="Q686" t="str">
        <f t="shared" si="75"/>
        <v>Canada</v>
      </c>
      <c r="R686">
        <v>2023</v>
      </c>
      <c r="S686">
        <v>9</v>
      </c>
      <c r="T686">
        <v>12</v>
      </c>
      <c r="U686">
        <v>12</v>
      </c>
      <c r="Y686" s="4">
        <f t="shared" si="76"/>
        <v>12</v>
      </c>
    </row>
    <row r="687" spans="1:25" ht="18" x14ac:dyDescent="0.25">
      <c r="A687" t="s">
        <v>2356</v>
      </c>
      <c r="B687" t="s">
        <v>2357</v>
      </c>
      <c r="C687" s="12" t="str">
        <f t="shared" si="70"/>
        <v>Negative</v>
      </c>
      <c r="D687" s="18">
        <f t="shared" si="71"/>
        <v>-1</v>
      </c>
      <c r="E687" s="1">
        <v>45182.697916666664</v>
      </c>
      <c r="F687" s="10">
        <f>INT(E687)</f>
        <v>45182</v>
      </c>
      <c r="G687" s="15">
        <f>MOD(E687,2)</f>
        <v>0.69791666666424135</v>
      </c>
      <c r="H687" s="15" t="str">
        <f t="shared" si="72"/>
        <v>16:45</v>
      </c>
      <c r="I687" t="s">
        <v>2358</v>
      </c>
      <c r="J687" t="s">
        <v>31</v>
      </c>
      <c r="K687" t="str">
        <f t="shared" si="73"/>
        <v>Facebook</v>
      </c>
      <c r="L687" t="s">
        <v>2359</v>
      </c>
      <c r="M687">
        <v>20</v>
      </c>
      <c r="N687">
        <v>40</v>
      </c>
      <c r="O687">
        <f t="shared" si="74"/>
        <v>60</v>
      </c>
      <c r="P687" t="s">
        <v>2044</v>
      </c>
      <c r="Q687" t="str">
        <f t="shared" si="75"/>
        <v>UK</v>
      </c>
      <c r="R687">
        <v>2023</v>
      </c>
      <c r="S687">
        <v>9</v>
      </c>
      <c r="T687">
        <v>13</v>
      </c>
      <c r="U687">
        <v>16</v>
      </c>
      <c r="Y687" s="4">
        <f t="shared" si="76"/>
        <v>16</v>
      </c>
    </row>
    <row r="688" spans="1:25" ht="18" x14ac:dyDescent="0.25">
      <c r="A688" t="s">
        <v>2360</v>
      </c>
      <c r="B688" t="s">
        <v>2349</v>
      </c>
      <c r="C688" s="12" t="str">
        <f t="shared" si="70"/>
        <v>Negative</v>
      </c>
      <c r="D688" s="18">
        <f t="shared" si="71"/>
        <v>-1</v>
      </c>
      <c r="E688" s="1">
        <v>45183.763888888891</v>
      </c>
      <c r="F688" s="10">
        <f>INT(E688)</f>
        <v>45183</v>
      </c>
      <c r="G688" s="15">
        <f>MOD(E688,2)</f>
        <v>1.7638888888905058</v>
      </c>
      <c r="H688" s="15" t="str">
        <f t="shared" si="72"/>
        <v>18:20</v>
      </c>
      <c r="I688" t="s">
        <v>2361</v>
      </c>
      <c r="J688" t="s">
        <v>874</v>
      </c>
      <c r="K688" t="str">
        <f t="shared" si="73"/>
        <v>Twitter</v>
      </c>
      <c r="L688" t="s">
        <v>2362</v>
      </c>
      <c r="M688">
        <v>17</v>
      </c>
      <c r="N688">
        <v>34</v>
      </c>
      <c r="O688">
        <f t="shared" si="74"/>
        <v>51</v>
      </c>
      <c r="P688" t="s">
        <v>2035</v>
      </c>
      <c r="Q688" t="str">
        <f t="shared" si="75"/>
        <v>USA</v>
      </c>
      <c r="R688">
        <v>2023</v>
      </c>
      <c r="S688">
        <v>9</v>
      </c>
      <c r="T688">
        <v>14</v>
      </c>
      <c r="U688">
        <v>18</v>
      </c>
      <c r="Y688" s="4">
        <f t="shared" si="76"/>
        <v>18</v>
      </c>
    </row>
    <row r="689" spans="1:25" ht="18" x14ac:dyDescent="0.25">
      <c r="A689" t="s">
        <v>2363</v>
      </c>
      <c r="B689" t="s">
        <v>2353</v>
      </c>
      <c r="C689" s="12" t="str">
        <f t="shared" si="70"/>
        <v>Negative</v>
      </c>
      <c r="D689" s="18">
        <f t="shared" si="71"/>
        <v>-1</v>
      </c>
      <c r="E689" s="1">
        <v>45184.59375</v>
      </c>
      <c r="F689" s="10">
        <f>INT(E689)</f>
        <v>45184</v>
      </c>
      <c r="G689" s="15">
        <f>MOD(E689,2)</f>
        <v>0.59375</v>
      </c>
      <c r="H689" s="15" t="str">
        <f t="shared" si="72"/>
        <v>14:15</v>
      </c>
      <c r="I689" t="s">
        <v>2364</v>
      </c>
      <c r="J689" t="s">
        <v>26</v>
      </c>
      <c r="K689" t="str">
        <f t="shared" si="73"/>
        <v>Instagram</v>
      </c>
      <c r="L689" t="s">
        <v>2365</v>
      </c>
      <c r="M689">
        <v>21</v>
      </c>
      <c r="N689">
        <v>41</v>
      </c>
      <c r="O689">
        <f t="shared" si="74"/>
        <v>62</v>
      </c>
      <c r="P689" t="s">
        <v>2040</v>
      </c>
      <c r="Q689" t="str">
        <f t="shared" si="75"/>
        <v>Canada</v>
      </c>
      <c r="R689">
        <v>2023</v>
      </c>
      <c r="S689">
        <v>9</v>
      </c>
      <c r="T689">
        <v>15</v>
      </c>
      <c r="U689">
        <v>14</v>
      </c>
      <c r="Y689" s="4">
        <f t="shared" si="76"/>
        <v>14</v>
      </c>
    </row>
    <row r="690" spans="1:25" ht="18" x14ac:dyDescent="0.25">
      <c r="A690" t="s">
        <v>2366</v>
      </c>
      <c r="B690" t="s">
        <v>2357</v>
      </c>
      <c r="C690" s="12" t="str">
        <f t="shared" si="70"/>
        <v>Negative</v>
      </c>
      <c r="D690" s="18">
        <f t="shared" si="71"/>
        <v>-1</v>
      </c>
      <c r="E690" s="1">
        <v>45185.729166666664</v>
      </c>
      <c r="F690" s="10">
        <f>INT(E690)</f>
        <v>45185</v>
      </c>
      <c r="G690" s="15">
        <f>MOD(E690,2)</f>
        <v>1.7291666666642413</v>
      </c>
      <c r="H690" s="15" t="str">
        <f t="shared" si="72"/>
        <v>17:30</v>
      </c>
      <c r="I690" t="s">
        <v>2367</v>
      </c>
      <c r="J690" t="s">
        <v>31</v>
      </c>
      <c r="K690" t="str">
        <f t="shared" si="73"/>
        <v>Facebook</v>
      </c>
      <c r="L690" t="s">
        <v>2368</v>
      </c>
      <c r="M690">
        <v>19</v>
      </c>
      <c r="N690">
        <v>38</v>
      </c>
      <c r="O690">
        <f t="shared" si="74"/>
        <v>57</v>
      </c>
      <c r="P690" t="s">
        <v>2044</v>
      </c>
      <c r="Q690" t="str">
        <f t="shared" si="75"/>
        <v>UK</v>
      </c>
      <c r="R690">
        <v>2023</v>
      </c>
      <c r="S690">
        <v>9</v>
      </c>
      <c r="T690">
        <v>16</v>
      </c>
      <c r="U690">
        <v>17</v>
      </c>
      <c r="Y690" s="4">
        <f t="shared" si="76"/>
        <v>17</v>
      </c>
    </row>
    <row r="691" spans="1:25" ht="18" x14ac:dyDescent="0.25">
      <c r="A691" t="s">
        <v>2369</v>
      </c>
      <c r="B691" t="s">
        <v>2349</v>
      </c>
      <c r="C691" s="12" t="str">
        <f t="shared" si="70"/>
        <v>Negative</v>
      </c>
      <c r="D691" s="18">
        <f t="shared" si="71"/>
        <v>-1</v>
      </c>
      <c r="E691" s="1">
        <v>45186.864583333336</v>
      </c>
      <c r="F691" s="10">
        <f>INT(E691)</f>
        <v>45186</v>
      </c>
      <c r="G691" s="15">
        <f>MOD(E691,2)</f>
        <v>0.86458333333575865</v>
      </c>
      <c r="H691" s="15" t="str">
        <f t="shared" si="72"/>
        <v>20:45</v>
      </c>
      <c r="I691" t="s">
        <v>2370</v>
      </c>
      <c r="J691" t="s">
        <v>874</v>
      </c>
      <c r="K691" t="str">
        <f t="shared" si="73"/>
        <v>Twitter</v>
      </c>
      <c r="L691" t="s">
        <v>2371</v>
      </c>
      <c r="M691">
        <v>22</v>
      </c>
      <c r="N691">
        <v>44</v>
      </c>
      <c r="O691">
        <f t="shared" si="74"/>
        <v>66</v>
      </c>
      <c r="P691" t="s">
        <v>2035</v>
      </c>
      <c r="Q691" t="str">
        <f t="shared" si="75"/>
        <v>USA</v>
      </c>
      <c r="R691">
        <v>2023</v>
      </c>
      <c r="S691">
        <v>9</v>
      </c>
      <c r="T691">
        <v>17</v>
      </c>
      <c r="U691">
        <v>20</v>
      </c>
      <c r="Y691" s="4">
        <f t="shared" si="76"/>
        <v>20</v>
      </c>
    </row>
    <row r="692" spans="1:25" ht="18" x14ac:dyDescent="0.25">
      <c r="A692" t="s">
        <v>2372</v>
      </c>
      <c r="B692" t="s">
        <v>2349</v>
      </c>
      <c r="C692" s="12" t="str">
        <f t="shared" si="70"/>
        <v>Negative</v>
      </c>
      <c r="D692" s="18">
        <f t="shared" si="71"/>
        <v>-1</v>
      </c>
      <c r="E692" s="1">
        <v>45187.916666666664</v>
      </c>
      <c r="F692" s="10">
        <f>INT(E692)</f>
        <v>45187</v>
      </c>
      <c r="G692" s="15">
        <f>MOD(E692,2)</f>
        <v>1.9166666666642413</v>
      </c>
      <c r="H692" s="15" t="str">
        <f t="shared" si="72"/>
        <v>22:00</v>
      </c>
      <c r="I692" t="s">
        <v>2373</v>
      </c>
      <c r="J692" t="s">
        <v>26</v>
      </c>
      <c r="K692" t="str">
        <f t="shared" si="73"/>
        <v>Instagram</v>
      </c>
      <c r="L692" t="s">
        <v>2374</v>
      </c>
      <c r="M692">
        <v>16</v>
      </c>
      <c r="N692">
        <v>31</v>
      </c>
      <c r="O692">
        <f t="shared" si="74"/>
        <v>47</v>
      </c>
      <c r="P692" t="s">
        <v>2040</v>
      </c>
      <c r="Q692" t="str">
        <f t="shared" si="75"/>
        <v>Canada</v>
      </c>
      <c r="R692">
        <v>2023</v>
      </c>
      <c r="S692">
        <v>9</v>
      </c>
      <c r="T692">
        <v>18</v>
      </c>
      <c r="U692">
        <v>22</v>
      </c>
      <c r="Y692" s="4">
        <f t="shared" si="76"/>
        <v>22</v>
      </c>
    </row>
    <row r="693" spans="1:25" ht="18" x14ac:dyDescent="0.25">
      <c r="A693" t="s">
        <v>2375</v>
      </c>
      <c r="B693" t="s">
        <v>2353</v>
      </c>
      <c r="C693" s="12" t="str">
        <f t="shared" si="70"/>
        <v>Negative</v>
      </c>
      <c r="D693" s="18">
        <f t="shared" si="71"/>
        <v>-1</v>
      </c>
      <c r="E693" s="1">
        <v>45188.635416666664</v>
      </c>
      <c r="F693" s="10">
        <f>INT(E693)</f>
        <v>45188</v>
      </c>
      <c r="G693" s="15">
        <f>MOD(E693,2)</f>
        <v>0.63541666666424135</v>
      </c>
      <c r="H693" s="15" t="str">
        <f t="shared" si="72"/>
        <v>15:15</v>
      </c>
      <c r="I693" t="s">
        <v>2376</v>
      </c>
      <c r="J693" t="s">
        <v>31</v>
      </c>
      <c r="K693" t="str">
        <f t="shared" si="73"/>
        <v>Facebook</v>
      </c>
      <c r="L693" t="s">
        <v>2377</v>
      </c>
      <c r="M693">
        <v>14</v>
      </c>
      <c r="N693">
        <v>27</v>
      </c>
      <c r="O693">
        <f t="shared" si="74"/>
        <v>41</v>
      </c>
      <c r="P693" t="s">
        <v>2044</v>
      </c>
      <c r="Q693" t="str">
        <f t="shared" si="75"/>
        <v>UK</v>
      </c>
      <c r="R693">
        <v>2023</v>
      </c>
      <c r="S693">
        <v>9</v>
      </c>
      <c r="T693">
        <v>19</v>
      </c>
      <c r="U693">
        <v>15</v>
      </c>
      <c r="Y693" s="4">
        <f t="shared" si="76"/>
        <v>15</v>
      </c>
    </row>
    <row r="694" spans="1:25" ht="18" x14ac:dyDescent="0.25">
      <c r="A694" t="s">
        <v>2378</v>
      </c>
      <c r="B694" t="s">
        <v>2357</v>
      </c>
      <c r="C694" s="12" t="str">
        <f t="shared" si="70"/>
        <v>Negative</v>
      </c>
      <c r="D694" s="18">
        <f t="shared" si="71"/>
        <v>-1</v>
      </c>
      <c r="E694" s="1">
        <v>45189.520833333336</v>
      </c>
      <c r="F694" s="10">
        <f>INT(E694)</f>
        <v>45189</v>
      </c>
      <c r="G694" s="15">
        <f>MOD(E694,2)</f>
        <v>1.5208333333357587</v>
      </c>
      <c r="H694" s="15" t="str">
        <f t="shared" si="72"/>
        <v>12:30</v>
      </c>
      <c r="I694" t="s">
        <v>2379</v>
      </c>
      <c r="J694" t="s">
        <v>874</v>
      </c>
      <c r="K694" t="str">
        <f t="shared" si="73"/>
        <v>Twitter</v>
      </c>
      <c r="L694" t="s">
        <v>2380</v>
      </c>
      <c r="M694">
        <v>18</v>
      </c>
      <c r="N694">
        <v>35</v>
      </c>
      <c r="O694">
        <f t="shared" si="74"/>
        <v>53</v>
      </c>
      <c r="P694" t="s">
        <v>2035</v>
      </c>
      <c r="Q694" t="str">
        <f t="shared" si="75"/>
        <v>USA</v>
      </c>
      <c r="R694">
        <v>2023</v>
      </c>
      <c r="S694">
        <v>9</v>
      </c>
      <c r="T694">
        <v>20</v>
      </c>
      <c r="U694">
        <v>12</v>
      </c>
      <c r="Y694" s="4">
        <f t="shared" si="76"/>
        <v>12</v>
      </c>
    </row>
    <row r="695" spans="1:25" ht="18" x14ac:dyDescent="0.25">
      <c r="A695" t="s">
        <v>2381</v>
      </c>
      <c r="B695" t="s">
        <v>2349</v>
      </c>
      <c r="C695" s="12" t="str">
        <f t="shared" si="70"/>
        <v>Negative</v>
      </c>
      <c r="D695" s="18">
        <f t="shared" si="71"/>
        <v>-1</v>
      </c>
      <c r="E695" s="1">
        <v>45190.697916666664</v>
      </c>
      <c r="F695" s="10">
        <f>INT(E695)</f>
        <v>45190</v>
      </c>
      <c r="G695" s="15">
        <f>MOD(E695,2)</f>
        <v>0.69791666666424135</v>
      </c>
      <c r="H695" s="15" t="str">
        <f t="shared" si="72"/>
        <v>16:45</v>
      </c>
      <c r="I695" t="s">
        <v>2382</v>
      </c>
      <c r="J695" t="s">
        <v>26</v>
      </c>
      <c r="K695" t="str">
        <f t="shared" si="73"/>
        <v>Instagram</v>
      </c>
      <c r="L695" t="s">
        <v>2383</v>
      </c>
      <c r="M695">
        <v>20</v>
      </c>
      <c r="N695">
        <v>39</v>
      </c>
      <c r="O695">
        <f t="shared" si="74"/>
        <v>59</v>
      </c>
      <c r="P695" t="s">
        <v>2040</v>
      </c>
      <c r="Q695" t="str">
        <f t="shared" si="75"/>
        <v>Canada</v>
      </c>
      <c r="R695">
        <v>2023</v>
      </c>
      <c r="S695">
        <v>9</v>
      </c>
      <c r="T695">
        <v>21</v>
      </c>
      <c r="U695">
        <v>16</v>
      </c>
      <c r="Y695" s="4">
        <f t="shared" si="76"/>
        <v>16</v>
      </c>
    </row>
    <row r="696" spans="1:25" ht="18" x14ac:dyDescent="0.25">
      <c r="A696" t="s">
        <v>2384</v>
      </c>
      <c r="B696" t="s">
        <v>2353</v>
      </c>
      <c r="C696" s="12" t="str">
        <f t="shared" si="70"/>
        <v>Negative</v>
      </c>
      <c r="D696" s="18">
        <f t="shared" si="71"/>
        <v>-1</v>
      </c>
      <c r="E696" s="1">
        <v>45191.763888888891</v>
      </c>
      <c r="F696" s="10">
        <f>INT(E696)</f>
        <v>45191</v>
      </c>
      <c r="G696" s="15">
        <f>MOD(E696,2)</f>
        <v>1.7638888888905058</v>
      </c>
      <c r="H696" s="15" t="str">
        <f t="shared" si="72"/>
        <v>18:20</v>
      </c>
      <c r="I696" t="s">
        <v>2385</v>
      </c>
      <c r="J696" t="s">
        <v>31</v>
      </c>
      <c r="K696" t="str">
        <f t="shared" si="73"/>
        <v>Facebook</v>
      </c>
      <c r="L696" t="s">
        <v>2386</v>
      </c>
      <c r="M696">
        <v>23</v>
      </c>
      <c r="N696">
        <v>46</v>
      </c>
      <c r="O696">
        <f t="shared" si="74"/>
        <v>69</v>
      </c>
      <c r="P696" t="s">
        <v>2044</v>
      </c>
      <c r="Q696" t="str">
        <f t="shared" si="75"/>
        <v>UK</v>
      </c>
      <c r="R696">
        <v>2023</v>
      </c>
      <c r="S696">
        <v>9</v>
      </c>
      <c r="T696">
        <v>22</v>
      </c>
      <c r="U696">
        <v>18</v>
      </c>
      <c r="Y696" s="4">
        <f t="shared" si="76"/>
        <v>18</v>
      </c>
    </row>
    <row r="697" spans="1:25" ht="18" x14ac:dyDescent="0.25">
      <c r="A697" t="s">
        <v>2387</v>
      </c>
      <c r="B697" t="s">
        <v>2357</v>
      </c>
      <c r="C697" s="12" t="str">
        <f t="shared" si="70"/>
        <v>Negative</v>
      </c>
      <c r="D697" s="18">
        <f t="shared" si="71"/>
        <v>-1</v>
      </c>
      <c r="E697" s="1">
        <v>45192.59375</v>
      </c>
      <c r="F697" s="10">
        <f>INT(E697)</f>
        <v>45192</v>
      </c>
      <c r="G697" s="15">
        <f>MOD(E697,2)</f>
        <v>0.59375</v>
      </c>
      <c r="H697" s="15" t="str">
        <f t="shared" si="72"/>
        <v>14:15</v>
      </c>
      <c r="I697" t="s">
        <v>2388</v>
      </c>
      <c r="J697" t="s">
        <v>874</v>
      </c>
      <c r="K697" t="str">
        <f t="shared" si="73"/>
        <v>Twitter</v>
      </c>
      <c r="L697" t="s">
        <v>2389</v>
      </c>
      <c r="M697">
        <v>25</v>
      </c>
      <c r="N697">
        <v>50</v>
      </c>
      <c r="O697">
        <f t="shared" si="74"/>
        <v>75</v>
      </c>
      <c r="P697" t="s">
        <v>2035</v>
      </c>
      <c r="Q697" t="str">
        <f t="shared" si="75"/>
        <v>USA</v>
      </c>
      <c r="R697">
        <v>2023</v>
      </c>
      <c r="S697">
        <v>9</v>
      </c>
      <c r="T697">
        <v>23</v>
      </c>
      <c r="U697">
        <v>14</v>
      </c>
      <c r="Y697" s="4">
        <f t="shared" si="76"/>
        <v>14</v>
      </c>
    </row>
    <row r="698" spans="1:25" ht="18" x14ac:dyDescent="0.25">
      <c r="A698" t="s">
        <v>2390</v>
      </c>
      <c r="B698" t="s">
        <v>2349</v>
      </c>
      <c r="C698" s="12" t="str">
        <f t="shared" si="70"/>
        <v>Negative</v>
      </c>
      <c r="D698" s="18">
        <f t="shared" si="71"/>
        <v>-1</v>
      </c>
      <c r="E698" s="1">
        <v>45193.729166666664</v>
      </c>
      <c r="F698" s="10">
        <f>INT(E698)</f>
        <v>45193</v>
      </c>
      <c r="G698" s="15">
        <f>MOD(E698,2)</f>
        <v>1.7291666666642413</v>
      </c>
      <c r="H698" s="15" t="str">
        <f t="shared" si="72"/>
        <v>17:30</v>
      </c>
      <c r="I698" t="s">
        <v>2391</v>
      </c>
      <c r="J698" t="s">
        <v>26</v>
      </c>
      <c r="K698" t="str">
        <f t="shared" si="73"/>
        <v>Instagram</v>
      </c>
      <c r="L698" t="s">
        <v>2392</v>
      </c>
      <c r="M698">
        <v>21</v>
      </c>
      <c r="N698">
        <v>42</v>
      </c>
      <c r="O698">
        <f t="shared" si="74"/>
        <v>63</v>
      </c>
      <c r="P698" t="s">
        <v>2040</v>
      </c>
      <c r="Q698" t="str">
        <f t="shared" si="75"/>
        <v>Canada</v>
      </c>
      <c r="R698">
        <v>2023</v>
      </c>
      <c r="S698">
        <v>9</v>
      </c>
      <c r="T698">
        <v>24</v>
      </c>
      <c r="U698">
        <v>17</v>
      </c>
      <c r="Y698" s="4">
        <f t="shared" si="76"/>
        <v>17</v>
      </c>
    </row>
    <row r="699" spans="1:25" ht="18" x14ac:dyDescent="0.25">
      <c r="A699" t="s">
        <v>2393</v>
      </c>
      <c r="B699" t="s">
        <v>2349</v>
      </c>
      <c r="C699" s="12" t="str">
        <f t="shared" si="70"/>
        <v>Negative</v>
      </c>
      <c r="D699" s="18">
        <f t="shared" si="71"/>
        <v>-1</v>
      </c>
      <c r="E699" s="1">
        <v>45194.864583333336</v>
      </c>
      <c r="F699" s="10">
        <f>INT(E699)</f>
        <v>45194</v>
      </c>
      <c r="G699" s="15">
        <f>MOD(E699,2)</f>
        <v>0.86458333333575865</v>
      </c>
      <c r="H699" s="15" t="str">
        <f t="shared" si="72"/>
        <v>20:45</v>
      </c>
      <c r="I699" t="s">
        <v>2394</v>
      </c>
      <c r="J699" t="s">
        <v>31</v>
      </c>
      <c r="K699" t="str">
        <f t="shared" si="73"/>
        <v>Facebook</v>
      </c>
      <c r="L699" t="s">
        <v>2395</v>
      </c>
      <c r="M699">
        <v>19</v>
      </c>
      <c r="N699">
        <v>37</v>
      </c>
      <c r="O699">
        <f t="shared" si="74"/>
        <v>56</v>
      </c>
      <c r="P699" t="s">
        <v>2044</v>
      </c>
      <c r="Q699" t="str">
        <f t="shared" si="75"/>
        <v>UK</v>
      </c>
      <c r="R699">
        <v>2023</v>
      </c>
      <c r="S699">
        <v>9</v>
      </c>
      <c r="T699">
        <v>25</v>
      </c>
      <c r="U699">
        <v>20</v>
      </c>
      <c r="Y699" s="4">
        <f t="shared" si="76"/>
        <v>20</v>
      </c>
    </row>
    <row r="700" spans="1:25" ht="18" x14ac:dyDescent="0.25">
      <c r="A700" t="s">
        <v>2396</v>
      </c>
      <c r="B700" t="s">
        <v>2353</v>
      </c>
      <c r="C700" s="12" t="str">
        <f t="shared" si="70"/>
        <v>Negative</v>
      </c>
      <c r="D700" s="18">
        <f t="shared" si="71"/>
        <v>-1</v>
      </c>
      <c r="E700" s="1">
        <v>45195.59375</v>
      </c>
      <c r="F700" s="10">
        <f>INT(E700)</f>
        <v>45195</v>
      </c>
      <c r="G700" s="15">
        <f>MOD(E700,2)</f>
        <v>1.59375</v>
      </c>
      <c r="H700" s="15" t="str">
        <f t="shared" si="72"/>
        <v>14:15</v>
      </c>
      <c r="I700" t="s">
        <v>2397</v>
      </c>
      <c r="J700" t="s">
        <v>874</v>
      </c>
      <c r="K700" t="str">
        <f t="shared" si="73"/>
        <v>Twitter</v>
      </c>
      <c r="L700" t="s">
        <v>2398</v>
      </c>
      <c r="M700">
        <v>16</v>
      </c>
      <c r="N700">
        <v>32</v>
      </c>
      <c r="O700">
        <f t="shared" si="74"/>
        <v>48</v>
      </c>
      <c r="P700" t="s">
        <v>2035</v>
      </c>
      <c r="Q700" t="str">
        <f t="shared" si="75"/>
        <v>USA</v>
      </c>
      <c r="R700">
        <v>2023</v>
      </c>
      <c r="S700">
        <v>9</v>
      </c>
      <c r="T700">
        <v>26</v>
      </c>
      <c r="U700">
        <v>14</v>
      </c>
      <c r="Y700" s="4">
        <f t="shared" si="76"/>
        <v>14</v>
      </c>
    </row>
    <row r="701" spans="1:25" ht="18" x14ac:dyDescent="0.25">
      <c r="A701" t="s">
        <v>2399</v>
      </c>
      <c r="B701" t="s">
        <v>2357</v>
      </c>
      <c r="C701" s="12" t="str">
        <f t="shared" si="70"/>
        <v>Negative</v>
      </c>
      <c r="D701" s="18">
        <f t="shared" si="71"/>
        <v>-1</v>
      </c>
      <c r="E701" s="1">
        <v>45196.729166666664</v>
      </c>
      <c r="F701" s="10">
        <f>INT(E701)</f>
        <v>45196</v>
      </c>
      <c r="G701" s="15">
        <f>MOD(E701,2)</f>
        <v>0.72916666666424135</v>
      </c>
      <c r="H701" s="15" t="str">
        <f t="shared" si="72"/>
        <v>17:30</v>
      </c>
      <c r="I701" t="s">
        <v>2400</v>
      </c>
      <c r="J701" t="s">
        <v>26</v>
      </c>
      <c r="K701" t="str">
        <f t="shared" si="73"/>
        <v>Instagram</v>
      </c>
      <c r="L701" t="s">
        <v>2401</v>
      </c>
      <c r="M701">
        <v>18</v>
      </c>
      <c r="N701">
        <v>36</v>
      </c>
      <c r="O701">
        <f t="shared" si="74"/>
        <v>54</v>
      </c>
      <c r="P701" t="s">
        <v>2040</v>
      </c>
      <c r="Q701" t="str">
        <f t="shared" si="75"/>
        <v>Canada</v>
      </c>
      <c r="R701">
        <v>2023</v>
      </c>
      <c r="S701">
        <v>9</v>
      </c>
      <c r="T701">
        <v>27</v>
      </c>
      <c r="U701">
        <v>17</v>
      </c>
      <c r="Y701" s="4">
        <f t="shared" si="76"/>
        <v>17</v>
      </c>
    </row>
    <row r="702" spans="1:25" ht="18" x14ac:dyDescent="0.25">
      <c r="A702" t="s">
        <v>2402</v>
      </c>
      <c r="B702" t="s">
        <v>2349</v>
      </c>
      <c r="C702" s="12" t="str">
        <f t="shared" si="70"/>
        <v>Negative</v>
      </c>
      <c r="D702" s="18">
        <f t="shared" si="71"/>
        <v>-1</v>
      </c>
      <c r="E702" s="1">
        <v>45197.916666666664</v>
      </c>
      <c r="F702" s="10">
        <f>INT(E702)</f>
        <v>45197</v>
      </c>
      <c r="G702" s="15">
        <f>MOD(E702,2)</f>
        <v>1.9166666666642413</v>
      </c>
      <c r="H702" s="15" t="str">
        <f t="shared" si="72"/>
        <v>22:00</v>
      </c>
      <c r="I702" t="s">
        <v>2403</v>
      </c>
      <c r="J702" t="s">
        <v>31</v>
      </c>
      <c r="K702" t="str">
        <f t="shared" si="73"/>
        <v>Facebook</v>
      </c>
      <c r="L702" t="s">
        <v>2404</v>
      </c>
      <c r="M702">
        <v>21</v>
      </c>
      <c r="N702">
        <v>41</v>
      </c>
      <c r="O702">
        <f t="shared" si="74"/>
        <v>62</v>
      </c>
      <c r="P702" t="s">
        <v>2044</v>
      </c>
      <c r="Q702" t="str">
        <f t="shared" si="75"/>
        <v>UK</v>
      </c>
      <c r="R702">
        <v>2023</v>
      </c>
      <c r="S702">
        <v>9</v>
      </c>
      <c r="T702">
        <v>28</v>
      </c>
      <c r="U702">
        <v>22</v>
      </c>
      <c r="Y702" s="4">
        <f t="shared" si="76"/>
        <v>22</v>
      </c>
    </row>
    <row r="703" spans="1:25" ht="18" x14ac:dyDescent="0.25">
      <c r="A703" t="s">
        <v>2405</v>
      </c>
      <c r="B703" t="s">
        <v>2353</v>
      </c>
      <c r="C703" s="12" t="str">
        <f t="shared" si="70"/>
        <v>Negative</v>
      </c>
      <c r="D703" s="18">
        <f t="shared" si="71"/>
        <v>-1</v>
      </c>
      <c r="E703" s="1">
        <v>45198.65625</v>
      </c>
      <c r="F703" s="10">
        <f>INT(E703)</f>
        <v>45198</v>
      </c>
      <c r="G703" s="15">
        <f>MOD(E703,2)</f>
        <v>0.65625</v>
      </c>
      <c r="H703" s="15" t="str">
        <f t="shared" si="72"/>
        <v>15:45</v>
      </c>
      <c r="I703" t="s">
        <v>2406</v>
      </c>
      <c r="J703" t="s">
        <v>874</v>
      </c>
      <c r="K703" t="str">
        <f t="shared" si="73"/>
        <v>Twitter</v>
      </c>
      <c r="L703" t="s">
        <v>2407</v>
      </c>
      <c r="M703">
        <v>24</v>
      </c>
      <c r="N703">
        <v>48</v>
      </c>
      <c r="O703">
        <f t="shared" si="74"/>
        <v>72</v>
      </c>
      <c r="P703" t="s">
        <v>2035</v>
      </c>
      <c r="Q703" t="str">
        <f t="shared" si="75"/>
        <v>USA</v>
      </c>
      <c r="R703">
        <v>2023</v>
      </c>
      <c r="S703">
        <v>9</v>
      </c>
      <c r="T703">
        <v>29</v>
      </c>
      <c r="U703">
        <v>15</v>
      </c>
      <c r="Y703" s="4">
        <f t="shared" si="76"/>
        <v>15</v>
      </c>
    </row>
    <row r="704" spans="1:25" ht="18" x14ac:dyDescent="0.25">
      <c r="A704" t="s">
        <v>2408</v>
      </c>
      <c r="B704" t="s">
        <v>2357</v>
      </c>
      <c r="C704" s="12" t="str">
        <f t="shared" si="70"/>
        <v>Negative</v>
      </c>
      <c r="D704" s="18">
        <f t="shared" si="71"/>
        <v>-1</v>
      </c>
      <c r="E704" s="1">
        <v>45199.763888888891</v>
      </c>
      <c r="F704" s="10">
        <f>INT(E704)</f>
        <v>45199</v>
      </c>
      <c r="G704" s="15">
        <f>MOD(E704,2)</f>
        <v>1.7638888888905058</v>
      </c>
      <c r="H704" s="15" t="str">
        <f t="shared" si="72"/>
        <v>18:20</v>
      </c>
      <c r="I704" t="s">
        <v>2409</v>
      </c>
      <c r="J704" t="s">
        <v>26</v>
      </c>
      <c r="K704" t="str">
        <f t="shared" si="73"/>
        <v>Instagram</v>
      </c>
      <c r="L704" t="s">
        <v>2410</v>
      </c>
      <c r="M704">
        <v>22</v>
      </c>
      <c r="N704">
        <v>43</v>
      </c>
      <c r="O704">
        <f t="shared" si="74"/>
        <v>65</v>
      </c>
      <c r="P704" t="s">
        <v>2040</v>
      </c>
      <c r="Q704" t="str">
        <f t="shared" si="75"/>
        <v>Canada</v>
      </c>
      <c r="R704">
        <v>2023</v>
      </c>
      <c r="S704">
        <v>9</v>
      </c>
      <c r="T704">
        <v>30</v>
      </c>
      <c r="U704">
        <v>18</v>
      </c>
      <c r="Y704" s="4">
        <f t="shared" si="76"/>
        <v>18</v>
      </c>
    </row>
    <row r="705" spans="1:25" ht="18" x14ac:dyDescent="0.25">
      <c r="A705" t="s">
        <v>2411</v>
      </c>
      <c r="B705" t="s">
        <v>2349</v>
      </c>
      <c r="C705" s="12" t="str">
        <f t="shared" si="70"/>
        <v>Negative</v>
      </c>
      <c r="D705" s="18">
        <f t="shared" si="71"/>
        <v>-1</v>
      </c>
      <c r="E705" s="1">
        <v>45200.59375</v>
      </c>
      <c r="F705" s="10">
        <f>INT(E705)</f>
        <v>45200</v>
      </c>
      <c r="G705" s="15">
        <f>MOD(E705,2)</f>
        <v>0.59375</v>
      </c>
      <c r="H705" s="15" t="str">
        <f t="shared" si="72"/>
        <v>14:15</v>
      </c>
      <c r="I705" t="s">
        <v>2412</v>
      </c>
      <c r="J705" t="s">
        <v>31</v>
      </c>
      <c r="K705" t="str">
        <f t="shared" si="73"/>
        <v>Facebook</v>
      </c>
      <c r="L705" t="s">
        <v>2413</v>
      </c>
      <c r="M705">
        <v>20</v>
      </c>
      <c r="N705">
        <v>39</v>
      </c>
      <c r="O705">
        <f t="shared" si="74"/>
        <v>59</v>
      </c>
      <c r="P705" t="s">
        <v>2044</v>
      </c>
      <c r="Q705" t="str">
        <f t="shared" si="75"/>
        <v>UK</v>
      </c>
      <c r="R705">
        <v>2023</v>
      </c>
      <c r="S705">
        <v>10</v>
      </c>
      <c r="T705">
        <v>1</v>
      </c>
      <c r="U705">
        <v>14</v>
      </c>
      <c r="Y705" s="4">
        <f t="shared" si="76"/>
        <v>14</v>
      </c>
    </row>
    <row r="706" spans="1:25" ht="18" x14ac:dyDescent="0.25">
      <c r="A706" t="s">
        <v>2414</v>
      </c>
      <c r="B706" t="s">
        <v>2415</v>
      </c>
      <c r="C706" s="12" t="str">
        <f t="shared" si="70"/>
        <v>Neutral</v>
      </c>
      <c r="D706" s="18">
        <f t="shared" si="71"/>
        <v>0</v>
      </c>
      <c r="E706" s="1">
        <v>45201.697916666664</v>
      </c>
      <c r="F706" s="10">
        <f>INT(E706)</f>
        <v>45201</v>
      </c>
      <c r="G706" s="15">
        <f>MOD(E706,2)</f>
        <v>1.6979166666642413</v>
      </c>
      <c r="H706" s="15" t="str">
        <f t="shared" si="72"/>
        <v>16:45</v>
      </c>
      <c r="I706" t="s">
        <v>2416</v>
      </c>
      <c r="J706" t="s">
        <v>26</v>
      </c>
      <c r="K706" t="str">
        <f t="shared" si="73"/>
        <v>Instagram</v>
      </c>
      <c r="L706" t="s">
        <v>2417</v>
      </c>
      <c r="M706">
        <v>23</v>
      </c>
      <c r="N706">
        <v>42</v>
      </c>
      <c r="O706">
        <f t="shared" si="74"/>
        <v>65</v>
      </c>
      <c r="P706" t="s">
        <v>2035</v>
      </c>
      <c r="Q706" t="str">
        <f t="shared" si="75"/>
        <v>USA</v>
      </c>
      <c r="R706">
        <v>2023</v>
      </c>
      <c r="S706">
        <v>10</v>
      </c>
      <c r="T706">
        <v>2</v>
      </c>
      <c r="U706">
        <v>16</v>
      </c>
      <c r="Y706" s="4">
        <f t="shared" si="76"/>
        <v>16</v>
      </c>
    </row>
    <row r="707" spans="1:25" ht="18" x14ac:dyDescent="0.25">
      <c r="A707" t="s">
        <v>2418</v>
      </c>
      <c r="B707" t="s">
        <v>2415</v>
      </c>
      <c r="C707" s="12" t="str">
        <f t="shared" ref="C707:C733" si="77">IF(OR(ISNUMBER(SEARCH("happ",B707)),ISNUMBER(SEARCH("joy",B707)),ISNUMBER(SEARCH("love",B707)),ISNUMBER(SEARCH("amuse",B707)),ISNUMBER(SEARCH("enjoy",B707)),ISNUMBER(SEARCH("admire",B707)),ISNUMBER(SEARCH("affection",B707)),ISNUMBER(SEARCH("awe",B707)),ISNUMBER(SEARCH("accept",B707)),ISNUMBER(SEARCH("ador",B707)),ISNUMBER(SEARCH("calm",B707)),ISNUMBER(SEARCH("excit",B707)),ISNUMBER(SEARCH("kind",B707)),ISNUMBER(SEARCH("pride",B707)),ISNUMBER(SEARCH("elat",B707)),ISNUMBER(SEARCH("euphor",B707)),ISNUMBER(SEARCH("content",B707)),ISNUMBER(SEARCH("seren",B707)),ISNUMBER(SEARCH("grat",B707)),ISNUMBER(SEARCH("hope",B707)),ISNUMBER(SEARCH("empower",B707)),ISNUMBER(SEARCH("compass",B707)),ISNUMBER(SEARCH("tender",B707)),ISNUMBER(SEARCH("enthus",B707)),ISNUMBER(SEARCH("fulfill",B707)),ISNUMBER(SEARCH("rever",B707)),ISNUMBER(SEARCH("zest",B707)),ISNUMBER(SEARCH("play",B707)),ISNUMBER(SEARCH("inspir",B707)),ISNUMBER(SEARCH("confid",B707)),ISNUMBER(SEARCH("determin",B707)),ISNUMBER(SEARCH("thrill",B707)),ISNUMBER(SEARCH("overjoy",B707)),ISNUMBER(SEARCH("motiv",B707)),ISNUMBER(SEARCH("satisf",B707)),ISNUMBER(SEARCH("bless",B707)),ISNUMBER(SEARCH("appreci",B707)),ISNUMBER(SEARCH("accomplish",B707)),ISNUMBER(SEARCH("wonder",B707)),ISNUMBER(SEARCH("optim",B707)),ISNUMBER(SEARCH("enchant",B707)),ISNUMBER(SEARCH("intrigu",B707)),ISNUMBER(SEARCH("mindful",B707)),ISNUMBER(SEARCH("eleg",B707)),ISNUMBER(SEARCH("whims",B707)),ISNUMBER(SEARCH("harmon",B707)),ISNUMBER(SEARCH("creativ",B707)),ISNUMBER(SEARCH("radian",B707)),ISNUMBER(SEARCH("rejuven",B707)),ISNUMBER(SEARCH("cozy",B707)),ISNUMBER(SEARCH("adventur",B707)),ISNUMBER(SEARCH("melod",B707)),ISNUMBER(SEARCH("festiv",B707)),ISNUMBER(SEARCH("free",B707)),ISNUMBER(SEARCH("dazzl",B707)),ISNUMBER(SEARCH("adrenal",B707)),ISNUMBER(SEARCH("artistic",B707)),ISNUMBER(SEARCH("resil",B707)),ISNUMBER(SEARCH("immers",B707)),ISNUMBER(SEARCH("spark",B707)),ISNUMBER(SEARCH("marvel",B707)),ISNUMBER(SEARCH("friend",B707)),ISNUMBER(SEARCH("success",B707)),ISNUMBER(SEARCH("explor",B707)),ISNUMBER(SEARCH("amaz",B707)),ISNUMBER(SEARCH("romanc",B707)),ISNUMBER(SEARCH("captiv",B707)),ISNUMBER(SEARCH("tranquil",B707)),ISNUMBER(SEARCH("grand",B707)),ISNUMBER(SEARCH("energ",B707)),ISNUMBER(SEARCH("celebr",B707)),ISNUMBER(SEARCH("charm",B707)),ISNUMBER(SEARCH("ecstasy",B707)),ISNUMBER(SEARCH("color",B707)),ISNUMBER(SEARCH("hypnot",B707)),ISNUMBER(SEARCH("connect",B707)),ISNUMBER(SEARCH("icon",B707)),ISNUMBER(SEARCH("engag",B707)),ISNUMBER(SEARCH("triumph",B707)),ISNUMBER(SEARCH("heartwarm",B707)),ISNUMBER(SEARCH("solac",B707)),ISNUMBER(SEARCH("breakthrough",B707)),ISNUMBER(SEARCH("imagin",B707)),ISNUMBER(SEARCH("vibran",B707)),ISNUMBER(SEARCH("mesmer",B707)),ISNUMBER(SEARCH("winter magic",B707)),ISNUMBER(SEARCH("nature",B707)),ISNUMBER(SEARCH("celestial",B707)),ISNUMBER(SEARCH("positive",B707)),ISNUMBER(SEARCH("arous",B707))),"Positive",IF(OR(ISNUMBER(SEARCH("anger",B707)),ISNUMBER(SEARCH("fear",B707)),ISNUMBER(SEARCH("sad",B707)),ISNUMBER(SEARCH("disgust",B707)),ISNUMBER(SEARCH("disappoint",B707)),ISNUMBER(SEARCH("bitter",B707)),ISNUMBER(SEARCH("shame",B707)),ISNUMBER(SEARCH("despair",B707)),ISNUMBER(SEARCH("grief",B707)),ISNUMBER(SEARCH("lonel",B707)),ISNUMBER(SEARCH("jealous",B707)),ISNUMBER(SEARCH("resent",B707)),ISNUMBER(SEARCH("frustrat",B707)),ISNUMBER(SEARCH("bored",B707)),ISNUMBER(SEARCH("anxi",B707)),ISNUMBER(SEARCH("intimid",B707)),ISNUMBER(SEARCH("helpless",B707)),ISNUMBER(SEARCH("envy",B707)),ISNUMBER(SEARCH("regret",B707)),ISNUMBER(SEARCH("melanchol",B707)),ISNUMBER(SEARCH("yearn",B707)),ISNUMBER(SEARCH("apprehens",B707)),ISNUMBER(SEARCH("overwhelm",B707)),ISNUMBER(SEARCH("devastat",B707)),ISNUMBER(SEARCH("dismiss",B707)),ISNUMBER(SEARCH("heartbreak",B707)),ISNUMBER(SEARCH("betray",B707)),ISNUMBER(SEARCH("suffer",B707)),ISNUMBER(SEARCH("isolat",B707)),ISNUMBER(SEARCH("lost",B707)),ISNUMBER(SEARCH("exhaust",B707)),ISNUMBER(SEARCH("sorrow",B707)),ISNUMBER(SEARCH("darkness",B707)),ISNUMBER(SEARCH("desperat",B707)),ISNUMBER(SEARCH("ruins",B707)),ISNUMBER(SEARCH("desolat",B707)),ISNUMBER(SEARCH("heartache",B707)),ISNUMBER(SEARCH("solitude",B707)),ISNUMBER(SEARCH("obstacle",B707)),ISNUMBER(SEARCH("pressure",B707)),ISNUMBER(SEARCH("miscalcul",B707)),ISNUMBER(SEARCH("challenge",B707)),ISNUMBER(SEARCH("embarrass",B707)),ISNUMBER(SEARCH("hate",B707)),ISNUMBER(SEARCH("bad",B707)),ISNUMBER(SEARCH("negative",B707))),"Negative","Neutral"))</f>
        <v>Neutral</v>
      </c>
      <c r="D707" s="18">
        <f t="shared" ref="D707:D733" si="78">IF(C707="Positive", 1, IF(C707="Negative", -1, 0))</f>
        <v>0</v>
      </c>
      <c r="E707" s="1">
        <v>45202.520833333336</v>
      </c>
      <c r="F707" s="10">
        <f>INT(E707)</f>
        <v>45202</v>
      </c>
      <c r="G707" s="15">
        <f>MOD(E707,2)</f>
        <v>0.52083333333575865</v>
      </c>
      <c r="H707" s="15" t="str">
        <f t="shared" ref="H707:H733" si="79">TEXT(G707, "hh:mm")</f>
        <v>12:30</v>
      </c>
      <c r="I707" t="s">
        <v>2419</v>
      </c>
      <c r="J707" t="s">
        <v>874</v>
      </c>
      <c r="K707" t="str">
        <f t="shared" ref="K707:K733" si="80">TRIM(CLEAN(J707))</f>
        <v>Twitter</v>
      </c>
      <c r="L707" t="s">
        <v>2420</v>
      </c>
      <c r="M707">
        <v>26</v>
      </c>
      <c r="N707">
        <v>50</v>
      </c>
      <c r="O707">
        <f t="shared" ref="O707:O733" si="81">M707+N707</f>
        <v>76</v>
      </c>
      <c r="P707" t="s">
        <v>2040</v>
      </c>
      <c r="Q707" t="str">
        <f t="shared" ref="Q707:Q733" si="82">TRIM(CLEAN(P707))</f>
        <v>Canada</v>
      </c>
      <c r="R707">
        <v>2023</v>
      </c>
      <c r="S707">
        <v>10</v>
      </c>
      <c r="T707">
        <v>3</v>
      </c>
      <c r="U707">
        <v>12</v>
      </c>
      <c r="Y707" s="4">
        <f t="shared" ref="Y707:Y733" si="83">HOUR(H707)</f>
        <v>12</v>
      </c>
    </row>
    <row r="708" spans="1:25" ht="18" x14ac:dyDescent="0.25">
      <c r="A708" t="s">
        <v>2421</v>
      </c>
      <c r="B708" t="s">
        <v>2415</v>
      </c>
      <c r="C708" s="12" t="str">
        <f t="shared" si="77"/>
        <v>Neutral</v>
      </c>
      <c r="D708" s="18">
        <f t="shared" si="78"/>
        <v>0</v>
      </c>
      <c r="E708" s="1">
        <v>45203.763888888891</v>
      </c>
      <c r="F708" s="10">
        <f>INT(E708)</f>
        <v>45203</v>
      </c>
      <c r="G708" s="15">
        <f>MOD(E708,2)</f>
        <v>1.7638888888905058</v>
      </c>
      <c r="H708" s="15" t="str">
        <f t="shared" si="79"/>
        <v>18:20</v>
      </c>
      <c r="I708" t="s">
        <v>2422</v>
      </c>
      <c r="J708" t="s">
        <v>31</v>
      </c>
      <c r="K708" t="str">
        <f t="shared" si="80"/>
        <v>Facebook</v>
      </c>
      <c r="L708" t="s">
        <v>2423</v>
      </c>
      <c r="M708">
        <v>19</v>
      </c>
      <c r="N708">
        <v>38</v>
      </c>
      <c r="O708">
        <f t="shared" si="81"/>
        <v>57</v>
      </c>
      <c r="P708" t="s">
        <v>2044</v>
      </c>
      <c r="Q708" t="str">
        <f t="shared" si="82"/>
        <v>UK</v>
      </c>
      <c r="R708">
        <v>2023</v>
      </c>
      <c r="S708">
        <v>10</v>
      </c>
      <c r="T708">
        <v>4</v>
      </c>
      <c r="U708">
        <v>18</v>
      </c>
      <c r="Y708" s="4">
        <f t="shared" si="83"/>
        <v>18</v>
      </c>
    </row>
    <row r="709" spans="1:25" ht="18" x14ac:dyDescent="0.25">
      <c r="A709" t="s">
        <v>2424</v>
      </c>
      <c r="B709" t="s">
        <v>2415</v>
      </c>
      <c r="C709" s="12" t="str">
        <f t="shared" si="77"/>
        <v>Neutral</v>
      </c>
      <c r="D709" s="18">
        <f t="shared" si="78"/>
        <v>0</v>
      </c>
      <c r="E709" s="1">
        <v>45204.59375</v>
      </c>
      <c r="F709" s="10">
        <f>INT(E709)</f>
        <v>45204</v>
      </c>
      <c r="G709" s="15">
        <f>MOD(E709,2)</f>
        <v>0.59375</v>
      </c>
      <c r="H709" s="15" t="str">
        <f t="shared" si="79"/>
        <v>14:15</v>
      </c>
      <c r="I709" t="s">
        <v>2425</v>
      </c>
      <c r="J709" t="s">
        <v>26</v>
      </c>
      <c r="K709" t="str">
        <f t="shared" si="80"/>
        <v>Instagram</v>
      </c>
      <c r="L709" t="s">
        <v>2426</v>
      </c>
      <c r="M709">
        <v>21</v>
      </c>
      <c r="N709">
        <v>43</v>
      </c>
      <c r="O709">
        <f t="shared" si="81"/>
        <v>64</v>
      </c>
      <c r="P709" t="s">
        <v>2035</v>
      </c>
      <c r="Q709" t="str">
        <f t="shared" si="82"/>
        <v>USA</v>
      </c>
      <c r="R709">
        <v>2023</v>
      </c>
      <c r="S709">
        <v>10</v>
      </c>
      <c r="T709">
        <v>5</v>
      </c>
      <c r="U709">
        <v>14</v>
      </c>
      <c r="Y709" s="4">
        <f t="shared" si="83"/>
        <v>14</v>
      </c>
    </row>
    <row r="710" spans="1:25" ht="18" x14ac:dyDescent="0.25">
      <c r="A710" t="s">
        <v>2427</v>
      </c>
      <c r="B710" t="s">
        <v>2415</v>
      </c>
      <c r="C710" s="12" t="str">
        <f t="shared" si="77"/>
        <v>Neutral</v>
      </c>
      <c r="D710" s="18">
        <f t="shared" si="78"/>
        <v>0</v>
      </c>
      <c r="E710" s="1">
        <v>45205.729166666664</v>
      </c>
      <c r="F710" s="10">
        <f>INT(E710)</f>
        <v>45205</v>
      </c>
      <c r="G710" s="15">
        <f>MOD(E710,2)</f>
        <v>1.7291666666642413</v>
      </c>
      <c r="H710" s="15" t="str">
        <f t="shared" si="79"/>
        <v>17:30</v>
      </c>
      <c r="I710" t="s">
        <v>2428</v>
      </c>
      <c r="J710" t="s">
        <v>874</v>
      </c>
      <c r="K710" t="str">
        <f t="shared" si="80"/>
        <v>Twitter</v>
      </c>
      <c r="L710" t="s">
        <v>2429</v>
      </c>
      <c r="M710">
        <v>18</v>
      </c>
      <c r="N710">
        <v>36</v>
      </c>
      <c r="O710">
        <f t="shared" si="81"/>
        <v>54</v>
      </c>
      <c r="P710" t="s">
        <v>2040</v>
      </c>
      <c r="Q710" t="str">
        <f t="shared" si="82"/>
        <v>Canada</v>
      </c>
      <c r="R710">
        <v>2023</v>
      </c>
      <c r="S710">
        <v>10</v>
      </c>
      <c r="T710">
        <v>6</v>
      </c>
      <c r="U710">
        <v>17</v>
      </c>
      <c r="Y710" s="4">
        <f t="shared" si="83"/>
        <v>17</v>
      </c>
    </row>
    <row r="711" spans="1:25" ht="18" x14ac:dyDescent="0.25">
      <c r="A711" t="s">
        <v>2430</v>
      </c>
      <c r="B711" t="s">
        <v>2415</v>
      </c>
      <c r="C711" s="12" t="str">
        <f t="shared" si="77"/>
        <v>Neutral</v>
      </c>
      <c r="D711" s="18">
        <f t="shared" si="78"/>
        <v>0</v>
      </c>
      <c r="E711" s="1">
        <v>45206.864583333336</v>
      </c>
      <c r="F711" s="10">
        <f>INT(E711)</f>
        <v>45206</v>
      </c>
      <c r="G711" s="15">
        <f>MOD(E711,2)</f>
        <v>0.86458333333575865</v>
      </c>
      <c r="H711" s="15" t="str">
        <f t="shared" si="79"/>
        <v>20:45</v>
      </c>
      <c r="I711" t="s">
        <v>2431</v>
      </c>
      <c r="J711" t="s">
        <v>26</v>
      </c>
      <c r="K711" t="str">
        <f t="shared" si="80"/>
        <v>Instagram</v>
      </c>
      <c r="L711" t="s">
        <v>2432</v>
      </c>
      <c r="M711">
        <v>22</v>
      </c>
      <c r="N711">
        <v>45</v>
      </c>
      <c r="O711">
        <f t="shared" si="81"/>
        <v>67</v>
      </c>
      <c r="P711" t="s">
        <v>2044</v>
      </c>
      <c r="Q711" t="str">
        <f t="shared" si="82"/>
        <v>UK</v>
      </c>
      <c r="R711">
        <v>2023</v>
      </c>
      <c r="S711">
        <v>10</v>
      </c>
      <c r="T711">
        <v>7</v>
      </c>
      <c r="U711">
        <v>20</v>
      </c>
      <c r="Y711" s="4">
        <f t="shared" si="83"/>
        <v>20</v>
      </c>
    </row>
    <row r="712" spans="1:25" ht="18" x14ac:dyDescent="0.25">
      <c r="A712" t="s">
        <v>2433</v>
      </c>
      <c r="B712" t="s">
        <v>2415</v>
      </c>
      <c r="C712" s="12" t="str">
        <f t="shared" si="77"/>
        <v>Neutral</v>
      </c>
      <c r="D712" s="18">
        <f t="shared" si="78"/>
        <v>0</v>
      </c>
      <c r="E712" s="1">
        <v>45207.635416666664</v>
      </c>
      <c r="F712" s="10">
        <f>INT(E712)</f>
        <v>45207</v>
      </c>
      <c r="G712" s="15">
        <f>MOD(E712,2)</f>
        <v>1.6354166666642413</v>
      </c>
      <c r="H712" s="15" t="str">
        <f t="shared" si="79"/>
        <v>15:15</v>
      </c>
      <c r="I712" t="s">
        <v>2434</v>
      </c>
      <c r="J712" t="s">
        <v>31</v>
      </c>
      <c r="K712" t="str">
        <f t="shared" si="80"/>
        <v>Facebook</v>
      </c>
      <c r="L712" t="s">
        <v>2435</v>
      </c>
      <c r="M712">
        <v>24</v>
      </c>
      <c r="N712">
        <v>48</v>
      </c>
      <c r="O712">
        <f t="shared" si="81"/>
        <v>72</v>
      </c>
      <c r="P712" t="s">
        <v>2035</v>
      </c>
      <c r="Q712" t="str">
        <f t="shared" si="82"/>
        <v>USA</v>
      </c>
      <c r="R712">
        <v>2023</v>
      </c>
      <c r="S712">
        <v>10</v>
      </c>
      <c r="T712">
        <v>8</v>
      </c>
      <c r="U712">
        <v>15</v>
      </c>
      <c r="Y712" s="4">
        <f t="shared" si="83"/>
        <v>15</v>
      </c>
    </row>
    <row r="713" spans="1:25" ht="18" x14ac:dyDescent="0.25">
      <c r="A713" t="s">
        <v>2436</v>
      </c>
      <c r="B713" t="s">
        <v>2415</v>
      </c>
      <c r="C713" s="12" t="str">
        <f t="shared" si="77"/>
        <v>Neutral</v>
      </c>
      <c r="D713" s="18">
        <f t="shared" si="78"/>
        <v>0</v>
      </c>
      <c r="E713" s="1">
        <v>45208.916666666664</v>
      </c>
      <c r="F713" s="10">
        <f>INT(E713)</f>
        <v>45208</v>
      </c>
      <c r="G713" s="15">
        <f>MOD(E713,2)</f>
        <v>0.91666666666424135</v>
      </c>
      <c r="H713" s="15" t="str">
        <f t="shared" si="79"/>
        <v>22:00</v>
      </c>
      <c r="I713" t="s">
        <v>2437</v>
      </c>
      <c r="J713" t="s">
        <v>874</v>
      </c>
      <c r="K713" t="str">
        <f t="shared" si="80"/>
        <v>Twitter</v>
      </c>
      <c r="L713" t="s">
        <v>2438</v>
      </c>
      <c r="M713">
        <v>20</v>
      </c>
      <c r="N713">
        <v>40</v>
      </c>
      <c r="O713">
        <f t="shared" si="81"/>
        <v>60</v>
      </c>
      <c r="P713" t="s">
        <v>2040</v>
      </c>
      <c r="Q713" t="str">
        <f t="shared" si="82"/>
        <v>Canada</v>
      </c>
      <c r="R713">
        <v>2023</v>
      </c>
      <c r="S713">
        <v>10</v>
      </c>
      <c r="T713">
        <v>9</v>
      </c>
      <c r="U713">
        <v>22</v>
      </c>
      <c r="Y713" s="4">
        <f t="shared" si="83"/>
        <v>22</v>
      </c>
    </row>
    <row r="714" spans="1:25" ht="18" x14ac:dyDescent="0.25">
      <c r="A714" t="s">
        <v>2439</v>
      </c>
      <c r="B714" t="s">
        <v>2415</v>
      </c>
      <c r="C714" s="12" t="str">
        <f t="shared" si="77"/>
        <v>Neutral</v>
      </c>
      <c r="D714" s="18">
        <f t="shared" si="78"/>
        <v>0</v>
      </c>
      <c r="E714" s="1">
        <v>45209.59375</v>
      </c>
      <c r="F714" s="10">
        <f>INT(E714)</f>
        <v>45209</v>
      </c>
      <c r="G714" s="15">
        <f>MOD(E714,2)</f>
        <v>1.59375</v>
      </c>
      <c r="H714" s="15" t="str">
        <f t="shared" si="79"/>
        <v>14:15</v>
      </c>
      <c r="I714" t="s">
        <v>2440</v>
      </c>
      <c r="J714" t="s">
        <v>26</v>
      </c>
      <c r="K714" t="str">
        <f t="shared" si="80"/>
        <v>Instagram</v>
      </c>
      <c r="L714" t="s">
        <v>2441</v>
      </c>
      <c r="M714">
        <v>25</v>
      </c>
      <c r="N714">
        <v>49</v>
      </c>
      <c r="O714">
        <f t="shared" si="81"/>
        <v>74</v>
      </c>
      <c r="P714" t="s">
        <v>2044</v>
      </c>
      <c r="Q714" t="str">
        <f t="shared" si="82"/>
        <v>UK</v>
      </c>
      <c r="R714">
        <v>2023</v>
      </c>
      <c r="S714">
        <v>10</v>
      </c>
      <c r="T714">
        <v>10</v>
      </c>
      <c r="U714">
        <v>14</v>
      </c>
      <c r="Y714" s="4">
        <f t="shared" si="83"/>
        <v>14</v>
      </c>
    </row>
    <row r="715" spans="1:25" ht="18" x14ac:dyDescent="0.25">
      <c r="A715" t="s">
        <v>2442</v>
      </c>
      <c r="B715" t="s">
        <v>2415</v>
      </c>
      <c r="C715" s="12" t="str">
        <f t="shared" si="77"/>
        <v>Neutral</v>
      </c>
      <c r="D715" s="18">
        <f t="shared" si="78"/>
        <v>0</v>
      </c>
      <c r="E715" s="1">
        <v>45210.697916666664</v>
      </c>
      <c r="F715" s="10">
        <f>INT(E715)</f>
        <v>45210</v>
      </c>
      <c r="G715" s="15">
        <f>MOD(E715,2)</f>
        <v>0.69791666666424135</v>
      </c>
      <c r="H715" s="15" t="str">
        <f t="shared" si="79"/>
        <v>16:45</v>
      </c>
      <c r="I715" t="s">
        <v>2443</v>
      </c>
      <c r="J715" t="s">
        <v>31</v>
      </c>
      <c r="K715" t="str">
        <f t="shared" si="80"/>
        <v>Facebook</v>
      </c>
      <c r="L715" t="s">
        <v>2444</v>
      </c>
      <c r="M715">
        <v>19</v>
      </c>
      <c r="N715">
        <v>37</v>
      </c>
      <c r="O715">
        <f t="shared" si="81"/>
        <v>56</v>
      </c>
      <c r="P715" t="s">
        <v>2035</v>
      </c>
      <c r="Q715" t="str">
        <f t="shared" si="82"/>
        <v>USA</v>
      </c>
      <c r="R715">
        <v>2023</v>
      </c>
      <c r="S715">
        <v>10</v>
      </c>
      <c r="T715">
        <v>11</v>
      </c>
      <c r="U715">
        <v>16</v>
      </c>
      <c r="Y715" s="4">
        <f t="shared" si="83"/>
        <v>16</v>
      </c>
    </row>
    <row r="716" spans="1:25" ht="18" x14ac:dyDescent="0.25">
      <c r="A716" t="s">
        <v>2445</v>
      </c>
      <c r="B716" t="s">
        <v>2415</v>
      </c>
      <c r="C716" s="12" t="str">
        <f t="shared" si="77"/>
        <v>Neutral</v>
      </c>
      <c r="D716" s="18">
        <f t="shared" si="78"/>
        <v>0</v>
      </c>
      <c r="E716" s="1">
        <v>45211.763888888891</v>
      </c>
      <c r="F716" s="10">
        <f>INT(E716)</f>
        <v>45211</v>
      </c>
      <c r="G716" s="15">
        <f>MOD(E716,2)</f>
        <v>1.7638888888905058</v>
      </c>
      <c r="H716" s="15" t="str">
        <f t="shared" si="79"/>
        <v>18:20</v>
      </c>
      <c r="I716" t="s">
        <v>2446</v>
      </c>
      <c r="J716" t="s">
        <v>874</v>
      </c>
      <c r="K716" t="str">
        <f t="shared" si="80"/>
        <v>Twitter</v>
      </c>
      <c r="L716" t="s">
        <v>2447</v>
      </c>
      <c r="M716">
        <v>23</v>
      </c>
      <c r="N716">
        <v>44</v>
      </c>
      <c r="O716">
        <f t="shared" si="81"/>
        <v>67</v>
      </c>
      <c r="P716" t="s">
        <v>2040</v>
      </c>
      <c r="Q716" t="str">
        <f t="shared" si="82"/>
        <v>Canada</v>
      </c>
      <c r="R716">
        <v>2023</v>
      </c>
      <c r="S716">
        <v>10</v>
      </c>
      <c r="T716">
        <v>12</v>
      </c>
      <c r="U716">
        <v>18</v>
      </c>
      <c r="Y716" s="4">
        <f t="shared" si="83"/>
        <v>18</v>
      </c>
    </row>
    <row r="717" spans="1:25" ht="18" x14ac:dyDescent="0.25">
      <c r="A717" t="s">
        <v>2448</v>
      </c>
      <c r="B717" t="s">
        <v>2415</v>
      </c>
      <c r="C717" s="12" t="str">
        <f t="shared" si="77"/>
        <v>Neutral</v>
      </c>
      <c r="D717" s="18">
        <f t="shared" si="78"/>
        <v>0</v>
      </c>
      <c r="E717" s="1">
        <v>45212.520833333336</v>
      </c>
      <c r="F717" s="10">
        <f>INT(E717)</f>
        <v>45212</v>
      </c>
      <c r="G717" s="15">
        <f>MOD(E717,2)</f>
        <v>0.52083333333575865</v>
      </c>
      <c r="H717" s="15" t="str">
        <f t="shared" si="79"/>
        <v>12:30</v>
      </c>
      <c r="I717" t="s">
        <v>2449</v>
      </c>
      <c r="J717" t="s">
        <v>26</v>
      </c>
      <c r="K717" t="str">
        <f t="shared" si="80"/>
        <v>Instagram</v>
      </c>
      <c r="L717" t="s">
        <v>2450</v>
      </c>
      <c r="M717">
        <v>20</v>
      </c>
      <c r="N717">
        <v>39</v>
      </c>
      <c r="O717">
        <f t="shared" si="81"/>
        <v>59</v>
      </c>
      <c r="P717" t="s">
        <v>2044</v>
      </c>
      <c r="Q717" t="str">
        <f t="shared" si="82"/>
        <v>UK</v>
      </c>
      <c r="R717">
        <v>2023</v>
      </c>
      <c r="S717">
        <v>10</v>
      </c>
      <c r="T717">
        <v>13</v>
      </c>
      <c r="U717">
        <v>12</v>
      </c>
      <c r="Y717" s="4">
        <f t="shared" si="83"/>
        <v>12</v>
      </c>
    </row>
    <row r="718" spans="1:25" ht="18" x14ac:dyDescent="0.25">
      <c r="A718" t="s">
        <v>2451</v>
      </c>
      <c r="B718" t="s">
        <v>2415</v>
      </c>
      <c r="C718" s="12" t="str">
        <f t="shared" si="77"/>
        <v>Neutral</v>
      </c>
      <c r="D718" s="18">
        <f t="shared" si="78"/>
        <v>0</v>
      </c>
      <c r="E718" s="1">
        <v>45213.729166666664</v>
      </c>
      <c r="F718" s="10">
        <f>INT(E718)</f>
        <v>45213</v>
      </c>
      <c r="G718" s="15">
        <f>MOD(E718,2)</f>
        <v>1.7291666666642413</v>
      </c>
      <c r="H718" s="15" t="str">
        <f t="shared" si="79"/>
        <v>17:30</v>
      </c>
      <c r="I718" t="s">
        <v>2452</v>
      </c>
      <c r="J718" t="s">
        <v>31</v>
      </c>
      <c r="K718" t="str">
        <f t="shared" si="80"/>
        <v>Facebook</v>
      </c>
      <c r="L718" t="s">
        <v>2453</v>
      </c>
      <c r="M718">
        <v>18</v>
      </c>
      <c r="N718">
        <v>35</v>
      </c>
      <c r="O718">
        <f t="shared" si="81"/>
        <v>53</v>
      </c>
      <c r="P718" t="s">
        <v>2035</v>
      </c>
      <c r="Q718" t="str">
        <f t="shared" si="82"/>
        <v>USA</v>
      </c>
      <c r="R718">
        <v>2023</v>
      </c>
      <c r="S718">
        <v>10</v>
      </c>
      <c r="T718">
        <v>14</v>
      </c>
      <c r="U718">
        <v>17</v>
      </c>
      <c r="Y718" s="4">
        <f t="shared" si="83"/>
        <v>17</v>
      </c>
    </row>
    <row r="719" spans="1:25" ht="18" x14ac:dyDescent="0.25">
      <c r="A719" t="s">
        <v>2454</v>
      </c>
      <c r="B719" t="s">
        <v>2415</v>
      </c>
      <c r="C719" s="12" t="str">
        <f t="shared" si="77"/>
        <v>Neutral</v>
      </c>
      <c r="D719" s="18">
        <f t="shared" si="78"/>
        <v>0</v>
      </c>
      <c r="E719" s="1">
        <v>45214.864583333336</v>
      </c>
      <c r="F719" s="10">
        <f>INT(E719)</f>
        <v>45214</v>
      </c>
      <c r="G719" s="15">
        <f>MOD(E719,2)</f>
        <v>0.86458333333575865</v>
      </c>
      <c r="H719" s="15" t="str">
        <f t="shared" si="79"/>
        <v>20:45</v>
      </c>
      <c r="I719" t="s">
        <v>2455</v>
      </c>
      <c r="J719" t="s">
        <v>874</v>
      </c>
      <c r="K719" t="str">
        <f t="shared" si="80"/>
        <v>Twitter</v>
      </c>
      <c r="L719" t="s">
        <v>2456</v>
      </c>
      <c r="M719">
        <v>22</v>
      </c>
      <c r="N719">
        <v>43</v>
      </c>
      <c r="O719">
        <f t="shared" si="81"/>
        <v>65</v>
      </c>
      <c r="P719" t="s">
        <v>2040</v>
      </c>
      <c r="Q719" t="str">
        <f t="shared" si="82"/>
        <v>Canada</v>
      </c>
      <c r="R719">
        <v>2023</v>
      </c>
      <c r="S719">
        <v>10</v>
      </c>
      <c r="T719">
        <v>15</v>
      </c>
      <c r="U719">
        <v>20</v>
      </c>
      <c r="Y719" s="4">
        <f t="shared" si="83"/>
        <v>20</v>
      </c>
    </row>
    <row r="720" spans="1:25" ht="18" x14ac:dyDescent="0.25">
      <c r="A720" t="s">
        <v>2457</v>
      </c>
      <c r="B720" t="s">
        <v>2458</v>
      </c>
      <c r="C720" s="12" t="str">
        <f t="shared" si="77"/>
        <v>Positive</v>
      </c>
      <c r="D720" s="18">
        <f t="shared" si="78"/>
        <v>1</v>
      </c>
      <c r="E720" s="1">
        <v>45215.65625</v>
      </c>
      <c r="F720" s="10">
        <f>INT(E720)</f>
        <v>45215</v>
      </c>
      <c r="G720" s="15">
        <f>MOD(E720,2)</f>
        <v>1.65625</v>
      </c>
      <c r="H720" s="15" t="str">
        <f t="shared" si="79"/>
        <v>15:45</v>
      </c>
      <c r="I720" t="s">
        <v>2459</v>
      </c>
      <c r="J720" t="s">
        <v>26</v>
      </c>
      <c r="K720" t="str">
        <f t="shared" si="80"/>
        <v>Instagram</v>
      </c>
      <c r="L720" t="s">
        <v>2460</v>
      </c>
      <c r="M720">
        <v>27</v>
      </c>
      <c r="N720">
        <v>52</v>
      </c>
      <c r="O720">
        <f t="shared" si="81"/>
        <v>79</v>
      </c>
      <c r="P720" t="s">
        <v>2044</v>
      </c>
      <c r="Q720" t="str">
        <f t="shared" si="82"/>
        <v>UK</v>
      </c>
      <c r="R720">
        <v>2023</v>
      </c>
      <c r="S720">
        <v>10</v>
      </c>
      <c r="T720">
        <v>16</v>
      </c>
      <c r="U720">
        <v>15</v>
      </c>
      <c r="Y720" s="4">
        <f t="shared" si="83"/>
        <v>15</v>
      </c>
    </row>
    <row r="721" spans="1:25" ht="18" x14ac:dyDescent="0.25">
      <c r="A721" t="s">
        <v>2461</v>
      </c>
      <c r="B721" t="s">
        <v>2458</v>
      </c>
      <c r="C721" s="12" t="str">
        <f t="shared" si="77"/>
        <v>Positive</v>
      </c>
      <c r="D721" s="18">
        <f t="shared" si="78"/>
        <v>1</v>
      </c>
      <c r="E721" s="1">
        <v>45216.520833333336</v>
      </c>
      <c r="F721" s="10">
        <f>INT(E721)</f>
        <v>45216</v>
      </c>
      <c r="G721" s="15">
        <f>MOD(E721,2)</f>
        <v>0.52083333333575865</v>
      </c>
      <c r="H721" s="15" t="str">
        <f t="shared" si="79"/>
        <v>12:30</v>
      </c>
      <c r="I721" t="s">
        <v>2462</v>
      </c>
      <c r="J721" t="s">
        <v>874</v>
      </c>
      <c r="K721" t="str">
        <f t="shared" si="80"/>
        <v>Twitter</v>
      </c>
      <c r="L721" t="s">
        <v>2463</v>
      </c>
      <c r="M721">
        <v>24</v>
      </c>
      <c r="N721">
        <v>48</v>
      </c>
      <c r="O721">
        <f t="shared" si="81"/>
        <v>72</v>
      </c>
      <c r="P721" t="s">
        <v>2035</v>
      </c>
      <c r="Q721" t="str">
        <f t="shared" si="82"/>
        <v>USA</v>
      </c>
      <c r="R721">
        <v>2023</v>
      </c>
      <c r="S721">
        <v>10</v>
      </c>
      <c r="T721">
        <v>17</v>
      </c>
      <c r="U721">
        <v>12</v>
      </c>
      <c r="Y721" s="4">
        <f t="shared" si="83"/>
        <v>12</v>
      </c>
    </row>
    <row r="722" spans="1:25" ht="18" x14ac:dyDescent="0.25">
      <c r="A722" t="s">
        <v>2464</v>
      </c>
      <c r="B722" t="s">
        <v>2458</v>
      </c>
      <c r="C722" s="12" t="str">
        <f t="shared" si="77"/>
        <v>Positive</v>
      </c>
      <c r="D722" s="18">
        <f t="shared" si="78"/>
        <v>1</v>
      </c>
      <c r="E722" s="1">
        <v>45217.697916666664</v>
      </c>
      <c r="F722" s="10">
        <f>INT(E722)</f>
        <v>45217</v>
      </c>
      <c r="G722" s="15">
        <f>MOD(E722,2)</f>
        <v>1.6979166666642413</v>
      </c>
      <c r="H722" s="15" t="str">
        <f t="shared" si="79"/>
        <v>16:45</v>
      </c>
      <c r="I722" t="s">
        <v>2465</v>
      </c>
      <c r="J722" t="s">
        <v>31</v>
      </c>
      <c r="K722" t="str">
        <f t="shared" si="80"/>
        <v>Facebook</v>
      </c>
      <c r="L722" t="s">
        <v>2466</v>
      </c>
      <c r="M722">
        <v>19</v>
      </c>
      <c r="N722">
        <v>38</v>
      </c>
      <c r="O722">
        <f t="shared" si="81"/>
        <v>57</v>
      </c>
      <c r="P722" t="s">
        <v>2040</v>
      </c>
      <c r="Q722" t="str">
        <f t="shared" si="82"/>
        <v>Canada</v>
      </c>
      <c r="R722">
        <v>2023</v>
      </c>
      <c r="S722">
        <v>10</v>
      </c>
      <c r="T722">
        <v>18</v>
      </c>
      <c r="U722">
        <v>16</v>
      </c>
      <c r="Y722" s="4">
        <f t="shared" si="83"/>
        <v>16</v>
      </c>
    </row>
    <row r="723" spans="1:25" ht="18" x14ac:dyDescent="0.25">
      <c r="A723" t="s">
        <v>2467</v>
      </c>
      <c r="B723" t="s">
        <v>2458</v>
      </c>
      <c r="C723" s="12" t="str">
        <f t="shared" si="77"/>
        <v>Positive</v>
      </c>
      <c r="D723" s="18">
        <f t="shared" si="78"/>
        <v>1</v>
      </c>
      <c r="E723" s="1">
        <v>45218.763888888891</v>
      </c>
      <c r="F723" s="10">
        <f>INT(E723)</f>
        <v>45218</v>
      </c>
      <c r="G723" s="15">
        <f>MOD(E723,2)</f>
        <v>0.76388888889050577</v>
      </c>
      <c r="H723" s="15" t="str">
        <f t="shared" si="79"/>
        <v>18:20</v>
      </c>
      <c r="I723" t="s">
        <v>2468</v>
      </c>
      <c r="J723" t="s">
        <v>26</v>
      </c>
      <c r="K723" t="str">
        <f t="shared" si="80"/>
        <v>Instagram</v>
      </c>
      <c r="L723" t="s">
        <v>2469</v>
      </c>
      <c r="M723">
        <v>21</v>
      </c>
      <c r="N723">
        <v>42</v>
      </c>
      <c r="O723">
        <f t="shared" si="81"/>
        <v>63</v>
      </c>
      <c r="P723" t="s">
        <v>2044</v>
      </c>
      <c r="Q723" t="str">
        <f t="shared" si="82"/>
        <v>UK</v>
      </c>
      <c r="R723">
        <v>2023</v>
      </c>
      <c r="S723">
        <v>10</v>
      </c>
      <c r="T723">
        <v>19</v>
      </c>
      <c r="U723">
        <v>18</v>
      </c>
      <c r="Y723" s="4">
        <f t="shared" si="83"/>
        <v>18</v>
      </c>
    </row>
    <row r="724" spans="1:25" ht="18" x14ac:dyDescent="0.25">
      <c r="A724" t="s">
        <v>2470</v>
      </c>
      <c r="B724" t="s">
        <v>2458</v>
      </c>
      <c r="C724" s="12" t="str">
        <f t="shared" si="77"/>
        <v>Positive</v>
      </c>
      <c r="D724" s="18">
        <f t="shared" si="78"/>
        <v>1</v>
      </c>
      <c r="E724" s="1">
        <v>45219.59375</v>
      </c>
      <c r="F724" s="10">
        <f>INT(E724)</f>
        <v>45219</v>
      </c>
      <c r="G724" s="15">
        <f>MOD(E724,2)</f>
        <v>1.59375</v>
      </c>
      <c r="H724" s="15" t="str">
        <f t="shared" si="79"/>
        <v>14:15</v>
      </c>
      <c r="I724" t="s">
        <v>2471</v>
      </c>
      <c r="J724" t="s">
        <v>874</v>
      </c>
      <c r="K724" t="str">
        <f t="shared" si="80"/>
        <v>Twitter</v>
      </c>
      <c r="L724" t="s">
        <v>2472</v>
      </c>
      <c r="M724">
        <v>26</v>
      </c>
      <c r="N724">
        <v>50</v>
      </c>
      <c r="O724">
        <f t="shared" si="81"/>
        <v>76</v>
      </c>
      <c r="P724" t="s">
        <v>2035</v>
      </c>
      <c r="Q724" t="str">
        <f t="shared" si="82"/>
        <v>USA</v>
      </c>
      <c r="R724">
        <v>2023</v>
      </c>
      <c r="S724">
        <v>10</v>
      </c>
      <c r="T724">
        <v>20</v>
      </c>
      <c r="U724">
        <v>14</v>
      </c>
      <c r="Y724" s="4">
        <f t="shared" si="83"/>
        <v>14</v>
      </c>
    </row>
    <row r="725" spans="1:25" ht="18" x14ac:dyDescent="0.25">
      <c r="A725" t="s">
        <v>2473</v>
      </c>
      <c r="B725" t="s">
        <v>2458</v>
      </c>
      <c r="C725" s="12" t="str">
        <f t="shared" si="77"/>
        <v>Positive</v>
      </c>
      <c r="D725" s="18">
        <f t="shared" si="78"/>
        <v>1</v>
      </c>
      <c r="E725" s="1">
        <v>45220.729166666664</v>
      </c>
      <c r="F725" s="10">
        <f>INT(E725)</f>
        <v>45220</v>
      </c>
      <c r="G725" s="15">
        <f>MOD(E725,2)</f>
        <v>0.72916666666424135</v>
      </c>
      <c r="H725" s="15" t="str">
        <f t="shared" si="79"/>
        <v>17:30</v>
      </c>
      <c r="I725" t="s">
        <v>2474</v>
      </c>
      <c r="J725" t="s">
        <v>31</v>
      </c>
      <c r="K725" t="str">
        <f t="shared" si="80"/>
        <v>Facebook</v>
      </c>
      <c r="L725" t="s">
        <v>2475</v>
      </c>
      <c r="M725">
        <v>23</v>
      </c>
      <c r="N725">
        <v>45</v>
      </c>
      <c r="O725">
        <f t="shared" si="81"/>
        <v>68</v>
      </c>
      <c r="P725" t="s">
        <v>2040</v>
      </c>
      <c r="Q725" t="str">
        <f t="shared" si="82"/>
        <v>Canada</v>
      </c>
      <c r="R725">
        <v>2023</v>
      </c>
      <c r="S725">
        <v>10</v>
      </c>
      <c r="T725">
        <v>21</v>
      </c>
      <c r="U725">
        <v>17</v>
      </c>
      <c r="Y725" s="4">
        <f t="shared" si="83"/>
        <v>17</v>
      </c>
    </row>
    <row r="726" spans="1:25" ht="18" x14ac:dyDescent="0.25">
      <c r="A726" t="s">
        <v>2476</v>
      </c>
      <c r="B726" t="s">
        <v>2458</v>
      </c>
      <c r="C726" s="12" t="str">
        <f t="shared" si="77"/>
        <v>Positive</v>
      </c>
      <c r="D726" s="18">
        <f t="shared" si="78"/>
        <v>1</v>
      </c>
      <c r="E726" s="1">
        <v>45221.864583333336</v>
      </c>
      <c r="F726" s="10">
        <f>INT(E726)</f>
        <v>45221</v>
      </c>
      <c r="G726" s="15">
        <f>MOD(E726,2)</f>
        <v>1.8645833333357587</v>
      </c>
      <c r="H726" s="15" t="str">
        <f t="shared" si="79"/>
        <v>20:45</v>
      </c>
      <c r="I726" t="s">
        <v>2477</v>
      </c>
      <c r="J726" t="s">
        <v>26</v>
      </c>
      <c r="K726" t="str">
        <f t="shared" si="80"/>
        <v>Instagram</v>
      </c>
      <c r="L726" t="s">
        <v>2478</v>
      </c>
      <c r="M726">
        <v>22</v>
      </c>
      <c r="N726">
        <v>43</v>
      </c>
      <c r="O726">
        <f t="shared" si="81"/>
        <v>65</v>
      </c>
      <c r="P726" t="s">
        <v>2044</v>
      </c>
      <c r="Q726" t="str">
        <f t="shared" si="82"/>
        <v>UK</v>
      </c>
      <c r="R726">
        <v>2023</v>
      </c>
      <c r="S726">
        <v>10</v>
      </c>
      <c r="T726">
        <v>22</v>
      </c>
      <c r="U726">
        <v>20</v>
      </c>
      <c r="Y726" s="4">
        <f t="shared" si="83"/>
        <v>20</v>
      </c>
    </row>
    <row r="727" spans="1:25" ht="18" x14ac:dyDescent="0.25">
      <c r="A727" t="s">
        <v>2479</v>
      </c>
      <c r="B727" t="s">
        <v>2458</v>
      </c>
      <c r="C727" s="12" t="str">
        <f t="shared" si="77"/>
        <v>Positive</v>
      </c>
      <c r="D727" s="18">
        <f t="shared" si="78"/>
        <v>1</v>
      </c>
      <c r="E727" s="1">
        <v>42318.697916666664</v>
      </c>
      <c r="F727" s="10">
        <f>INT(E727)</f>
        <v>42318</v>
      </c>
      <c r="G727" s="15">
        <f>MOD(E727,2)</f>
        <v>0.69791666666424135</v>
      </c>
      <c r="H727" s="15" t="str">
        <f t="shared" si="79"/>
        <v>16:45</v>
      </c>
      <c r="I727" t="s">
        <v>2480</v>
      </c>
      <c r="J727" t="s">
        <v>26</v>
      </c>
      <c r="K727" t="str">
        <f t="shared" si="80"/>
        <v>Instagram</v>
      </c>
      <c r="L727" t="s">
        <v>2481</v>
      </c>
      <c r="M727">
        <v>23</v>
      </c>
      <c r="N727">
        <v>44</v>
      </c>
      <c r="O727">
        <f t="shared" si="81"/>
        <v>67</v>
      </c>
      <c r="P727" t="s">
        <v>2035</v>
      </c>
      <c r="Q727" t="str">
        <f t="shared" si="82"/>
        <v>USA</v>
      </c>
      <c r="R727">
        <v>2015</v>
      </c>
      <c r="S727">
        <v>11</v>
      </c>
      <c r="T727">
        <v>10</v>
      </c>
      <c r="U727">
        <v>16</v>
      </c>
      <c r="Y727" s="4">
        <f t="shared" si="83"/>
        <v>16</v>
      </c>
    </row>
    <row r="728" spans="1:25" ht="18" x14ac:dyDescent="0.25">
      <c r="A728" t="s">
        <v>2482</v>
      </c>
      <c r="B728" t="s">
        <v>2458</v>
      </c>
      <c r="C728" s="12" t="str">
        <f t="shared" si="77"/>
        <v>Positive</v>
      </c>
      <c r="D728" s="18">
        <f t="shared" si="78"/>
        <v>1</v>
      </c>
      <c r="E728" s="1">
        <v>42627.520833333336</v>
      </c>
      <c r="F728" s="10">
        <f>INT(E728)</f>
        <v>42627</v>
      </c>
      <c r="G728" s="15">
        <f>MOD(E728,2)</f>
        <v>1.5208333333357587</v>
      </c>
      <c r="H728" s="15" t="str">
        <f t="shared" si="79"/>
        <v>12:30</v>
      </c>
      <c r="I728" t="s">
        <v>2483</v>
      </c>
      <c r="J728" t="s">
        <v>874</v>
      </c>
      <c r="K728" t="str">
        <f t="shared" si="80"/>
        <v>Twitter</v>
      </c>
      <c r="L728" t="s">
        <v>2484</v>
      </c>
      <c r="M728">
        <v>26</v>
      </c>
      <c r="N728">
        <v>51</v>
      </c>
      <c r="O728">
        <f t="shared" si="81"/>
        <v>77</v>
      </c>
      <c r="P728" t="s">
        <v>2040</v>
      </c>
      <c r="Q728" t="str">
        <f t="shared" si="82"/>
        <v>Canada</v>
      </c>
      <c r="R728">
        <v>2016</v>
      </c>
      <c r="S728">
        <v>9</v>
      </c>
      <c r="T728">
        <v>14</v>
      </c>
      <c r="U728">
        <v>12</v>
      </c>
      <c r="Y728" s="4">
        <f t="shared" si="83"/>
        <v>12</v>
      </c>
    </row>
    <row r="729" spans="1:25" ht="18" x14ac:dyDescent="0.25">
      <c r="A729" t="s">
        <v>2485</v>
      </c>
      <c r="B729" t="s">
        <v>2458</v>
      </c>
      <c r="C729" s="12" t="str">
        <f t="shared" si="77"/>
        <v>Positive</v>
      </c>
      <c r="D729" s="18">
        <f t="shared" si="78"/>
        <v>1</v>
      </c>
      <c r="E729" s="1">
        <v>42965.763888888891</v>
      </c>
      <c r="F729" s="10">
        <f>INT(E729)</f>
        <v>42965</v>
      </c>
      <c r="G729" s="15">
        <f>MOD(E729,2)</f>
        <v>1.7638888888905058</v>
      </c>
      <c r="H729" s="15" t="str">
        <f t="shared" si="79"/>
        <v>18:20</v>
      </c>
      <c r="I729" t="s">
        <v>2486</v>
      </c>
      <c r="J729" t="s">
        <v>31</v>
      </c>
      <c r="K729" t="str">
        <f t="shared" si="80"/>
        <v>Facebook</v>
      </c>
      <c r="L729" t="s">
        <v>2487</v>
      </c>
      <c r="M729">
        <v>20</v>
      </c>
      <c r="N729">
        <v>39</v>
      </c>
      <c r="O729">
        <f t="shared" si="81"/>
        <v>59</v>
      </c>
      <c r="P729" t="s">
        <v>2044</v>
      </c>
      <c r="Q729" t="str">
        <f t="shared" si="82"/>
        <v>UK</v>
      </c>
      <c r="R729">
        <v>2017</v>
      </c>
      <c r="S729">
        <v>8</v>
      </c>
      <c r="T729">
        <v>18</v>
      </c>
      <c r="U729">
        <v>18</v>
      </c>
      <c r="Y729" s="4">
        <f t="shared" si="83"/>
        <v>18</v>
      </c>
    </row>
    <row r="730" spans="1:25" ht="18" x14ac:dyDescent="0.25">
      <c r="A730" t="s">
        <v>2488</v>
      </c>
      <c r="B730" t="s">
        <v>2458</v>
      </c>
      <c r="C730" s="12" t="str">
        <f t="shared" si="77"/>
        <v>Positive</v>
      </c>
      <c r="D730" s="18">
        <f t="shared" si="78"/>
        <v>1</v>
      </c>
      <c r="E730" s="1">
        <v>43273.59375</v>
      </c>
      <c r="F730" s="10">
        <f>INT(E730)</f>
        <v>43273</v>
      </c>
      <c r="G730" s="15">
        <f>MOD(E730,2)</f>
        <v>1.59375</v>
      </c>
      <c r="H730" s="15" t="str">
        <f t="shared" si="79"/>
        <v>14:15</v>
      </c>
      <c r="I730" t="s">
        <v>2489</v>
      </c>
      <c r="J730" t="s">
        <v>26</v>
      </c>
      <c r="K730" t="str">
        <f t="shared" si="80"/>
        <v>Instagram</v>
      </c>
      <c r="L730" t="s">
        <v>2490</v>
      </c>
      <c r="M730">
        <v>25</v>
      </c>
      <c r="N730">
        <v>48</v>
      </c>
      <c r="O730">
        <f t="shared" si="81"/>
        <v>73</v>
      </c>
      <c r="P730" t="s">
        <v>2035</v>
      </c>
      <c r="Q730" t="str">
        <f t="shared" si="82"/>
        <v>USA</v>
      </c>
      <c r="R730">
        <v>2018</v>
      </c>
      <c r="S730">
        <v>6</v>
      </c>
      <c r="T730">
        <v>22</v>
      </c>
      <c r="U730">
        <v>14</v>
      </c>
      <c r="Y730" s="4">
        <f t="shared" si="83"/>
        <v>14</v>
      </c>
    </row>
    <row r="731" spans="1:25" ht="18" x14ac:dyDescent="0.25">
      <c r="A731" t="s">
        <v>2491</v>
      </c>
      <c r="B731" t="s">
        <v>2458</v>
      </c>
      <c r="C731" s="12" t="str">
        <f t="shared" si="77"/>
        <v>Positive</v>
      </c>
      <c r="D731" s="18">
        <f t="shared" si="78"/>
        <v>1</v>
      </c>
      <c r="E731" s="1">
        <v>43560.729166666664</v>
      </c>
      <c r="F731" s="10">
        <f>INT(E731)</f>
        <v>43560</v>
      </c>
      <c r="G731" s="15">
        <f>MOD(E731,2)</f>
        <v>0.72916666666424135</v>
      </c>
      <c r="H731" s="15" t="str">
        <f t="shared" si="79"/>
        <v>17:30</v>
      </c>
      <c r="I731" t="s">
        <v>2492</v>
      </c>
      <c r="J731" t="s">
        <v>874</v>
      </c>
      <c r="K731" t="str">
        <f t="shared" si="80"/>
        <v>Twitter</v>
      </c>
      <c r="L731" t="s">
        <v>2493</v>
      </c>
      <c r="M731">
        <v>22</v>
      </c>
      <c r="N731">
        <v>42</v>
      </c>
      <c r="O731">
        <f t="shared" si="81"/>
        <v>64</v>
      </c>
      <c r="P731" t="s">
        <v>2040</v>
      </c>
      <c r="Q731" t="str">
        <f t="shared" si="82"/>
        <v>Canada</v>
      </c>
      <c r="R731">
        <v>2019</v>
      </c>
      <c r="S731">
        <v>4</v>
      </c>
      <c r="T731">
        <v>5</v>
      </c>
      <c r="U731">
        <v>17</v>
      </c>
      <c r="Y731" s="4">
        <f t="shared" si="83"/>
        <v>17</v>
      </c>
    </row>
    <row r="732" spans="1:25" ht="18" x14ac:dyDescent="0.25">
      <c r="A732" t="s">
        <v>2494</v>
      </c>
      <c r="B732" t="s">
        <v>2458</v>
      </c>
      <c r="C732" s="12" t="str">
        <f t="shared" si="77"/>
        <v>Positive</v>
      </c>
      <c r="D732" s="18">
        <f t="shared" si="78"/>
        <v>1</v>
      </c>
      <c r="E732" s="1">
        <v>43890.864583333336</v>
      </c>
      <c r="F732" s="10">
        <f>INT(E732)</f>
        <v>43890</v>
      </c>
      <c r="G732" s="15">
        <f>MOD(E732,2)</f>
        <v>0.86458333333575865</v>
      </c>
      <c r="H732" s="15" t="str">
        <f t="shared" si="79"/>
        <v>20:45</v>
      </c>
      <c r="I732" t="s">
        <v>2495</v>
      </c>
      <c r="J732" t="s">
        <v>31</v>
      </c>
      <c r="K732" t="str">
        <f t="shared" si="80"/>
        <v>Facebook</v>
      </c>
      <c r="L732" t="s">
        <v>2496</v>
      </c>
      <c r="M732">
        <v>21</v>
      </c>
      <c r="N732">
        <v>43</v>
      </c>
      <c r="O732">
        <f t="shared" si="81"/>
        <v>64</v>
      </c>
      <c r="P732" t="s">
        <v>2044</v>
      </c>
      <c r="Q732" t="str">
        <f t="shared" si="82"/>
        <v>UK</v>
      </c>
      <c r="R732">
        <v>2020</v>
      </c>
      <c r="S732">
        <v>2</v>
      </c>
      <c r="T732">
        <v>29</v>
      </c>
      <c r="U732">
        <v>20</v>
      </c>
      <c r="Y732" s="4">
        <f t="shared" si="83"/>
        <v>20</v>
      </c>
    </row>
    <row r="733" spans="1:25" ht="18" x14ac:dyDescent="0.25">
      <c r="A733" t="s">
        <v>2497</v>
      </c>
      <c r="B733" t="s">
        <v>2458</v>
      </c>
      <c r="C733" s="12" t="str">
        <f t="shared" si="77"/>
        <v>Positive</v>
      </c>
      <c r="D733" s="18">
        <f t="shared" si="78"/>
        <v>1</v>
      </c>
      <c r="E733" s="1">
        <v>44150.635416666664</v>
      </c>
      <c r="F733" s="10">
        <f>INT(E733)</f>
        <v>44150</v>
      </c>
      <c r="G733" s="15">
        <f>MOD(E733,2)</f>
        <v>0.63541666666424135</v>
      </c>
      <c r="H733" s="15" t="str">
        <f t="shared" si="79"/>
        <v>15:15</v>
      </c>
      <c r="I733" t="s">
        <v>2498</v>
      </c>
      <c r="J733" t="s">
        <v>26</v>
      </c>
      <c r="K733" t="str">
        <f t="shared" si="80"/>
        <v>Instagram</v>
      </c>
      <c r="L733" t="s">
        <v>2499</v>
      </c>
      <c r="M733">
        <v>24</v>
      </c>
      <c r="N733">
        <v>47</v>
      </c>
      <c r="O733">
        <f t="shared" si="81"/>
        <v>71</v>
      </c>
      <c r="P733" t="s">
        <v>2035</v>
      </c>
      <c r="Q733" t="str">
        <f t="shared" si="82"/>
        <v>USA</v>
      </c>
      <c r="R733">
        <v>2020</v>
      </c>
      <c r="S733">
        <v>11</v>
      </c>
      <c r="T733">
        <v>15</v>
      </c>
      <c r="U733">
        <v>15</v>
      </c>
      <c r="Y733" s="4">
        <f t="shared" si="83"/>
        <v>15</v>
      </c>
    </row>
  </sheetData>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88EE8-70F5-9A4C-A28C-EE6BF23F5DA3}">
  <sheetPr codeName="Sheet2"/>
  <dimension ref="A4:AW186"/>
  <sheetViews>
    <sheetView zoomScale="60" zoomScaleNormal="50" workbookViewId="0">
      <selection activeCell="AC64" sqref="AC64"/>
    </sheetView>
  </sheetViews>
  <sheetFormatPr baseColWidth="10" defaultRowHeight="16" x14ac:dyDescent="0.2"/>
  <cols>
    <col min="2" max="2" width="19.1640625" customWidth="1"/>
    <col min="7" max="7" width="17.33203125" bestFit="1" customWidth="1"/>
    <col min="8" max="8" width="17.6640625" bestFit="1" customWidth="1"/>
    <col min="9" max="9" width="7.33203125" bestFit="1" customWidth="1"/>
    <col min="10" max="10" width="8" bestFit="1" customWidth="1"/>
    <col min="11" max="11" width="10.5" bestFit="1" customWidth="1"/>
    <col min="12" max="14" width="10.5" customWidth="1"/>
    <col min="15" max="15" width="27.83203125" bestFit="1" customWidth="1"/>
    <col min="16" max="16" width="19.1640625" bestFit="1" customWidth="1"/>
    <col min="17" max="17" width="7.83203125" bestFit="1" customWidth="1"/>
    <col min="18" max="18" width="8.5" bestFit="1" customWidth="1"/>
    <col min="19" max="19" width="11.1640625" bestFit="1" customWidth="1"/>
    <col min="20" max="20" width="5.83203125" bestFit="1" customWidth="1"/>
    <col min="21" max="21" width="6.5" bestFit="1" customWidth="1"/>
    <col min="22" max="22" width="6.1640625" bestFit="1" customWidth="1"/>
    <col min="23" max="23" width="7.1640625" bestFit="1" customWidth="1"/>
    <col min="24" max="24" width="9.1640625" bestFit="1" customWidth="1"/>
    <col min="25" max="25" width="5.5" bestFit="1" customWidth="1"/>
    <col min="26" max="26" width="11.5" bestFit="1" customWidth="1"/>
    <col min="27" max="27" width="6.1640625" bestFit="1" customWidth="1"/>
    <col min="28" max="28" width="7.5" bestFit="1" customWidth="1"/>
    <col min="29" max="29" width="11.83203125" bestFit="1" customWidth="1"/>
    <col min="30" max="30" width="11.5" bestFit="1" customWidth="1"/>
    <col min="31" max="31" width="8.5" bestFit="1" customWidth="1"/>
    <col min="32" max="32" width="7.83203125" bestFit="1" customWidth="1"/>
    <col min="33" max="33" width="8.5" bestFit="1" customWidth="1"/>
    <col min="34" max="34" width="7.5" bestFit="1" customWidth="1"/>
    <col min="35" max="35" width="9.1640625" bestFit="1" customWidth="1"/>
    <col min="36" max="36" width="14.5" bestFit="1" customWidth="1"/>
    <col min="37" max="37" width="8.83203125" bestFit="1" customWidth="1"/>
    <col min="38" max="38" width="6.83203125" bestFit="1" customWidth="1"/>
    <col min="39" max="39" width="8.5" bestFit="1" customWidth="1"/>
    <col min="40" max="40" width="5.1640625" bestFit="1" customWidth="1"/>
    <col min="41" max="41" width="9.83203125" bestFit="1" customWidth="1"/>
    <col min="42" max="42" width="7.5" bestFit="1" customWidth="1"/>
    <col min="43" max="43" width="8.83203125" bestFit="1" customWidth="1"/>
    <col min="44" max="44" width="7.83203125" bestFit="1" customWidth="1"/>
    <col min="45" max="45" width="9.1640625" bestFit="1" customWidth="1"/>
    <col min="46" max="46" width="6.5" bestFit="1" customWidth="1"/>
    <col min="47" max="47" width="10.1640625" bestFit="1" customWidth="1"/>
    <col min="48" max="48" width="6.5" bestFit="1" customWidth="1"/>
    <col min="49" max="49" width="11.1640625" bestFit="1" customWidth="1"/>
    <col min="50" max="50" width="8" bestFit="1" customWidth="1"/>
    <col min="51" max="51" width="11.1640625" bestFit="1" customWidth="1"/>
    <col min="52" max="52" width="9.6640625" bestFit="1" customWidth="1"/>
    <col min="53" max="53" width="11.1640625" bestFit="1" customWidth="1"/>
    <col min="54" max="54" width="9.6640625" bestFit="1" customWidth="1"/>
    <col min="55" max="55" width="10" bestFit="1" customWidth="1"/>
    <col min="56" max="56" width="11.1640625" bestFit="1" customWidth="1"/>
    <col min="57" max="57" width="10" bestFit="1" customWidth="1"/>
    <col min="58" max="58" width="11.1640625" bestFit="1" customWidth="1"/>
    <col min="59" max="59" width="8" bestFit="1" customWidth="1"/>
    <col min="60" max="60" width="11.1640625" bestFit="1" customWidth="1"/>
    <col min="61" max="61" width="9.6640625" bestFit="1" customWidth="1"/>
    <col min="62" max="62" width="11.1640625" bestFit="1" customWidth="1"/>
    <col min="63" max="63" width="10" bestFit="1" customWidth="1"/>
    <col min="64" max="64" width="7.5" bestFit="1" customWidth="1"/>
    <col min="65" max="65" width="11.1640625" bestFit="1" customWidth="1"/>
    <col min="66" max="66" width="8" bestFit="1" customWidth="1"/>
    <col min="67" max="67" width="11.1640625" bestFit="1" customWidth="1"/>
    <col min="68" max="68" width="10" bestFit="1" customWidth="1"/>
    <col min="69" max="69" width="7.5" bestFit="1" customWidth="1"/>
    <col min="70" max="70" width="11.1640625" bestFit="1" customWidth="1"/>
    <col min="71" max="71" width="8" bestFit="1" customWidth="1"/>
    <col min="72" max="72" width="11.1640625" bestFit="1" customWidth="1"/>
    <col min="73" max="73" width="10" bestFit="1" customWidth="1"/>
    <col min="74" max="74" width="7.5" bestFit="1" customWidth="1"/>
    <col min="75" max="75" width="11.1640625" bestFit="1" customWidth="1"/>
    <col min="76" max="76" width="9.6640625" bestFit="1" customWidth="1"/>
    <col min="77" max="77" width="7.5" bestFit="1" customWidth="1"/>
    <col min="78" max="78" width="11.1640625" bestFit="1" customWidth="1"/>
    <col min="79" max="79" width="9.6640625" bestFit="1" customWidth="1"/>
    <col min="80" max="80" width="11.1640625" bestFit="1" customWidth="1"/>
    <col min="81" max="81" width="10" bestFit="1" customWidth="1"/>
    <col min="82" max="82" width="11.1640625" bestFit="1" customWidth="1"/>
    <col min="83" max="83" width="8" bestFit="1" customWidth="1"/>
    <col min="84" max="84" width="11.1640625" bestFit="1" customWidth="1"/>
    <col min="85" max="85" width="8" bestFit="1" customWidth="1"/>
    <col min="86" max="86" width="11.1640625" bestFit="1" customWidth="1"/>
    <col min="87" max="87" width="8" bestFit="1" customWidth="1"/>
    <col min="88" max="88" width="11.1640625" bestFit="1" customWidth="1"/>
    <col min="89" max="89" width="10" bestFit="1" customWidth="1"/>
    <col min="90" max="90" width="7.5" bestFit="1" customWidth="1"/>
    <col min="91" max="91" width="11.1640625" bestFit="1" customWidth="1"/>
    <col min="92" max="92" width="9.6640625" bestFit="1" customWidth="1"/>
    <col min="93" max="93" width="10" bestFit="1" customWidth="1"/>
    <col min="94" max="94" width="11.1640625" bestFit="1" customWidth="1"/>
    <col min="95" max="95" width="9.6640625" bestFit="1" customWidth="1"/>
    <col min="96" max="96" width="10" bestFit="1" customWidth="1"/>
    <col min="97" max="97" width="7.5" bestFit="1" customWidth="1"/>
    <col min="98" max="98" width="11.1640625" bestFit="1" customWidth="1"/>
    <col min="99" max="99" width="9.6640625" bestFit="1" customWidth="1"/>
    <col min="100" max="100" width="10" bestFit="1" customWidth="1"/>
    <col min="101" max="101" width="7.5" bestFit="1" customWidth="1"/>
    <col min="102" max="102" width="11.1640625" bestFit="1" customWidth="1"/>
    <col min="103" max="103" width="10" bestFit="1" customWidth="1"/>
    <col min="104" max="104" width="7.5" bestFit="1" customWidth="1"/>
    <col min="105" max="105" width="11.1640625" bestFit="1" customWidth="1"/>
    <col min="106" max="106" width="9.6640625" bestFit="1" customWidth="1"/>
    <col min="107" max="107" width="11.1640625" bestFit="1" customWidth="1"/>
    <col min="108" max="108" width="10" bestFit="1" customWidth="1"/>
    <col min="109" max="109" width="7.5" bestFit="1" customWidth="1"/>
    <col min="110" max="110" width="11.1640625" bestFit="1" customWidth="1"/>
    <col min="111" max="111" width="9.6640625" bestFit="1" customWidth="1"/>
    <col min="112" max="112" width="11.1640625" bestFit="1" customWidth="1"/>
    <col min="113" max="113" width="10" bestFit="1" customWidth="1"/>
    <col min="114" max="114" width="11.1640625" bestFit="1" customWidth="1"/>
    <col min="115" max="115" width="9.6640625" bestFit="1" customWidth="1"/>
    <col min="116" max="116" width="10" bestFit="1" customWidth="1"/>
    <col min="117" max="117" width="11.1640625" bestFit="1" customWidth="1"/>
    <col min="118" max="118" width="10" bestFit="1" customWidth="1"/>
    <col min="119" max="119" width="11.1640625" bestFit="1" customWidth="1"/>
    <col min="120" max="120" width="8" bestFit="1" customWidth="1"/>
    <col min="121" max="121" width="11.1640625" bestFit="1" customWidth="1"/>
    <col min="122" max="122" width="9.6640625" bestFit="1" customWidth="1"/>
    <col min="123" max="123" width="10" bestFit="1" customWidth="1"/>
    <col min="124" max="124" width="11.1640625" bestFit="1" customWidth="1"/>
    <col min="125" max="125" width="8" bestFit="1" customWidth="1"/>
    <col min="126" max="126" width="11.1640625" bestFit="1" customWidth="1"/>
    <col min="127" max="127" width="8" bestFit="1" customWidth="1"/>
    <col min="128" max="128" width="11.1640625" bestFit="1" customWidth="1"/>
    <col min="129" max="129" width="9.6640625" bestFit="1" customWidth="1"/>
    <col min="130" max="130" width="10" bestFit="1" customWidth="1"/>
    <col min="131" max="131" width="11.1640625" bestFit="1" customWidth="1"/>
    <col min="132" max="132" width="9.6640625" bestFit="1" customWidth="1"/>
    <col min="133" max="133" width="11.1640625" bestFit="1" customWidth="1"/>
    <col min="134" max="134" width="9.6640625" bestFit="1" customWidth="1"/>
    <col min="135" max="135" width="7.5" bestFit="1" customWidth="1"/>
    <col min="136" max="136" width="11.1640625" bestFit="1" customWidth="1"/>
    <col min="137" max="137" width="8" bestFit="1" customWidth="1"/>
    <col min="138" max="138" width="11.1640625" bestFit="1" customWidth="1"/>
    <col min="139" max="139" width="9.6640625" bestFit="1" customWidth="1"/>
    <col min="140" max="140" width="10" bestFit="1" customWidth="1"/>
    <col min="141" max="141" width="7.5" bestFit="1" customWidth="1"/>
    <col min="142" max="142" width="11.1640625" bestFit="1" customWidth="1"/>
    <col min="143" max="143" width="9.6640625" bestFit="1" customWidth="1"/>
    <col min="144" max="144" width="11.1640625" bestFit="1" customWidth="1"/>
    <col min="145" max="145" width="10" bestFit="1" customWidth="1"/>
    <col min="146" max="146" width="11.1640625" bestFit="1" customWidth="1"/>
    <col min="147" max="147" width="9.6640625" bestFit="1" customWidth="1"/>
    <col min="148" max="148" width="10" bestFit="1" customWidth="1"/>
    <col min="149" max="149" width="7.5" bestFit="1" customWidth="1"/>
    <col min="150" max="150" width="11.1640625" bestFit="1" customWidth="1"/>
    <col min="151" max="151" width="9.6640625" bestFit="1" customWidth="1"/>
    <col min="152" max="152" width="10" bestFit="1" customWidth="1"/>
    <col min="153" max="153" width="7.5" bestFit="1" customWidth="1"/>
    <col min="154" max="154" width="11.1640625" bestFit="1" customWidth="1"/>
    <col min="155" max="155" width="9.6640625" bestFit="1" customWidth="1"/>
    <col min="156" max="156" width="10" bestFit="1" customWidth="1"/>
    <col min="157" max="157" width="7.5" bestFit="1" customWidth="1"/>
    <col min="158" max="158" width="11.1640625" bestFit="1" customWidth="1"/>
    <col min="159" max="159" width="10" bestFit="1" customWidth="1"/>
    <col min="160" max="160" width="11.1640625" bestFit="1" customWidth="1"/>
    <col min="161" max="161" width="8" bestFit="1" customWidth="1"/>
    <col min="162" max="162" width="11.1640625" bestFit="1" customWidth="1"/>
    <col min="163" max="163" width="9.6640625" bestFit="1" customWidth="1"/>
    <col min="164" max="164" width="11.1640625" bestFit="1" customWidth="1"/>
    <col min="165" max="165" width="9.6640625" bestFit="1" customWidth="1"/>
    <col min="166" max="166" width="10" bestFit="1" customWidth="1"/>
    <col min="167" max="167" width="11.1640625" bestFit="1" customWidth="1"/>
    <col min="168" max="168" width="9.6640625" bestFit="1" customWidth="1"/>
    <col min="169" max="169" width="11.1640625" bestFit="1" customWidth="1"/>
    <col min="170" max="170" width="8" bestFit="1" customWidth="1"/>
    <col min="171" max="171" width="11.1640625" bestFit="1" customWidth="1"/>
    <col min="172" max="172" width="9.6640625" bestFit="1" customWidth="1"/>
    <col min="173" max="173" width="11.1640625" bestFit="1" customWidth="1"/>
    <col min="174" max="174" width="10" bestFit="1" customWidth="1"/>
    <col min="175" max="175" width="11.1640625" bestFit="1" customWidth="1"/>
    <col min="176" max="176" width="9.6640625" bestFit="1" customWidth="1"/>
    <col min="177" max="177" width="7.5" bestFit="1" customWidth="1"/>
    <col min="178" max="178" width="11.1640625" bestFit="1" customWidth="1"/>
    <col min="179" max="179" width="9.6640625" bestFit="1" customWidth="1"/>
    <col min="180" max="180" width="10" bestFit="1" customWidth="1"/>
    <col min="181" max="181" width="7.5" bestFit="1" customWidth="1"/>
    <col min="182" max="182" width="11.1640625" bestFit="1" customWidth="1"/>
    <col min="183" max="183" width="8" bestFit="1" customWidth="1"/>
    <col min="184" max="184" width="11.1640625" bestFit="1" customWidth="1"/>
    <col min="185" max="185" width="8" bestFit="1" customWidth="1"/>
    <col min="186" max="186" width="11.1640625" bestFit="1" customWidth="1"/>
    <col min="187" max="187" width="11.33203125" bestFit="1" customWidth="1"/>
  </cols>
  <sheetData>
    <row r="4" spans="1:49" x14ac:dyDescent="0.2">
      <c r="G4" s="7" t="s">
        <v>2548</v>
      </c>
      <c r="H4" s="7" t="s">
        <v>2517</v>
      </c>
      <c r="O4" s="7" t="s">
        <v>2548</v>
      </c>
      <c r="P4" s="7" t="s">
        <v>2517</v>
      </c>
    </row>
    <row r="5" spans="1:49" x14ac:dyDescent="0.2">
      <c r="B5" s="8" t="s">
        <v>2501</v>
      </c>
      <c r="C5" s="8" t="s">
        <v>2502</v>
      </c>
      <c r="D5" s="8" t="s">
        <v>2500</v>
      </c>
      <c r="G5" s="7" t="s">
        <v>2509</v>
      </c>
      <c r="H5" t="s">
        <v>2501</v>
      </c>
      <c r="I5" t="s">
        <v>2502</v>
      </c>
      <c r="J5" t="s">
        <v>2500</v>
      </c>
      <c r="O5" s="7" t="s">
        <v>2509</v>
      </c>
      <c r="P5" t="s">
        <v>59</v>
      </c>
      <c r="Q5" t="s">
        <v>2504</v>
      </c>
      <c r="R5" t="s">
        <v>2503</v>
      </c>
      <c r="S5" t="s">
        <v>2505</v>
      </c>
      <c r="T5" t="s">
        <v>2506</v>
      </c>
      <c r="U5" t="s">
        <v>2522</v>
      </c>
      <c r="V5" t="s">
        <v>2534</v>
      </c>
      <c r="W5" t="s">
        <v>2528</v>
      </c>
      <c r="X5" t="s">
        <v>2529</v>
      </c>
      <c r="Y5" t="s">
        <v>2532</v>
      </c>
      <c r="Z5" t="s">
        <v>2543</v>
      </c>
      <c r="AA5" t="s">
        <v>2544</v>
      </c>
      <c r="AB5" t="s">
        <v>2530</v>
      </c>
      <c r="AC5" t="s">
        <v>2538</v>
      </c>
      <c r="AD5" t="s">
        <v>2546</v>
      </c>
      <c r="AE5" t="s">
        <v>2521</v>
      </c>
      <c r="AF5" t="s">
        <v>2545</v>
      </c>
      <c r="AG5" t="s">
        <v>2541</v>
      </c>
      <c r="AH5" t="s">
        <v>2520</v>
      </c>
      <c r="AI5" t="s">
        <v>2527</v>
      </c>
      <c r="AJ5" t="s">
        <v>2526</v>
      </c>
      <c r="AK5" t="s">
        <v>2547</v>
      </c>
      <c r="AL5" t="s">
        <v>2535</v>
      </c>
      <c r="AM5" t="s">
        <v>2533</v>
      </c>
      <c r="AN5" t="s">
        <v>2540</v>
      </c>
      <c r="AO5" t="s">
        <v>2525</v>
      </c>
      <c r="AP5" t="s">
        <v>2531</v>
      </c>
      <c r="AQ5" t="s">
        <v>2542</v>
      </c>
      <c r="AR5" t="s">
        <v>2539</v>
      </c>
      <c r="AS5" t="s">
        <v>2537</v>
      </c>
      <c r="AT5" t="s">
        <v>2536</v>
      </c>
      <c r="AU5" t="s">
        <v>2523</v>
      </c>
      <c r="AV5" t="s">
        <v>2524</v>
      </c>
      <c r="AW5" t="s">
        <v>2508</v>
      </c>
    </row>
    <row r="6" spans="1:49" x14ac:dyDescent="0.2">
      <c r="B6" s="22">
        <v>9559</v>
      </c>
      <c r="C6" s="22">
        <v>7676</v>
      </c>
      <c r="D6" s="22">
        <v>29913</v>
      </c>
      <c r="G6" s="6" t="s">
        <v>2505</v>
      </c>
      <c r="H6" s="13">
        <v>1002</v>
      </c>
      <c r="I6" s="13">
        <v>742</v>
      </c>
      <c r="J6" s="13">
        <v>2646</v>
      </c>
      <c r="N6" s="13"/>
      <c r="O6" s="6" t="s">
        <v>2574</v>
      </c>
      <c r="P6" s="13">
        <v>3783</v>
      </c>
      <c r="Q6" s="13">
        <v>2421</v>
      </c>
      <c r="R6" s="13">
        <v>2639</v>
      </c>
      <c r="S6" s="13">
        <v>1584</v>
      </c>
      <c r="T6" s="13">
        <v>1118</v>
      </c>
      <c r="U6" s="13">
        <v>435</v>
      </c>
      <c r="V6" s="13">
        <v>502</v>
      </c>
      <c r="W6" s="13">
        <v>173</v>
      </c>
      <c r="X6" s="13">
        <v>555</v>
      </c>
      <c r="Y6" s="13">
        <v>330</v>
      </c>
      <c r="Z6" s="13"/>
      <c r="AA6" s="13"/>
      <c r="AB6" s="13">
        <v>120</v>
      </c>
      <c r="AC6" s="13">
        <v>217</v>
      </c>
      <c r="AD6" s="13"/>
      <c r="AE6" s="13"/>
      <c r="AF6" s="13"/>
      <c r="AG6" s="13">
        <v>166</v>
      </c>
      <c r="AH6" s="13">
        <v>134</v>
      </c>
      <c r="AI6" s="13"/>
      <c r="AJ6" s="13">
        <v>106</v>
      </c>
      <c r="AK6" s="13"/>
      <c r="AL6" s="13"/>
      <c r="AM6" s="13"/>
      <c r="AN6" s="13">
        <v>83</v>
      </c>
      <c r="AO6" s="13">
        <v>83</v>
      </c>
      <c r="AP6" s="13"/>
      <c r="AQ6" s="13"/>
      <c r="AR6" s="13"/>
      <c r="AS6" s="13">
        <v>67</v>
      </c>
      <c r="AT6" s="13"/>
      <c r="AU6" s="13"/>
      <c r="AV6" s="13"/>
      <c r="AW6" s="13">
        <v>14516</v>
      </c>
    </row>
    <row r="7" spans="1:49" x14ac:dyDescent="0.2">
      <c r="G7" s="6" t="s">
        <v>2520</v>
      </c>
      <c r="H7" s="13"/>
      <c r="I7" s="13"/>
      <c r="J7" s="13">
        <v>134</v>
      </c>
      <c r="N7" s="13"/>
      <c r="O7" s="6" t="s">
        <v>2575</v>
      </c>
      <c r="P7" s="13">
        <v>5078</v>
      </c>
      <c r="Q7" s="13">
        <v>3471</v>
      </c>
      <c r="R7" s="13">
        <v>2804</v>
      </c>
      <c r="S7" s="13">
        <v>1506</v>
      </c>
      <c r="T7" s="13">
        <v>1133</v>
      </c>
      <c r="U7" s="13">
        <v>494</v>
      </c>
      <c r="V7" s="13">
        <v>405</v>
      </c>
      <c r="W7" s="13">
        <v>376</v>
      </c>
      <c r="X7" s="13">
        <v>173</v>
      </c>
      <c r="Y7" s="13">
        <v>143</v>
      </c>
      <c r="Z7" s="13">
        <v>645</v>
      </c>
      <c r="AA7" s="13">
        <v>90</v>
      </c>
      <c r="AB7" s="13"/>
      <c r="AC7" s="13">
        <v>105</v>
      </c>
      <c r="AD7" s="13">
        <v>180</v>
      </c>
      <c r="AE7" s="13"/>
      <c r="AF7" s="13">
        <v>210</v>
      </c>
      <c r="AG7" s="13"/>
      <c r="AH7" s="13"/>
      <c r="AI7" s="13">
        <v>120</v>
      </c>
      <c r="AJ7" s="13"/>
      <c r="AK7" s="13">
        <v>105</v>
      </c>
      <c r="AL7" s="13"/>
      <c r="AM7" s="13">
        <v>90</v>
      </c>
      <c r="AN7" s="13"/>
      <c r="AO7" s="13"/>
      <c r="AP7" s="13">
        <v>75</v>
      </c>
      <c r="AQ7" s="13">
        <v>67</v>
      </c>
      <c r="AR7" s="13">
        <v>67</v>
      </c>
      <c r="AS7" s="13"/>
      <c r="AT7" s="13">
        <v>67</v>
      </c>
      <c r="AU7" s="13">
        <v>60</v>
      </c>
      <c r="AV7" s="13"/>
      <c r="AW7" s="13">
        <v>17464</v>
      </c>
    </row>
    <row r="8" spans="1:49" x14ac:dyDescent="0.2">
      <c r="G8" s="6" t="s">
        <v>2521</v>
      </c>
      <c r="H8" s="13"/>
      <c r="I8" s="13">
        <v>105</v>
      </c>
      <c r="J8" s="13">
        <v>105</v>
      </c>
      <c r="N8" s="13"/>
      <c r="O8" s="6" t="s">
        <v>2576</v>
      </c>
      <c r="P8" s="13">
        <v>3691</v>
      </c>
      <c r="Q8" s="13">
        <v>2866</v>
      </c>
      <c r="R8" s="13">
        <v>2796</v>
      </c>
      <c r="S8" s="13">
        <v>1300</v>
      </c>
      <c r="T8" s="13">
        <v>1758</v>
      </c>
      <c r="U8" s="13">
        <v>419</v>
      </c>
      <c r="V8" s="13">
        <v>271</v>
      </c>
      <c r="W8" s="13">
        <v>563</v>
      </c>
      <c r="X8" s="13">
        <v>286</v>
      </c>
      <c r="Y8" s="13">
        <v>301</v>
      </c>
      <c r="Z8" s="13"/>
      <c r="AA8" s="13">
        <v>286</v>
      </c>
      <c r="AB8" s="13">
        <v>211</v>
      </c>
      <c r="AC8" s="13"/>
      <c r="AD8" s="13">
        <v>67</v>
      </c>
      <c r="AE8" s="13">
        <v>210</v>
      </c>
      <c r="AF8" s="13"/>
      <c r="AG8" s="13"/>
      <c r="AH8" s="13"/>
      <c r="AI8" s="13"/>
      <c r="AJ8" s="13"/>
      <c r="AK8" s="13"/>
      <c r="AL8" s="13">
        <v>90</v>
      </c>
      <c r="AM8" s="13"/>
      <c r="AN8" s="13"/>
      <c r="AO8" s="13"/>
      <c r="AP8" s="13"/>
      <c r="AQ8" s="13"/>
      <c r="AR8" s="13"/>
      <c r="AS8" s="13"/>
      <c r="AT8" s="13"/>
      <c r="AU8" s="13"/>
      <c r="AV8" s="13">
        <v>53</v>
      </c>
      <c r="AW8" s="13">
        <v>15168</v>
      </c>
    </row>
    <row r="9" spans="1:49" x14ac:dyDescent="0.2">
      <c r="G9" s="6" t="s">
        <v>2522</v>
      </c>
      <c r="H9" s="13">
        <v>450</v>
      </c>
      <c r="I9" s="13"/>
      <c r="J9" s="13">
        <v>898</v>
      </c>
      <c r="N9" s="13"/>
      <c r="O9" s="6" t="s">
        <v>2508</v>
      </c>
      <c r="P9" s="13">
        <v>12552</v>
      </c>
      <c r="Q9" s="13">
        <v>8758</v>
      </c>
      <c r="R9" s="13">
        <v>8239</v>
      </c>
      <c r="S9" s="13">
        <v>4390</v>
      </c>
      <c r="T9" s="13">
        <v>4009</v>
      </c>
      <c r="U9" s="13">
        <v>1348</v>
      </c>
      <c r="V9" s="13">
        <v>1178</v>
      </c>
      <c r="W9" s="13">
        <v>1112</v>
      </c>
      <c r="X9" s="13">
        <v>1014</v>
      </c>
      <c r="Y9" s="13">
        <v>774</v>
      </c>
      <c r="Z9" s="13">
        <v>645</v>
      </c>
      <c r="AA9" s="13">
        <v>376</v>
      </c>
      <c r="AB9" s="13">
        <v>331</v>
      </c>
      <c r="AC9" s="13">
        <v>322</v>
      </c>
      <c r="AD9" s="13">
        <v>247</v>
      </c>
      <c r="AE9" s="13">
        <v>210</v>
      </c>
      <c r="AF9" s="13">
        <v>210</v>
      </c>
      <c r="AG9" s="13">
        <v>166</v>
      </c>
      <c r="AH9" s="13">
        <v>134</v>
      </c>
      <c r="AI9" s="13">
        <v>120</v>
      </c>
      <c r="AJ9" s="13">
        <v>106</v>
      </c>
      <c r="AK9" s="13">
        <v>105</v>
      </c>
      <c r="AL9" s="13">
        <v>90</v>
      </c>
      <c r="AM9" s="13">
        <v>90</v>
      </c>
      <c r="AN9" s="13">
        <v>83</v>
      </c>
      <c r="AO9" s="13">
        <v>83</v>
      </c>
      <c r="AP9" s="13">
        <v>75</v>
      </c>
      <c r="AQ9" s="13">
        <v>67</v>
      </c>
      <c r="AR9" s="13">
        <v>67</v>
      </c>
      <c r="AS9" s="13">
        <v>67</v>
      </c>
      <c r="AT9" s="13">
        <v>67</v>
      </c>
      <c r="AU9" s="13">
        <v>60</v>
      </c>
      <c r="AV9" s="13">
        <v>53</v>
      </c>
      <c r="AW9" s="13">
        <v>47148</v>
      </c>
    </row>
    <row r="10" spans="1:49" x14ac:dyDescent="0.2">
      <c r="G10" s="6" t="s">
        <v>2523</v>
      </c>
      <c r="H10" s="13"/>
      <c r="I10" s="13"/>
      <c r="J10" s="13">
        <v>60</v>
      </c>
      <c r="N10" s="13"/>
    </row>
    <row r="11" spans="1:49" x14ac:dyDescent="0.2">
      <c r="A11" s="7" t="s">
        <v>2548</v>
      </c>
      <c r="B11" s="7" t="s">
        <v>2517</v>
      </c>
      <c r="G11" s="6" t="s">
        <v>2503</v>
      </c>
      <c r="H11" s="13">
        <v>1775</v>
      </c>
      <c r="I11" s="13">
        <v>1062</v>
      </c>
      <c r="J11" s="13">
        <v>5402</v>
      </c>
      <c r="N11" s="13"/>
    </row>
    <row r="12" spans="1:49" x14ac:dyDescent="0.2">
      <c r="A12" s="7" t="s">
        <v>2509</v>
      </c>
      <c r="B12" t="s">
        <v>2501</v>
      </c>
      <c r="C12" t="s">
        <v>2502</v>
      </c>
      <c r="D12" t="s">
        <v>2500</v>
      </c>
      <c r="E12" t="s">
        <v>2508</v>
      </c>
      <c r="G12" s="6" t="s">
        <v>2524</v>
      </c>
      <c r="H12" s="13"/>
      <c r="I12" s="13"/>
      <c r="J12" s="13">
        <v>53</v>
      </c>
      <c r="N12" s="13"/>
    </row>
    <row r="13" spans="1:49" x14ac:dyDescent="0.2">
      <c r="A13" s="6" t="s">
        <v>2574</v>
      </c>
      <c r="B13" s="13">
        <v>3038</v>
      </c>
      <c r="C13" s="13">
        <v>1726</v>
      </c>
      <c r="D13" s="13">
        <v>9752</v>
      </c>
      <c r="E13" s="13">
        <v>14516</v>
      </c>
      <c r="G13" s="6" t="s">
        <v>2525</v>
      </c>
      <c r="H13" s="13"/>
      <c r="I13" s="13"/>
      <c r="J13" s="13">
        <v>83</v>
      </c>
      <c r="N13" s="13"/>
      <c r="O13" s="7" t="s">
        <v>2548</v>
      </c>
      <c r="P13" s="7" t="s">
        <v>2517</v>
      </c>
    </row>
    <row r="14" spans="1:49" x14ac:dyDescent="0.2">
      <c r="A14" s="6" t="s">
        <v>2575</v>
      </c>
      <c r="B14" s="13">
        <v>3353</v>
      </c>
      <c r="C14" s="13">
        <v>3344</v>
      </c>
      <c r="D14" s="13">
        <v>10767</v>
      </c>
      <c r="E14" s="13">
        <v>17464</v>
      </c>
      <c r="G14" s="6" t="s">
        <v>2526</v>
      </c>
      <c r="H14" s="13"/>
      <c r="I14" s="13"/>
      <c r="J14" s="13">
        <v>106</v>
      </c>
      <c r="N14" s="13"/>
      <c r="O14" s="7" t="s">
        <v>2509</v>
      </c>
      <c r="P14" t="s">
        <v>2501</v>
      </c>
      <c r="Q14" t="s">
        <v>2502</v>
      </c>
      <c r="R14" t="s">
        <v>2500</v>
      </c>
      <c r="S14" t="s">
        <v>2508</v>
      </c>
    </row>
    <row r="15" spans="1:49" x14ac:dyDescent="0.2">
      <c r="A15" s="6" t="s">
        <v>2576</v>
      </c>
      <c r="B15" s="13">
        <v>3168</v>
      </c>
      <c r="C15" s="13">
        <v>2606</v>
      </c>
      <c r="D15" s="13">
        <v>9394</v>
      </c>
      <c r="E15" s="13">
        <v>15168</v>
      </c>
      <c r="G15" s="6" t="s">
        <v>2527</v>
      </c>
      <c r="H15" s="13"/>
      <c r="I15" s="13"/>
      <c r="J15" s="13">
        <v>120</v>
      </c>
      <c r="N15" s="13"/>
      <c r="O15" s="6" t="s">
        <v>2574</v>
      </c>
      <c r="P15" s="13">
        <v>3038</v>
      </c>
      <c r="Q15" s="13">
        <v>1726</v>
      </c>
      <c r="R15" s="13">
        <v>9752</v>
      </c>
      <c r="S15" s="13">
        <v>14516</v>
      </c>
    </row>
    <row r="16" spans="1:49" x14ac:dyDescent="0.2">
      <c r="A16" s="6" t="s">
        <v>2508</v>
      </c>
      <c r="B16" s="13">
        <v>9559</v>
      </c>
      <c r="C16" s="13">
        <v>7676</v>
      </c>
      <c r="D16" s="13">
        <v>29913</v>
      </c>
      <c r="E16" s="13">
        <v>47148</v>
      </c>
      <c r="G16" s="6" t="s">
        <v>2528</v>
      </c>
      <c r="H16" s="13">
        <v>337</v>
      </c>
      <c r="I16" s="13">
        <v>219</v>
      </c>
      <c r="J16" s="13">
        <v>556</v>
      </c>
      <c r="N16" s="13"/>
      <c r="O16" s="6" t="s">
        <v>2575</v>
      </c>
      <c r="P16" s="13">
        <v>3353</v>
      </c>
      <c r="Q16" s="13">
        <v>3344</v>
      </c>
      <c r="R16" s="13">
        <v>10767</v>
      </c>
      <c r="S16" s="13">
        <v>17464</v>
      </c>
    </row>
    <row r="17" spans="7:38" x14ac:dyDescent="0.2">
      <c r="G17" s="6" t="s">
        <v>2529</v>
      </c>
      <c r="H17" s="13">
        <v>382</v>
      </c>
      <c r="I17" s="13">
        <v>83</v>
      </c>
      <c r="J17" s="13">
        <v>549</v>
      </c>
      <c r="N17" s="13"/>
      <c r="O17" s="6" t="s">
        <v>2576</v>
      </c>
      <c r="P17" s="13">
        <v>3168</v>
      </c>
      <c r="Q17" s="13">
        <v>2606</v>
      </c>
      <c r="R17" s="13">
        <v>9394</v>
      </c>
      <c r="S17" s="13">
        <v>15168</v>
      </c>
    </row>
    <row r="18" spans="7:38" x14ac:dyDescent="0.2">
      <c r="G18" s="6" t="s">
        <v>2530</v>
      </c>
      <c r="H18" s="13"/>
      <c r="I18" s="13">
        <v>264</v>
      </c>
      <c r="J18" s="13">
        <v>67</v>
      </c>
      <c r="N18" s="13"/>
      <c r="O18" s="6" t="s">
        <v>2508</v>
      </c>
      <c r="P18" s="13">
        <v>9559</v>
      </c>
      <c r="Q18" s="13">
        <v>7676</v>
      </c>
      <c r="R18" s="13">
        <v>29913</v>
      </c>
      <c r="S18" s="13">
        <v>47148</v>
      </c>
    </row>
    <row r="19" spans="7:38" x14ac:dyDescent="0.2">
      <c r="G19" s="6" t="s">
        <v>2506</v>
      </c>
      <c r="H19" s="13">
        <v>974</v>
      </c>
      <c r="I19" s="13">
        <v>772</v>
      </c>
      <c r="J19" s="13">
        <v>2263</v>
      </c>
      <c r="N19" s="13"/>
      <c r="AH19" s="7" t="s">
        <v>2548</v>
      </c>
      <c r="AI19" s="7" t="s">
        <v>2517</v>
      </c>
    </row>
    <row r="20" spans="7:38" x14ac:dyDescent="0.2">
      <c r="G20" s="6" t="s">
        <v>2531</v>
      </c>
      <c r="H20" s="13"/>
      <c r="I20" s="13"/>
      <c r="J20" s="13">
        <v>75</v>
      </c>
      <c r="N20" s="13"/>
      <c r="AH20" s="7" t="s">
        <v>2509</v>
      </c>
      <c r="AI20" t="s">
        <v>2574</v>
      </c>
      <c r="AJ20" t="s">
        <v>2575</v>
      </c>
      <c r="AK20" t="s">
        <v>2576</v>
      </c>
      <c r="AL20" t="s">
        <v>2508</v>
      </c>
    </row>
    <row r="21" spans="7:38" x14ac:dyDescent="0.2">
      <c r="G21" s="6" t="s">
        <v>2532</v>
      </c>
      <c r="H21" s="13">
        <v>158</v>
      </c>
      <c r="I21" s="13">
        <v>136</v>
      </c>
      <c r="J21" s="13">
        <v>480</v>
      </c>
      <c r="N21" s="13"/>
      <c r="AH21" s="6" t="s">
        <v>59</v>
      </c>
      <c r="AI21" s="13">
        <v>3783</v>
      </c>
      <c r="AJ21" s="13">
        <v>5078</v>
      </c>
      <c r="AK21" s="13">
        <v>3691</v>
      </c>
      <c r="AL21" s="13">
        <v>12552</v>
      </c>
    </row>
    <row r="22" spans="7:38" x14ac:dyDescent="0.2">
      <c r="G22" s="6" t="s">
        <v>2533</v>
      </c>
      <c r="H22" s="13"/>
      <c r="I22" s="13">
        <v>90</v>
      </c>
      <c r="J22" s="13"/>
      <c r="N22" s="13"/>
      <c r="O22" s="7" t="s">
        <v>2572</v>
      </c>
      <c r="P22" s="7" t="s">
        <v>2517</v>
      </c>
      <c r="AH22" s="6" t="s">
        <v>2504</v>
      </c>
      <c r="AI22" s="13">
        <v>2421</v>
      </c>
      <c r="AJ22" s="13">
        <v>3471</v>
      </c>
      <c r="AK22" s="13">
        <v>2866</v>
      </c>
      <c r="AL22" s="13">
        <v>8758</v>
      </c>
    </row>
    <row r="23" spans="7:38" x14ac:dyDescent="0.2">
      <c r="G23" s="6" t="s">
        <v>2534</v>
      </c>
      <c r="H23" s="13">
        <v>255</v>
      </c>
      <c r="I23" s="13">
        <v>188</v>
      </c>
      <c r="J23" s="13">
        <v>735</v>
      </c>
      <c r="N23" s="13"/>
      <c r="O23" s="7" t="s">
        <v>2509</v>
      </c>
      <c r="P23" t="s">
        <v>2501</v>
      </c>
      <c r="Q23" t="s">
        <v>2502</v>
      </c>
      <c r="R23" t="s">
        <v>2500</v>
      </c>
      <c r="AH23" s="6" t="s">
        <v>2503</v>
      </c>
      <c r="AI23" s="13">
        <v>2639</v>
      </c>
      <c r="AJ23" s="13">
        <v>2804</v>
      </c>
      <c r="AK23" s="13">
        <v>2796</v>
      </c>
      <c r="AL23" s="13">
        <v>8239</v>
      </c>
    </row>
    <row r="24" spans="7:38" x14ac:dyDescent="0.2">
      <c r="G24" s="6" t="s">
        <v>2535</v>
      </c>
      <c r="H24" s="13"/>
      <c r="I24" s="13"/>
      <c r="J24" s="13">
        <v>90</v>
      </c>
      <c r="N24" s="13"/>
      <c r="O24" s="6" t="s">
        <v>2550</v>
      </c>
      <c r="P24" s="13"/>
      <c r="Q24" s="13"/>
      <c r="R24" s="13">
        <v>53</v>
      </c>
      <c r="AH24" s="6" t="s">
        <v>2505</v>
      </c>
      <c r="AI24" s="13">
        <v>1584</v>
      </c>
      <c r="AJ24" s="13">
        <v>1506</v>
      </c>
      <c r="AK24" s="13">
        <v>1300</v>
      </c>
      <c r="AL24" s="13">
        <v>4390</v>
      </c>
    </row>
    <row r="25" spans="7:38" x14ac:dyDescent="0.2">
      <c r="G25" s="6" t="s">
        <v>2536</v>
      </c>
      <c r="H25" s="13"/>
      <c r="I25" s="13">
        <v>67</v>
      </c>
      <c r="J25" s="13"/>
      <c r="N25" s="13"/>
      <c r="O25" s="6" t="s">
        <v>2551</v>
      </c>
      <c r="P25" s="13">
        <v>54</v>
      </c>
      <c r="Q25" s="13"/>
      <c r="R25" s="13"/>
      <c r="AH25" s="6" t="s">
        <v>2506</v>
      </c>
      <c r="AI25" s="13">
        <v>1118</v>
      </c>
      <c r="AJ25" s="13">
        <v>1133</v>
      </c>
      <c r="AK25" s="13">
        <v>1758</v>
      </c>
      <c r="AL25" s="13">
        <v>4009</v>
      </c>
    </row>
    <row r="26" spans="7:38" x14ac:dyDescent="0.2">
      <c r="G26" s="6" t="s">
        <v>2537</v>
      </c>
      <c r="H26" s="13"/>
      <c r="I26" s="13"/>
      <c r="J26" s="13">
        <v>67</v>
      </c>
      <c r="N26" s="13"/>
      <c r="O26" s="6" t="s">
        <v>2552</v>
      </c>
      <c r="P26" s="13">
        <v>162</v>
      </c>
      <c r="Q26" s="13"/>
      <c r="R26" s="13"/>
      <c r="AH26" s="6" t="s">
        <v>2522</v>
      </c>
      <c r="AI26" s="13">
        <v>435</v>
      </c>
      <c r="AJ26" s="13">
        <v>494</v>
      </c>
      <c r="AK26" s="13">
        <v>419</v>
      </c>
      <c r="AL26" s="13">
        <v>1348</v>
      </c>
    </row>
    <row r="27" spans="7:38" x14ac:dyDescent="0.2">
      <c r="G27" s="6" t="s">
        <v>2538</v>
      </c>
      <c r="H27" s="13"/>
      <c r="I27" s="13"/>
      <c r="J27" s="13">
        <v>322</v>
      </c>
      <c r="N27" s="13"/>
      <c r="O27" s="6" t="s">
        <v>2553</v>
      </c>
      <c r="P27" s="13"/>
      <c r="Q27" s="13"/>
      <c r="R27" s="13">
        <v>83</v>
      </c>
      <c r="AH27" s="6" t="s">
        <v>2534</v>
      </c>
      <c r="AI27" s="13">
        <v>502</v>
      </c>
      <c r="AJ27" s="13">
        <v>405</v>
      </c>
      <c r="AK27" s="13">
        <v>271</v>
      </c>
      <c r="AL27" s="13">
        <v>1178</v>
      </c>
    </row>
    <row r="28" spans="7:38" x14ac:dyDescent="0.2">
      <c r="G28" s="6" t="s">
        <v>2539</v>
      </c>
      <c r="H28" s="13"/>
      <c r="I28" s="13"/>
      <c r="J28" s="13">
        <v>67</v>
      </c>
      <c r="N28" s="13"/>
      <c r="O28" s="6" t="s">
        <v>2554</v>
      </c>
      <c r="P28" s="13"/>
      <c r="Q28" s="13"/>
      <c r="R28" s="13">
        <v>209</v>
      </c>
      <c r="AH28" s="6" t="s">
        <v>2528</v>
      </c>
      <c r="AI28" s="13">
        <v>173</v>
      </c>
      <c r="AJ28" s="13">
        <v>376</v>
      </c>
      <c r="AK28" s="13">
        <v>563</v>
      </c>
      <c r="AL28" s="13">
        <v>1112</v>
      </c>
    </row>
    <row r="29" spans="7:38" x14ac:dyDescent="0.2">
      <c r="G29" s="6" t="s">
        <v>2540</v>
      </c>
      <c r="H29" s="13"/>
      <c r="I29" s="13"/>
      <c r="J29" s="13">
        <v>83</v>
      </c>
      <c r="N29" s="13"/>
      <c r="O29" s="6" t="s">
        <v>2555</v>
      </c>
      <c r="P29" s="13"/>
      <c r="Q29" s="13">
        <v>120</v>
      </c>
      <c r="R29" s="13">
        <v>313</v>
      </c>
      <c r="AH29" s="6" t="s">
        <v>2529</v>
      </c>
      <c r="AI29" s="13">
        <v>555</v>
      </c>
      <c r="AJ29" s="13">
        <v>173</v>
      </c>
      <c r="AK29" s="13">
        <v>286</v>
      </c>
      <c r="AL29" s="13">
        <v>1014</v>
      </c>
    </row>
    <row r="30" spans="7:38" x14ac:dyDescent="0.2">
      <c r="G30" s="6" t="s">
        <v>2541</v>
      </c>
      <c r="H30" s="13"/>
      <c r="I30" s="13"/>
      <c r="J30" s="13">
        <v>166</v>
      </c>
      <c r="N30" s="13"/>
      <c r="O30" s="6" t="s">
        <v>2556</v>
      </c>
      <c r="P30" s="13">
        <v>180</v>
      </c>
      <c r="Q30" s="13">
        <v>506</v>
      </c>
      <c r="R30" s="13">
        <v>725</v>
      </c>
      <c r="AH30" s="6" t="s">
        <v>2532</v>
      </c>
      <c r="AI30" s="13">
        <v>330</v>
      </c>
      <c r="AJ30" s="13">
        <v>143</v>
      </c>
      <c r="AK30" s="13">
        <v>301</v>
      </c>
      <c r="AL30" s="13">
        <v>774</v>
      </c>
    </row>
    <row r="31" spans="7:38" x14ac:dyDescent="0.2">
      <c r="G31" s="6" t="s">
        <v>2542</v>
      </c>
      <c r="H31" s="13"/>
      <c r="I31" s="13"/>
      <c r="J31" s="13">
        <v>67</v>
      </c>
      <c r="N31" s="13"/>
      <c r="O31" s="6" t="s">
        <v>2557</v>
      </c>
      <c r="P31" s="13">
        <v>373</v>
      </c>
      <c r="Q31" s="13">
        <v>141</v>
      </c>
      <c r="R31" s="13">
        <v>1035</v>
      </c>
      <c r="AH31" s="6" t="s">
        <v>2543</v>
      </c>
      <c r="AI31" s="13"/>
      <c r="AJ31" s="13">
        <v>645</v>
      </c>
      <c r="AK31" s="13"/>
      <c r="AL31" s="13">
        <v>645</v>
      </c>
    </row>
    <row r="32" spans="7:38" x14ac:dyDescent="0.2">
      <c r="G32" s="6" t="s">
        <v>2543</v>
      </c>
      <c r="H32" s="13">
        <v>210</v>
      </c>
      <c r="I32" s="13"/>
      <c r="J32" s="13">
        <v>435</v>
      </c>
      <c r="N32" s="13"/>
      <c r="O32" s="6" t="s">
        <v>2558</v>
      </c>
      <c r="P32" s="13">
        <v>285</v>
      </c>
      <c r="Q32" s="13">
        <v>395</v>
      </c>
      <c r="R32" s="13">
        <v>1205</v>
      </c>
      <c r="AH32" s="6" t="s">
        <v>2544</v>
      </c>
      <c r="AI32" s="13"/>
      <c r="AJ32" s="13">
        <v>90</v>
      </c>
      <c r="AK32" s="13">
        <v>286</v>
      </c>
      <c r="AL32" s="13">
        <v>376</v>
      </c>
    </row>
    <row r="33" spans="7:38" x14ac:dyDescent="0.2">
      <c r="G33" s="6" t="s">
        <v>2544</v>
      </c>
      <c r="H33" s="13">
        <v>270</v>
      </c>
      <c r="I33" s="13"/>
      <c r="J33" s="13">
        <v>106</v>
      </c>
      <c r="N33" s="13"/>
      <c r="O33" s="6" t="s">
        <v>2559</v>
      </c>
      <c r="P33" s="13">
        <v>509</v>
      </c>
      <c r="Q33" s="13">
        <v>409</v>
      </c>
      <c r="R33" s="13">
        <v>1175</v>
      </c>
      <c r="AH33" s="6" t="s">
        <v>2530</v>
      </c>
      <c r="AI33" s="13">
        <v>120</v>
      </c>
      <c r="AJ33" s="13"/>
      <c r="AK33" s="13">
        <v>211</v>
      </c>
      <c r="AL33" s="13">
        <v>331</v>
      </c>
    </row>
    <row r="34" spans="7:38" x14ac:dyDescent="0.2">
      <c r="G34" s="6" t="s">
        <v>2545</v>
      </c>
      <c r="H34" s="13"/>
      <c r="I34" s="13"/>
      <c r="J34" s="13">
        <v>210</v>
      </c>
      <c r="N34" s="13"/>
      <c r="O34" s="6" t="s">
        <v>2560</v>
      </c>
      <c r="P34" s="13">
        <v>379</v>
      </c>
      <c r="Q34" s="13">
        <v>557</v>
      </c>
      <c r="R34" s="13">
        <v>1409</v>
      </c>
      <c r="AH34" s="6" t="s">
        <v>2538</v>
      </c>
      <c r="AI34" s="13">
        <v>217</v>
      </c>
      <c r="AJ34" s="13">
        <v>105</v>
      </c>
      <c r="AK34" s="13"/>
      <c r="AL34" s="13">
        <v>322</v>
      </c>
    </row>
    <row r="35" spans="7:38" x14ac:dyDescent="0.2">
      <c r="G35" s="6" t="s">
        <v>2546</v>
      </c>
      <c r="H35" s="13"/>
      <c r="I35" s="13">
        <v>180</v>
      </c>
      <c r="J35" s="13">
        <v>67</v>
      </c>
      <c r="N35" s="13"/>
      <c r="O35" s="6" t="s">
        <v>2561</v>
      </c>
      <c r="P35" s="13">
        <v>319</v>
      </c>
      <c r="Q35" s="13">
        <v>315</v>
      </c>
      <c r="R35" s="13">
        <v>1429</v>
      </c>
      <c r="AH35" s="6" t="s">
        <v>2546</v>
      </c>
      <c r="AI35" s="13"/>
      <c r="AJ35" s="13">
        <v>180</v>
      </c>
      <c r="AK35" s="13">
        <v>67</v>
      </c>
      <c r="AL35" s="13">
        <v>247</v>
      </c>
    </row>
    <row r="36" spans="7:38" x14ac:dyDescent="0.2">
      <c r="G36" s="6" t="s">
        <v>2547</v>
      </c>
      <c r="H36" s="13"/>
      <c r="I36" s="13"/>
      <c r="J36" s="13">
        <v>105</v>
      </c>
      <c r="N36" s="13"/>
      <c r="O36" s="6" t="s">
        <v>2562</v>
      </c>
      <c r="P36" s="13">
        <v>1408</v>
      </c>
      <c r="Q36" s="13">
        <v>1077</v>
      </c>
      <c r="R36" s="13">
        <v>3387</v>
      </c>
      <c r="AH36" s="6" t="s">
        <v>2521</v>
      </c>
      <c r="AI36" s="13"/>
      <c r="AJ36" s="13"/>
      <c r="AK36" s="13">
        <v>210</v>
      </c>
      <c r="AL36" s="13">
        <v>210</v>
      </c>
    </row>
    <row r="37" spans="7:38" x14ac:dyDescent="0.2">
      <c r="G37" s="6" t="s">
        <v>2504</v>
      </c>
      <c r="H37" s="13">
        <v>1710</v>
      </c>
      <c r="I37" s="13">
        <v>1521</v>
      </c>
      <c r="J37" s="13">
        <v>5527</v>
      </c>
      <c r="N37" s="13"/>
      <c r="O37" s="6" t="s">
        <v>2563</v>
      </c>
      <c r="P37" s="13">
        <v>523</v>
      </c>
      <c r="Q37" s="13">
        <v>312</v>
      </c>
      <c r="R37" s="13">
        <v>2020</v>
      </c>
      <c r="AH37" s="6" t="s">
        <v>2545</v>
      </c>
      <c r="AI37" s="13"/>
      <c r="AJ37" s="13">
        <v>210</v>
      </c>
      <c r="AK37" s="13"/>
      <c r="AL37" s="13">
        <v>210</v>
      </c>
    </row>
    <row r="38" spans="7:38" x14ac:dyDescent="0.2">
      <c r="G38" s="6" t="s">
        <v>59</v>
      </c>
      <c r="H38" s="13">
        <v>2036</v>
      </c>
      <c r="I38" s="13">
        <v>2247</v>
      </c>
      <c r="J38" s="13">
        <v>8269</v>
      </c>
      <c r="N38" s="13"/>
      <c r="O38" s="6" t="s">
        <v>2564</v>
      </c>
      <c r="P38" s="13">
        <v>714</v>
      </c>
      <c r="Q38" s="13">
        <v>389</v>
      </c>
      <c r="R38" s="13">
        <v>2958</v>
      </c>
      <c r="AH38" s="6" t="s">
        <v>2541</v>
      </c>
      <c r="AI38" s="13">
        <v>166</v>
      </c>
      <c r="AJ38" s="13"/>
      <c r="AK38" s="13"/>
      <c r="AL38" s="13">
        <v>166</v>
      </c>
    </row>
    <row r="39" spans="7:38" x14ac:dyDescent="0.2">
      <c r="G39" s="6" t="s">
        <v>2508</v>
      </c>
      <c r="H39" s="13">
        <v>9559</v>
      </c>
      <c r="I39" s="13">
        <v>7676</v>
      </c>
      <c r="J39" s="13">
        <v>29913</v>
      </c>
      <c r="N39" s="13"/>
      <c r="O39" s="6" t="s">
        <v>2565</v>
      </c>
      <c r="P39" s="13">
        <v>719</v>
      </c>
      <c r="Q39" s="13">
        <v>619</v>
      </c>
      <c r="R39" s="13">
        <v>1720</v>
      </c>
      <c r="AH39" s="6" t="s">
        <v>2520</v>
      </c>
      <c r="AI39" s="13">
        <v>134</v>
      </c>
      <c r="AJ39" s="13"/>
      <c r="AK39" s="13"/>
      <c r="AL39" s="13">
        <v>134</v>
      </c>
    </row>
    <row r="40" spans="7:38" x14ac:dyDescent="0.2">
      <c r="O40" s="6" t="s">
        <v>2566</v>
      </c>
      <c r="P40" s="13">
        <v>1018</v>
      </c>
      <c r="Q40" s="13">
        <v>665</v>
      </c>
      <c r="R40" s="13">
        <v>2704</v>
      </c>
      <c r="AH40" s="6" t="s">
        <v>2527</v>
      </c>
      <c r="AI40" s="13"/>
      <c r="AJ40" s="13">
        <v>120</v>
      </c>
      <c r="AK40" s="13"/>
      <c r="AL40" s="13">
        <v>120</v>
      </c>
    </row>
    <row r="41" spans="7:38" x14ac:dyDescent="0.2">
      <c r="O41" s="6" t="s">
        <v>2567</v>
      </c>
      <c r="P41" s="13">
        <v>673</v>
      </c>
      <c r="Q41" s="13">
        <v>599</v>
      </c>
      <c r="R41" s="13">
        <v>3760</v>
      </c>
      <c r="AH41" s="6" t="s">
        <v>2526</v>
      </c>
      <c r="AI41" s="13">
        <v>106</v>
      </c>
      <c r="AJ41" s="13"/>
      <c r="AK41" s="13"/>
      <c r="AL41" s="13">
        <v>106</v>
      </c>
    </row>
    <row r="42" spans="7:38" x14ac:dyDescent="0.2">
      <c r="O42" s="6" t="s">
        <v>2568</v>
      </c>
      <c r="P42" s="13">
        <v>618</v>
      </c>
      <c r="Q42" s="13">
        <v>545</v>
      </c>
      <c r="R42" s="13">
        <v>2576</v>
      </c>
      <c r="AH42" s="6" t="s">
        <v>2547</v>
      </c>
      <c r="AI42" s="13"/>
      <c r="AJ42" s="13">
        <v>105</v>
      </c>
      <c r="AK42" s="13"/>
      <c r="AL42" s="13">
        <v>105</v>
      </c>
    </row>
    <row r="43" spans="7:38" x14ac:dyDescent="0.2">
      <c r="O43" s="6" t="s">
        <v>2569</v>
      </c>
      <c r="P43" s="13">
        <v>808</v>
      </c>
      <c r="Q43" s="13">
        <v>434</v>
      </c>
      <c r="R43" s="13">
        <v>1463</v>
      </c>
      <c r="AH43" s="6" t="s">
        <v>2535</v>
      </c>
      <c r="AI43" s="13"/>
      <c r="AJ43" s="13"/>
      <c r="AK43" s="13">
        <v>90</v>
      </c>
      <c r="AL43" s="13">
        <v>90</v>
      </c>
    </row>
    <row r="44" spans="7:38" x14ac:dyDescent="0.2">
      <c r="O44" s="6" t="s">
        <v>2570</v>
      </c>
      <c r="P44" s="13">
        <v>725</v>
      </c>
      <c r="Q44" s="13">
        <v>510</v>
      </c>
      <c r="R44" s="13">
        <v>1269</v>
      </c>
      <c r="AH44" s="6" t="s">
        <v>2533</v>
      </c>
      <c r="AI44" s="13"/>
      <c r="AJ44" s="13">
        <v>90</v>
      </c>
      <c r="AK44" s="13"/>
      <c r="AL44" s="13">
        <v>90</v>
      </c>
    </row>
    <row r="45" spans="7:38" x14ac:dyDescent="0.2">
      <c r="O45" s="6" t="s">
        <v>2571</v>
      </c>
      <c r="P45" s="13">
        <v>92</v>
      </c>
      <c r="Q45" s="13">
        <v>83</v>
      </c>
      <c r="R45" s="13">
        <v>420</v>
      </c>
      <c r="AH45" s="6" t="s">
        <v>2540</v>
      </c>
      <c r="AI45" s="13">
        <v>83</v>
      </c>
      <c r="AJ45" s="13"/>
      <c r="AK45" s="13"/>
      <c r="AL45" s="13">
        <v>83</v>
      </c>
    </row>
    <row r="46" spans="7:38" x14ac:dyDescent="0.2">
      <c r="O46" s="6" t="s">
        <v>2508</v>
      </c>
      <c r="P46" s="13">
        <v>9559</v>
      </c>
      <c r="Q46" s="13">
        <v>7676</v>
      </c>
      <c r="R46" s="13">
        <v>29913</v>
      </c>
      <c r="AH46" s="6" t="s">
        <v>2525</v>
      </c>
      <c r="AI46" s="13">
        <v>83</v>
      </c>
      <c r="AJ46" s="13"/>
      <c r="AK46" s="13"/>
      <c r="AL46" s="13">
        <v>83</v>
      </c>
    </row>
    <row r="47" spans="7:38" x14ac:dyDescent="0.2">
      <c r="AH47" s="6" t="s">
        <v>2531</v>
      </c>
      <c r="AI47" s="13"/>
      <c r="AJ47" s="13">
        <v>75</v>
      </c>
      <c r="AK47" s="13"/>
      <c r="AL47" s="13">
        <v>75</v>
      </c>
    </row>
    <row r="48" spans="7:38" x14ac:dyDescent="0.2">
      <c r="AH48" s="6" t="s">
        <v>2542</v>
      </c>
      <c r="AI48" s="13"/>
      <c r="AJ48" s="13">
        <v>67</v>
      </c>
      <c r="AK48" s="13"/>
      <c r="AL48" s="13">
        <v>67</v>
      </c>
    </row>
    <row r="49" spans="34:38" x14ac:dyDescent="0.2">
      <c r="AH49" s="6" t="s">
        <v>2539</v>
      </c>
      <c r="AI49" s="13"/>
      <c r="AJ49" s="13">
        <v>67</v>
      </c>
      <c r="AK49" s="13"/>
      <c r="AL49" s="13">
        <v>67</v>
      </c>
    </row>
    <row r="50" spans="34:38" x14ac:dyDescent="0.2">
      <c r="AH50" s="6" t="s">
        <v>2537</v>
      </c>
      <c r="AI50" s="13">
        <v>67</v>
      </c>
      <c r="AJ50" s="13"/>
      <c r="AK50" s="13"/>
      <c r="AL50" s="13">
        <v>67</v>
      </c>
    </row>
    <row r="51" spans="34:38" x14ac:dyDescent="0.2">
      <c r="AH51" s="6" t="s">
        <v>2536</v>
      </c>
      <c r="AI51" s="13"/>
      <c r="AJ51" s="13">
        <v>67</v>
      </c>
      <c r="AK51" s="13"/>
      <c r="AL51" s="13">
        <v>67</v>
      </c>
    </row>
    <row r="52" spans="34:38" x14ac:dyDescent="0.2">
      <c r="AH52" s="6" t="s">
        <v>2523</v>
      </c>
      <c r="AI52" s="13"/>
      <c r="AJ52" s="13">
        <v>60</v>
      </c>
      <c r="AK52" s="13"/>
      <c r="AL52" s="13">
        <v>60</v>
      </c>
    </row>
    <row r="53" spans="34:38" x14ac:dyDescent="0.2">
      <c r="AH53" s="6" t="s">
        <v>2524</v>
      </c>
      <c r="AI53" s="13"/>
      <c r="AJ53" s="13"/>
      <c r="AK53" s="13">
        <v>53</v>
      </c>
      <c r="AL53" s="13">
        <v>53</v>
      </c>
    </row>
    <row r="54" spans="34:38" x14ac:dyDescent="0.2">
      <c r="AH54" s="6" t="s">
        <v>2508</v>
      </c>
      <c r="AI54" s="13">
        <v>14516</v>
      </c>
      <c r="AJ54" s="13">
        <v>17464</v>
      </c>
      <c r="AK54" s="13">
        <v>15168</v>
      </c>
      <c r="AL54" s="13">
        <v>47148</v>
      </c>
    </row>
    <row r="65" spans="15:36" x14ac:dyDescent="0.2">
      <c r="O65" s="7" t="s">
        <v>2548</v>
      </c>
      <c r="P65" s="7" t="s">
        <v>2517</v>
      </c>
    </row>
    <row r="66" spans="15:36" x14ac:dyDescent="0.2">
      <c r="O66" s="7" t="s">
        <v>2509</v>
      </c>
      <c r="P66" t="s">
        <v>2501</v>
      </c>
      <c r="Q66" t="s">
        <v>2502</v>
      </c>
      <c r="R66" t="s">
        <v>2500</v>
      </c>
      <c r="S66" t="s">
        <v>2508</v>
      </c>
    </row>
    <row r="67" spans="15:36" x14ac:dyDescent="0.2">
      <c r="O67" s="6" t="s">
        <v>2574</v>
      </c>
      <c r="P67" s="13">
        <v>3038</v>
      </c>
      <c r="Q67" s="13">
        <v>1726</v>
      </c>
      <c r="R67" s="13">
        <v>9752</v>
      </c>
      <c r="S67" s="13">
        <v>14516</v>
      </c>
    </row>
    <row r="68" spans="15:36" x14ac:dyDescent="0.2">
      <c r="O68" s="6" t="s">
        <v>2575</v>
      </c>
      <c r="P68" s="13">
        <v>3353</v>
      </c>
      <c r="Q68" s="13">
        <v>3344</v>
      </c>
      <c r="R68" s="13">
        <v>10767</v>
      </c>
      <c r="S68" s="13">
        <v>17464</v>
      </c>
    </row>
    <row r="69" spans="15:36" x14ac:dyDescent="0.2">
      <c r="O69" s="6" t="s">
        <v>2576</v>
      </c>
      <c r="P69" s="13">
        <v>3168</v>
      </c>
      <c r="Q69" s="13">
        <v>2606</v>
      </c>
      <c r="R69" s="13">
        <v>9394</v>
      </c>
      <c r="S69" s="13">
        <v>15168</v>
      </c>
    </row>
    <row r="70" spans="15:36" x14ac:dyDescent="0.2">
      <c r="O70" s="6" t="s">
        <v>2508</v>
      </c>
      <c r="P70" s="13">
        <v>9559</v>
      </c>
      <c r="Q70" s="13">
        <v>7676</v>
      </c>
      <c r="R70" s="13">
        <v>29913</v>
      </c>
      <c r="S70" s="13">
        <v>47148</v>
      </c>
    </row>
    <row r="72" spans="15:36" x14ac:dyDescent="0.2">
      <c r="W72" s="25"/>
      <c r="X72" s="25"/>
      <c r="Y72" s="25"/>
      <c r="Z72" s="25"/>
      <c r="AA72" s="25"/>
      <c r="AB72" s="25"/>
      <c r="AC72" s="25"/>
      <c r="AD72" s="25"/>
      <c r="AE72" s="25"/>
      <c r="AF72" s="25"/>
      <c r="AG72" s="25"/>
      <c r="AH72" s="25"/>
    </row>
    <row r="73" spans="15:36" x14ac:dyDescent="0.2">
      <c r="W73" s="25"/>
      <c r="X73" s="25"/>
      <c r="Y73" s="25"/>
      <c r="Z73" s="25"/>
      <c r="AA73" s="25"/>
      <c r="AB73" s="25"/>
      <c r="AC73" s="25"/>
      <c r="AD73" s="25"/>
      <c r="AE73" s="25"/>
      <c r="AF73" s="25"/>
      <c r="AG73" s="25"/>
      <c r="AH73" s="25"/>
    </row>
    <row r="74" spans="15:36" x14ac:dyDescent="0.2">
      <c r="W74" s="25"/>
      <c r="X74" s="25"/>
      <c r="Y74" s="25"/>
      <c r="Z74" s="25"/>
      <c r="AA74" s="25"/>
      <c r="AB74" s="25"/>
      <c r="AC74" s="25"/>
      <c r="AD74" s="25"/>
      <c r="AE74" s="25"/>
      <c r="AF74" s="25"/>
      <c r="AG74" s="25"/>
      <c r="AH74" s="25"/>
    </row>
    <row r="75" spans="15:36" x14ac:dyDescent="0.2">
      <c r="P75" s="7" t="s">
        <v>2519</v>
      </c>
      <c r="Q75" t="s">
        <v>2518</v>
      </c>
      <c r="W75" s="25"/>
      <c r="X75" s="25"/>
      <c r="Y75" s="25"/>
      <c r="Z75" s="25"/>
      <c r="AA75" s="25"/>
      <c r="AB75" s="25"/>
      <c r="AC75" s="25"/>
      <c r="AD75" s="26"/>
      <c r="AE75" s="26"/>
      <c r="AF75" s="26"/>
      <c r="AG75" s="26"/>
      <c r="AH75" s="25"/>
    </row>
    <row r="76" spans="15:36" ht="19" x14ac:dyDescent="0.25">
      <c r="W76" s="25"/>
      <c r="X76" s="27"/>
      <c r="Y76" s="28"/>
      <c r="Z76" s="29"/>
      <c r="AA76" s="29"/>
      <c r="AB76" s="25"/>
      <c r="AC76" s="25"/>
      <c r="AD76" s="30"/>
      <c r="AE76" s="31"/>
      <c r="AF76" s="31"/>
      <c r="AG76" s="31"/>
      <c r="AH76" s="25"/>
    </row>
    <row r="77" spans="15:36" ht="19" x14ac:dyDescent="0.25">
      <c r="P77" s="7" t="s">
        <v>2548</v>
      </c>
      <c r="Q77" s="7" t="s">
        <v>2517</v>
      </c>
      <c r="W77" s="25"/>
      <c r="X77" s="29"/>
      <c r="Y77" s="29"/>
      <c r="Z77" s="29"/>
      <c r="AA77" s="29"/>
      <c r="AB77" s="25"/>
      <c r="AC77" s="25"/>
      <c r="AD77" s="30"/>
      <c r="AE77" s="31"/>
      <c r="AF77" s="31"/>
      <c r="AG77" s="31"/>
      <c r="AH77" s="25"/>
    </row>
    <row r="78" spans="15:36" ht="19" x14ac:dyDescent="0.25">
      <c r="P78" s="7" t="s">
        <v>2509</v>
      </c>
      <c r="Q78" t="s">
        <v>2574</v>
      </c>
      <c r="R78" t="s">
        <v>2575</v>
      </c>
      <c r="S78" t="s">
        <v>2576</v>
      </c>
      <c r="T78" t="s">
        <v>2508</v>
      </c>
      <c r="W78" s="25"/>
      <c r="X78" s="28"/>
      <c r="Y78" s="28"/>
      <c r="Z78" s="28"/>
      <c r="AA78" s="28"/>
      <c r="AB78" s="25"/>
      <c r="AC78" s="25"/>
      <c r="AD78" s="30"/>
      <c r="AE78" s="31"/>
      <c r="AF78" s="31"/>
      <c r="AG78" s="31"/>
      <c r="AH78" s="25"/>
      <c r="AI78" s="7" t="s">
        <v>2519</v>
      </c>
      <c r="AJ78" t="s">
        <v>2504</v>
      </c>
    </row>
    <row r="79" spans="15:36" x14ac:dyDescent="0.2">
      <c r="P79" s="6" t="s">
        <v>2581</v>
      </c>
      <c r="Q79" s="13"/>
      <c r="R79" s="13"/>
      <c r="S79" s="13">
        <v>53</v>
      </c>
      <c r="T79" s="13">
        <v>53</v>
      </c>
      <c r="W79" s="25"/>
      <c r="X79" s="30"/>
      <c r="Y79" s="31"/>
      <c r="Z79" s="31"/>
      <c r="AA79" s="31"/>
      <c r="AB79" s="25"/>
      <c r="AC79" s="25"/>
      <c r="AD79" s="30"/>
      <c r="AE79" s="31"/>
      <c r="AF79" s="31"/>
      <c r="AG79" s="31"/>
      <c r="AH79" s="25"/>
    </row>
    <row r="80" spans="15:36" x14ac:dyDescent="0.2">
      <c r="P80" s="6" t="s">
        <v>2582</v>
      </c>
      <c r="Q80" s="13">
        <v>54</v>
      </c>
      <c r="R80" s="13"/>
      <c r="S80" s="13"/>
      <c r="T80" s="13">
        <v>54</v>
      </c>
      <c r="W80" s="25"/>
      <c r="X80" s="30"/>
      <c r="Y80" s="31"/>
      <c r="Z80" s="31"/>
      <c r="AA80" s="31"/>
      <c r="AB80" s="25"/>
      <c r="AC80" s="25"/>
      <c r="AD80" s="30"/>
      <c r="AE80" s="31"/>
      <c r="AF80" s="31"/>
      <c r="AG80" s="31"/>
      <c r="AH80" s="25"/>
      <c r="AI80" s="7" t="s">
        <v>2548</v>
      </c>
      <c r="AJ80" s="7" t="s">
        <v>2517</v>
      </c>
    </row>
    <row r="81" spans="16:39" x14ac:dyDescent="0.2">
      <c r="P81" s="6" t="s">
        <v>2583</v>
      </c>
      <c r="Q81" s="13">
        <v>108</v>
      </c>
      <c r="R81" s="13"/>
      <c r="S81" s="13">
        <v>54</v>
      </c>
      <c r="T81" s="13">
        <v>162</v>
      </c>
      <c r="W81" s="25"/>
      <c r="X81" s="30"/>
      <c r="Y81" s="31"/>
      <c r="Z81" s="31"/>
      <c r="AA81" s="31"/>
      <c r="AB81" s="25"/>
      <c r="AC81" s="25"/>
      <c r="AD81" s="30"/>
      <c r="AE81" s="31"/>
      <c r="AF81" s="31"/>
      <c r="AG81" s="31"/>
      <c r="AH81" s="25"/>
      <c r="AI81" s="7" t="s">
        <v>2509</v>
      </c>
      <c r="AJ81" t="s">
        <v>2574</v>
      </c>
      <c r="AK81" t="s">
        <v>2575</v>
      </c>
      <c r="AL81" t="s">
        <v>2576</v>
      </c>
      <c r="AM81" t="s">
        <v>2508</v>
      </c>
    </row>
    <row r="82" spans="16:39" x14ac:dyDescent="0.2">
      <c r="P82" s="6" t="s">
        <v>2584</v>
      </c>
      <c r="Q82" s="13">
        <v>83</v>
      </c>
      <c r="R82" s="13"/>
      <c r="S82" s="13"/>
      <c r="T82" s="13">
        <v>83</v>
      </c>
      <c r="W82" s="25"/>
      <c r="X82" s="30"/>
      <c r="Y82" s="31"/>
      <c r="Z82" s="31"/>
      <c r="AA82" s="31"/>
      <c r="AB82" s="25"/>
      <c r="AC82" s="25"/>
      <c r="AD82" s="30"/>
      <c r="AE82" s="31"/>
      <c r="AF82" s="31"/>
      <c r="AG82" s="31"/>
      <c r="AH82" s="25"/>
      <c r="AI82" s="6" t="s">
        <v>2581</v>
      </c>
      <c r="AJ82" s="13"/>
      <c r="AK82" s="13"/>
      <c r="AL82" s="13">
        <v>53</v>
      </c>
      <c r="AM82" s="13">
        <v>53</v>
      </c>
    </row>
    <row r="83" spans="16:39" x14ac:dyDescent="0.2">
      <c r="P83" s="6" t="s">
        <v>2585</v>
      </c>
      <c r="Q83" s="13"/>
      <c r="R83" s="13">
        <v>209</v>
      </c>
      <c r="S83" s="13"/>
      <c r="T83" s="13">
        <v>209</v>
      </c>
      <c r="W83" s="25"/>
      <c r="X83" s="30"/>
      <c r="Y83" s="31"/>
      <c r="Z83" s="31"/>
      <c r="AA83" s="31"/>
      <c r="AB83" s="25"/>
      <c r="AC83" s="25"/>
      <c r="AD83" s="30"/>
      <c r="AE83" s="31"/>
      <c r="AF83" s="31"/>
      <c r="AG83" s="31"/>
      <c r="AH83" s="25"/>
      <c r="AI83" s="6" t="s">
        <v>2585</v>
      </c>
      <c r="AJ83" s="13"/>
      <c r="AK83" s="13">
        <v>84</v>
      </c>
      <c r="AL83" s="13"/>
      <c r="AM83" s="13">
        <v>84</v>
      </c>
    </row>
    <row r="84" spans="16:39" x14ac:dyDescent="0.2">
      <c r="P84" s="6" t="s">
        <v>2586</v>
      </c>
      <c r="Q84" s="13">
        <v>67</v>
      </c>
      <c r="R84" s="13"/>
      <c r="S84" s="13"/>
      <c r="T84" s="13">
        <v>67</v>
      </c>
      <c r="W84" s="25"/>
      <c r="X84" s="30"/>
      <c r="Y84" s="31"/>
      <c r="Z84" s="31"/>
      <c r="AA84" s="31"/>
      <c r="AB84" s="25"/>
      <c r="AC84" s="25"/>
      <c r="AD84" s="30"/>
      <c r="AE84" s="31"/>
      <c r="AF84" s="31"/>
      <c r="AG84" s="31"/>
      <c r="AH84" s="25"/>
      <c r="AI84" s="6" t="s">
        <v>2590</v>
      </c>
      <c r="AJ84" s="13">
        <v>67</v>
      </c>
      <c r="AK84" s="13"/>
      <c r="AL84" s="13"/>
      <c r="AM84" s="13">
        <v>67</v>
      </c>
    </row>
    <row r="85" spans="16:39" x14ac:dyDescent="0.2">
      <c r="P85" s="6" t="s">
        <v>2587</v>
      </c>
      <c r="Q85" s="13">
        <v>120</v>
      </c>
      <c r="R85" s="13"/>
      <c r="S85" s="13"/>
      <c r="T85" s="13">
        <v>120</v>
      </c>
      <c r="W85" s="25"/>
      <c r="X85" s="30"/>
      <c r="Y85" s="31"/>
      <c r="Z85" s="31"/>
      <c r="AA85" s="31"/>
      <c r="AB85" s="25"/>
      <c r="AC85" s="25"/>
      <c r="AD85" s="30"/>
      <c r="AE85" s="31"/>
      <c r="AF85" s="31"/>
      <c r="AG85" s="31"/>
      <c r="AH85" s="25"/>
      <c r="AI85" s="6" t="s">
        <v>2592</v>
      </c>
      <c r="AJ85" s="13"/>
      <c r="AK85" s="13"/>
      <c r="AL85" s="13">
        <v>45</v>
      </c>
      <c r="AM85" s="13">
        <v>45</v>
      </c>
    </row>
    <row r="86" spans="16:39" x14ac:dyDescent="0.2">
      <c r="P86" s="6" t="s">
        <v>2588</v>
      </c>
      <c r="Q86" s="13"/>
      <c r="R86" s="13"/>
      <c r="S86" s="13">
        <v>90</v>
      </c>
      <c r="T86" s="13">
        <v>90</v>
      </c>
      <c r="W86" s="21"/>
      <c r="X86" s="23"/>
      <c r="Y86" s="20"/>
      <c r="Z86" s="20"/>
      <c r="AA86" s="20"/>
      <c r="AB86" s="21"/>
      <c r="AC86" s="21"/>
      <c r="AD86" s="6"/>
      <c r="AE86" s="13"/>
      <c r="AF86" s="13"/>
      <c r="AG86" s="13"/>
      <c r="AI86" s="6" t="s">
        <v>2593</v>
      </c>
      <c r="AJ86" s="13"/>
      <c r="AK86" s="13"/>
      <c r="AL86" s="13">
        <v>45</v>
      </c>
      <c r="AM86" s="13">
        <v>45</v>
      </c>
    </row>
    <row r="87" spans="16:39" x14ac:dyDescent="0.2">
      <c r="P87" s="6" t="s">
        <v>2589</v>
      </c>
      <c r="Q87" s="13">
        <v>36</v>
      </c>
      <c r="R87" s="13">
        <v>120</v>
      </c>
      <c r="S87" s="13"/>
      <c r="T87" s="13">
        <v>156</v>
      </c>
      <c r="W87" s="21"/>
      <c r="X87" s="23"/>
      <c r="Y87" s="20"/>
      <c r="Z87" s="20"/>
      <c r="AA87" s="20"/>
      <c r="AB87" s="21"/>
      <c r="AC87" s="21"/>
      <c r="AD87" s="6"/>
      <c r="AE87" s="13"/>
      <c r="AF87" s="13"/>
      <c r="AG87" s="13"/>
      <c r="AI87" s="6" t="s">
        <v>2595</v>
      </c>
      <c r="AJ87" s="13"/>
      <c r="AK87" s="13">
        <v>67</v>
      </c>
      <c r="AL87" s="13"/>
      <c r="AM87" s="13">
        <v>67</v>
      </c>
    </row>
    <row r="88" spans="16:39" x14ac:dyDescent="0.2">
      <c r="P88" s="6" t="s">
        <v>2590</v>
      </c>
      <c r="Q88" s="13">
        <v>67</v>
      </c>
      <c r="R88" s="13">
        <v>36</v>
      </c>
      <c r="S88" s="13">
        <v>157</v>
      </c>
      <c r="T88" s="13">
        <v>260</v>
      </c>
      <c r="W88" s="21"/>
      <c r="X88" s="23"/>
      <c r="Y88" s="20"/>
      <c r="Z88" s="20"/>
      <c r="AA88" s="20"/>
      <c r="AB88" s="21"/>
      <c r="AC88" s="21"/>
      <c r="AD88" s="6"/>
      <c r="AE88" s="13"/>
      <c r="AF88" s="13"/>
      <c r="AG88" s="13"/>
      <c r="AI88" s="6" t="s">
        <v>2596</v>
      </c>
      <c r="AJ88" s="13"/>
      <c r="AK88" s="13">
        <v>37</v>
      </c>
      <c r="AL88" s="13"/>
      <c r="AM88" s="13">
        <v>37</v>
      </c>
    </row>
    <row r="89" spans="16:39" x14ac:dyDescent="0.2">
      <c r="P89" s="6" t="s">
        <v>2591</v>
      </c>
      <c r="Q89" s="13"/>
      <c r="R89" s="13">
        <v>270</v>
      </c>
      <c r="S89" s="13"/>
      <c r="T89" s="13">
        <v>270</v>
      </c>
      <c r="W89" s="21"/>
      <c r="X89" s="23"/>
      <c r="Y89" s="20"/>
      <c r="Z89" s="20"/>
      <c r="AA89" s="20"/>
      <c r="AB89" s="21"/>
      <c r="AC89" s="21"/>
      <c r="AD89" s="6"/>
      <c r="AE89" s="13"/>
      <c r="AF89" s="13"/>
      <c r="AG89" s="13"/>
      <c r="AI89" s="6" t="s">
        <v>2598</v>
      </c>
      <c r="AJ89" s="13"/>
      <c r="AK89" s="13"/>
      <c r="AL89" s="13">
        <v>60</v>
      </c>
      <c r="AM89" s="13">
        <v>60</v>
      </c>
    </row>
    <row r="90" spans="16:39" x14ac:dyDescent="0.2">
      <c r="P90" s="6" t="s">
        <v>2592</v>
      </c>
      <c r="Q90" s="13"/>
      <c r="R90" s="13"/>
      <c r="S90" s="13">
        <v>45</v>
      </c>
      <c r="T90" s="13">
        <v>45</v>
      </c>
      <c r="W90" s="21"/>
      <c r="X90" s="23"/>
      <c r="Y90" s="20"/>
      <c r="Z90" s="20"/>
      <c r="AA90" s="20"/>
      <c r="AB90" s="21"/>
      <c r="AC90" s="21"/>
      <c r="AD90" s="6"/>
      <c r="AE90" s="13"/>
      <c r="AF90" s="13"/>
      <c r="AG90" s="13"/>
      <c r="AI90" s="6" t="s">
        <v>2600</v>
      </c>
      <c r="AJ90" s="13">
        <v>30</v>
      </c>
      <c r="AK90" s="13"/>
      <c r="AL90" s="13"/>
      <c r="AM90" s="13">
        <v>30</v>
      </c>
    </row>
    <row r="91" spans="16:39" x14ac:dyDescent="0.2">
      <c r="P91" s="6" t="s">
        <v>2593</v>
      </c>
      <c r="Q91" s="13">
        <v>45</v>
      </c>
      <c r="R91" s="13"/>
      <c r="S91" s="13">
        <v>203</v>
      </c>
      <c r="T91" s="13">
        <v>248</v>
      </c>
      <c r="W91" s="21"/>
      <c r="X91" s="23"/>
      <c r="Y91" s="20"/>
      <c r="Z91" s="20"/>
      <c r="AA91" s="20"/>
      <c r="AB91" s="21"/>
      <c r="AC91" s="21"/>
      <c r="AD91" s="6"/>
      <c r="AE91" s="13"/>
      <c r="AF91" s="13"/>
      <c r="AG91" s="13"/>
      <c r="AI91" s="6" t="s">
        <v>2601</v>
      </c>
      <c r="AJ91" s="13">
        <v>30</v>
      </c>
      <c r="AK91" s="13">
        <v>75</v>
      </c>
      <c r="AL91" s="13"/>
      <c r="AM91" s="13">
        <v>105</v>
      </c>
    </row>
    <row r="92" spans="16:39" x14ac:dyDescent="0.2">
      <c r="P92" s="6" t="s">
        <v>2594</v>
      </c>
      <c r="Q92" s="13"/>
      <c r="R92" s="13"/>
      <c r="S92" s="13">
        <v>67</v>
      </c>
      <c r="T92" s="13">
        <v>67</v>
      </c>
      <c r="W92" s="21"/>
      <c r="X92" s="23"/>
      <c r="Y92" s="20"/>
      <c r="Z92" s="20"/>
      <c r="AA92" s="20"/>
      <c r="AB92" s="21"/>
      <c r="AC92" s="21"/>
      <c r="AD92" s="6"/>
      <c r="AE92" s="13"/>
      <c r="AF92" s="13"/>
      <c r="AG92" s="13"/>
      <c r="AI92" s="6" t="s">
        <v>2603</v>
      </c>
      <c r="AJ92" s="13"/>
      <c r="AK92" s="13">
        <v>218</v>
      </c>
      <c r="AL92" s="13"/>
      <c r="AM92" s="13">
        <v>218</v>
      </c>
    </row>
    <row r="93" spans="16:39" x14ac:dyDescent="0.2">
      <c r="P93" s="6" t="s">
        <v>2595</v>
      </c>
      <c r="Q93" s="13">
        <v>127</v>
      </c>
      <c r="R93" s="13">
        <v>67</v>
      </c>
      <c r="S93" s="13">
        <v>327</v>
      </c>
      <c r="T93" s="13">
        <v>521</v>
      </c>
      <c r="W93" s="21"/>
      <c r="X93" s="23"/>
      <c r="Y93" s="20"/>
      <c r="Z93" s="20"/>
      <c r="AA93" s="20"/>
      <c r="AB93" s="21"/>
      <c r="AC93" s="21"/>
      <c r="AD93" s="6"/>
      <c r="AE93" s="13"/>
      <c r="AF93" s="13"/>
      <c r="AG93" s="13"/>
      <c r="AI93" s="6" t="s">
        <v>2604</v>
      </c>
      <c r="AJ93" s="13"/>
      <c r="AK93" s="13"/>
      <c r="AL93" s="13">
        <v>132</v>
      </c>
      <c r="AM93" s="13">
        <v>132</v>
      </c>
    </row>
    <row r="94" spans="16:39" x14ac:dyDescent="0.2">
      <c r="P94" s="6" t="s">
        <v>2596</v>
      </c>
      <c r="Q94" s="13"/>
      <c r="R94" s="13">
        <v>127</v>
      </c>
      <c r="S94" s="13">
        <v>106</v>
      </c>
      <c r="T94" s="13">
        <v>233</v>
      </c>
      <c r="W94" s="21"/>
      <c r="X94" s="23"/>
      <c r="Y94" s="20"/>
      <c r="Z94" s="20"/>
      <c r="AA94" s="20"/>
      <c r="AB94" s="21"/>
      <c r="AC94" s="21"/>
      <c r="AD94" s="6"/>
      <c r="AE94" s="13"/>
      <c r="AF94" s="13"/>
      <c r="AG94" s="13"/>
      <c r="AI94" s="6" t="s">
        <v>2607</v>
      </c>
      <c r="AJ94" s="13">
        <v>42</v>
      </c>
      <c r="AK94" s="13"/>
      <c r="AL94" s="13"/>
      <c r="AM94" s="13">
        <v>42</v>
      </c>
    </row>
    <row r="95" spans="16:39" x14ac:dyDescent="0.2">
      <c r="P95" s="6" t="s">
        <v>2597</v>
      </c>
      <c r="Q95" s="13"/>
      <c r="R95" s="13"/>
      <c r="S95" s="13">
        <v>75</v>
      </c>
      <c r="T95" s="13">
        <v>75</v>
      </c>
      <c r="W95" s="21"/>
      <c r="X95" s="23"/>
      <c r="Y95" s="20"/>
      <c r="Z95" s="20"/>
      <c r="AA95" s="20"/>
      <c r="AB95" s="21"/>
      <c r="AC95" s="21"/>
      <c r="AD95" s="6"/>
      <c r="AE95" s="13"/>
      <c r="AF95" s="13"/>
      <c r="AG95" s="13"/>
      <c r="AI95" s="6" t="s">
        <v>2608</v>
      </c>
      <c r="AJ95" s="13"/>
      <c r="AK95" s="13">
        <v>37</v>
      </c>
      <c r="AL95" s="13">
        <v>45</v>
      </c>
      <c r="AM95" s="13">
        <v>82</v>
      </c>
    </row>
    <row r="96" spans="16:39" x14ac:dyDescent="0.2">
      <c r="P96" s="6" t="s">
        <v>2598</v>
      </c>
      <c r="Q96" s="13">
        <v>66</v>
      </c>
      <c r="R96" s="13"/>
      <c r="S96" s="13">
        <v>60</v>
      </c>
      <c r="T96" s="13">
        <v>126</v>
      </c>
      <c r="W96" s="21"/>
      <c r="X96" s="23"/>
      <c r="Y96" s="20"/>
      <c r="Z96" s="20"/>
      <c r="AA96" s="20"/>
      <c r="AB96" s="21"/>
      <c r="AC96" s="21"/>
      <c r="AD96" s="6"/>
      <c r="AE96" s="13"/>
      <c r="AF96" s="13"/>
      <c r="AG96" s="13"/>
      <c r="AI96" s="6" t="s">
        <v>2609</v>
      </c>
      <c r="AJ96" s="13"/>
      <c r="AK96" s="13"/>
      <c r="AL96" s="13">
        <v>134</v>
      </c>
      <c r="AM96" s="13">
        <v>134</v>
      </c>
    </row>
    <row r="97" spans="16:39" x14ac:dyDescent="0.2">
      <c r="P97" s="6" t="s">
        <v>2599</v>
      </c>
      <c r="Q97" s="13"/>
      <c r="R97" s="13">
        <v>36</v>
      </c>
      <c r="S97" s="13"/>
      <c r="T97" s="13">
        <v>36</v>
      </c>
      <c r="W97" s="21"/>
      <c r="X97" s="23"/>
      <c r="Y97" s="20"/>
      <c r="Z97" s="20"/>
      <c r="AA97" s="20"/>
      <c r="AB97" s="21"/>
      <c r="AC97" s="21"/>
      <c r="AD97" s="6"/>
      <c r="AE97" s="13"/>
      <c r="AF97" s="13"/>
      <c r="AG97" s="13"/>
      <c r="AI97" s="6" t="s">
        <v>2614</v>
      </c>
      <c r="AJ97" s="13"/>
      <c r="AK97" s="13">
        <v>60</v>
      </c>
      <c r="AL97" s="13">
        <v>83</v>
      </c>
      <c r="AM97" s="13">
        <v>143</v>
      </c>
    </row>
    <row r="98" spans="16:39" x14ac:dyDescent="0.2">
      <c r="P98" s="6" t="s">
        <v>2600</v>
      </c>
      <c r="Q98" s="13">
        <v>180</v>
      </c>
      <c r="R98" s="13">
        <v>135</v>
      </c>
      <c r="S98" s="13">
        <v>210</v>
      </c>
      <c r="T98" s="13">
        <v>525</v>
      </c>
      <c r="W98" s="21"/>
      <c r="X98" s="23"/>
      <c r="Y98" s="20"/>
      <c r="Z98" s="20"/>
      <c r="AA98" s="20"/>
      <c r="AB98" s="21"/>
      <c r="AC98" s="21"/>
      <c r="AD98" s="6"/>
      <c r="AE98" s="13"/>
      <c r="AF98" s="13"/>
      <c r="AG98" s="13"/>
      <c r="AI98" s="6" t="s">
        <v>2616</v>
      </c>
      <c r="AJ98" s="13"/>
      <c r="AK98" s="13"/>
      <c r="AL98" s="13">
        <v>45</v>
      </c>
      <c r="AM98" s="13">
        <v>45</v>
      </c>
    </row>
    <row r="99" spans="16:39" x14ac:dyDescent="0.2">
      <c r="P99" s="6" t="s">
        <v>2601</v>
      </c>
      <c r="Q99" s="13">
        <v>157</v>
      </c>
      <c r="R99" s="13">
        <v>150</v>
      </c>
      <c r="S99" s="13">
        <v>127</v>
      </c>
      <c r="T99" s="13">
        <v>434</v>
      </c>
      <c r="W99" s="21"/>
      <c r="X99" s="23"/>
      <c r="Y99" s="20"/>
      <c r="Z99" s="21"/>
      <c r="AA99" s="20"/>
      <c r="AB99" s="21"/>
      <c r="AC99" s="21"/>
      <c r="AD99" s="6"/>
      <c r="AE99" s="13"/>
      <c r="AF99" s="13"/>
      <c r="AG99" s="13"/>
      <c r="AI99" s="6" t="s">
        <v>2617</v>
      </c>
      <c r="AJ99" s="13"/>
      <c r="AK99" s="13">
        <v>45</v>
      </c>
      <c r="AL99" s="13">
        <v>45</v>
      </c>
      <c r="AM99" s="13">
        <v>90</v>
      </c>
    </row>
    <row r="100" spans="16:39" x14ac:dyDescent="0.2">
      <c r="P100" s="6" t="s">
        <v>2602</v>
      </c>
      <c r="Q100" s="13"/>
      <c r="R100" s="13">
        <v>120</v>
      </c>
      <c r="S100" s="13"/>
      <c r="T100" s="13">
        <v>120</v>
      </c>
      <c r="W100" s="21"/>
      <c r="X100" s="23"/>
      <c r="Y100" s="20"/>
      <c r="Z100" s="20"/>
      <c r="AA100" s="20"/>
      <c r="AB100" s="21"/>
      <c r="AC100" s="21"/>
      <c r="AD100" s="6"/>
      <c r="AE100" s="13"/>
      <c r="AF100" s="13"/>
      <c r="AG100" s="13"/>
      <c r="AI100" s="6" t="s">
        <v>2619</v>
      </c>
      <c r="AJ100" s="13">
        <v>42</v>
      </c>
      <c r="AK100" s="13"/>
      <c r="AL100" s="13">
        <v>90</v>
      </c>
      <c r="AM100" s="13">
        <v>132</v>
      </c>
    </row>
    <row r="101" spans="16:39" x14ac:dyDescent="0.2">
      <c r="P101" s="6" t="s">
        <v>2603</v>
      </c>
      <c r="Q101" s="13">
        <v>128</v>
      </c>
      <c r="R101" s="13">
        <v>493</v>
      </c>
      <c r="S101" s="13">
        <v>263</v>
      </c>
      <c r="T101" s="13">
        <v>884</v>
      </c>
      <c r="W101" s="21"/>
      <c r="X101" s="23"/>
      <c r="Y101" s="20"/>
      <c r="Z101" s="20"/>
      <c r="AA101" s="20"/>
      <c r="AB101" s="21"/>
      <c r="AC101" s="21"/>
      <c r="AD101" s="6"/>
      <c r="AE101" s="13"/>
      <c r="AF101" s="13"/>
      <c r="AG101" s="13"/>
      <c r="AI101" s="6" t="s">
        <v>2620</v>
      </c>
      <c r="AJ101" s="13">
        <v>75</v>
      </c>
      <c r="AK101" s="13"/>
      <c r="AL101" s="13"/>
      <c r="AM101" s="13">
        <v>75</v>
      </c>
    </row>
    <row r="102" spans="16:39" x14ac:dyDescent="0.2">
      <c r="P102" s="6" t="s">
        <v>2604</v>
      </c>
      <c r="Q102" s="13"/>
      <c r="R102" s="13"/>
      <c r="S102" s="13">
        <v>132</v>
      </c>
      <c r="T102" s="13">
        <v>132</v>
      </c>
      <c r="W102" s="21"/>
      <c r="X102" s="23"/>
      <c r="Y102" s="20"/>
      <c r="Z102" s="20"/>
      <c r="AA102" s="20"/>
      <c r="AB102" s="21"/>
      <c r="AC102" s="21"/>
      <c r="AD102" s="6"/>
      <c r="AE102" s="13"/>
      <c r="AF102" s="13"/>
      <c r="AG102" s="13"/>
      <c r="AI102" s="6" t="s">
        <v>2621</v>
      </c>
      <c r="AJ102" s="13"/>
      <c r="AK102" s="13">
        <v>59</v>
      </c>
      <c r="AL102" s="13"/>
      <c r="AM102" s="13">
        <v>59</v>
      </c>
    </row>
    <row r="103" spans="16:39" x14ac:dyDescent="0.2">
      <c r="P103" s="6" t="s">
        <v>2605</v>
      </c>
      <c r="Q103" s="13">
        <v>48</v>
      </c>
      <c r="R103" s="13"/>
      <c r="S103" s="13"/>
      <c r="T103" s="13">
        <v>48</v>
      </c>
      <c r="W103" s="21"/>
      <c r="X103" s="23"/>
      <c r="Y103" s="20"/>
      <c r="Z103" s="20"/>
      <c r="AA103" s="20"/>
      <c r="AB103" s="21"/>
      <c r="AC103" s="21"/>
      <c r="AD103" s="6"/>
      <c r="AE103" s="13"/>
      <c r="AF103" s="13"/>
      <c r="AG103" s="13"/>
      <c r="AI103" s="6" t="s">
        <v>2624</v>
      </c>
      <c r="AJ103" s="13"/>
      <c r="AK103" s="13"/>
      <c r="AL103" s="13">
        <v>42</v>
      </c>
      <c r="AM103" s="13">
        <v>42</v>
      </c>
    </row>
    <row r="104" spans="16:39" x14ac:dyDescent="0.2">
      <c r="P104" s="6" t="s">
        <v>2606</v>
      </c>
      <c r="Q104" s="13">
        <v>150</v>
      </c>
      <c r="R104" s="13"/>
      <c r="S104" s="13">
        <v>45</v>
      </c>
      <c r="T104" s="13">
        <v>195</v>
      </c>
      <c r="W104" s="21"/>
      <c r="X104" s="23"/>
      <c r="Y104" s="20"/>
      <c r="Z104" s="20"/>
      <c r="AA104" s="20"/>
      <c r="AB104" s="21"/>
      <c r="AC104" s="21"/>
      <c r="AD104" s="6"/>
      <c r="AE104" s="13"/>
      <c r="AF104" s="13"/>
      <c r="AG104" s="13"/>
      <c r="AI104" s="6" t="s">
        <v>2626</v>
      </c>
      <c r="AJ104" s="13"/>
      <c r="AK104" s="13"/>
      <c r="AL104" s="13">
        <v>60</v>
      </c>
      <c r="AM104" s="13">
        <v>60</v>
      </c>
    </row>
    <row r="105" spans="16:39" x14ac:dyDescent="0.2">
      <c r="P105" s="6" t="s">
        <v>2607</v>
      </c>
      <c r="Q105" s="13">
        <v>42</v>
      </c>
      <c r="R105" s="13"/>
      <c r="S105" s="13"/>
      <c r="T105" s="13">
        <v>42</v>
      </c>
      <c r="W105" s="21"/>
      <c r="X105" s="23"/>
      <c r="Y105" s="20"/>
      <c r="Z105" s="20"/>
      <c r="AA105" s="20"/>
      <c r="AB105" s="21"/>
      <c r="AC105" s="21"/>
      <c r="AD105" s="6"/>
      <c r="AE105" s="13"/>
      <c r="AF105" s="13"/>
      <c r="AG105" s="13"/>
      <c r="AI105" s="6" t="s">
        <v>2627</v>
      </c>
      <c r="AJ105" s="13"/>
      <c r="AK105" s="13"/>
      <c r="AL105" s="13">
        <v>83</v>
      </c>
      <c r="AM105" s="13">
        <v>83</v>
      </c>
    </row>
    <row r="106" spans="16:39" x14ac:dyDescent="0.2">
      <c r="P106" s="6" t="s">
        <v>2608</v>
      </c>
      <c r="Q106" s="13"/>
      <c r="R106" s="13">
        <v>127</v>
      </c>
      <c r="S106" s="13">
        <v>211</v>
      </c>
      <c r="T106" s="13">
        <v>338</v>
      </c>
      <c r="W106" s="21"/>
      <c r="X106" s="23"/>
      <c r="Y106" s="20"/>
      <c r="Z106" s="20"/>
      <c r="AA106" s="20"/>
      <c r="AB106" s="21"/>
      <c r="AC106" s="21"/>
      <c r="AD106" s="6"/>
      <c r="AE106" s="13"/>
      <c r="AF106" s="13"/>
      <c r="AG106" s="13"/>
      <c r="AI106" s="6" t="s">
        <v>2628</v>
      </c>
      <c r="AJ106" s="13"/>
      <c r="AK106" s="13">
        <v>90</v>
      </c>
      <c r="AL106" s="13">
        <v>42</v>
      </c>
      <c r="AM106" s="13">
        <v>132</v>
      </c>
    </row>
    <row r="107" spans="16:39" x14ac:dyDescent="0.2">
      <c r="P107" s="6" t="s">
        <v>2609</v>
      </c>
      <c r="Q107" s="13">
        <v>45</v>
      </c>
      <c r="R107" s="13"/>
      <c r="S107" s="13">
        <v>201</v>
      </c>
      <c r="T107" s="13">
        <v>246</v>
      </c>
      <c r="W107" s="21"/>
      <c r="X107" s="23"/>
      <c r="Y107" s="20"/>
      <c r="Z107" s="20"/>
      <c r="AA107" s="20"/>
      <c r="AB107" s="21"/>
      <c r="AC107" s="21"/>
      <c r="AD107" s="6"/>
      <c r="AE107" s="13"/>
      <c r="AF107" s="13"/>
      <c r="AG107" s="13"/>
      <c r="AI107" s="6" t="s">
        <v>2629</v>
      </c>
      <c r="AJ107" s="13">
        <v>59</v>
      </c>
      <c r="AK107" s="13">
        <v>119</v>
      </c>
      <c r="AL107" s="13"/>
      <c r="AM107" s="13">
        <v>178</v>
      </c>
    </row>
    <row r="108" spans="16:39" x14ac:dyDescent="0.2">
      <c r="P108" s="6" t="s">
        <v>2610</v>
      </c>
      <c r="Q108" s="13"/>
      <c r="R108" s="13"/>
      <c r="S108" s="13">
        <v>67</v>
      </c>
      <c r="T108" s="13">
        <v>67</v>
      </c>
      <c r="W108" s="21"/>
      <c r="X108" s="23"/>
      <c r="Y108" s="20"/>
      <c r="Z108" s="20"/>
      <c r="AA108" s="20"/>
      <c r="AB108" s="21"/>
      <c r="AC108" s="21"/>
      <c r="AD108" s="6"/>
      <c r="AE108" s="13"/>
      <c r="AF108" s="13"/>
      <c r="AG108" s="13"/>
      <c r="AI108" s="6" t="s">
        <v>2630</v>
      </c>
      <c r="AJ108" s="13">
        <v>193</v>
      </c>
      <c r="AK108" s="13">
        <v>422</v>
      </c>
      <c r="AL108" s="13">
        <v>150</v>
      </c>
      <c r="AM108" s="13">
        <v>765</v>
      </c>
    </row>
    <row r="109" spans="16:39" x14ac:dyDescent="0.2">
      <c r="P109" s="6" t="s">
        <v>2611</v>
      </c>
      <c r="Q109" s="13"/>
      <c r="R109" s="13">
        <v>105</v>
      </c>
      <c r="S109" s="13">
        <v>45</v>
      </c>
      <c r="T109" s="13">
        <v>150</v>
      </c>
      <c r="W109" s="21"/>
      <c r="X109" s="23"/>
      <c r="Y109" s="20"/>
      <c r="Z109" s="20"/>
      <c r="AA109" s="20"/>
      <c r="AB109" s="21"/>
      <c r="AC109" s="21"/>
      <c r="AD109" s="6"/>
      <c r="AE109" s="13"/>
      <c r="AF109" s="13"/>
      <c r="AG109" s="13"/>
      <c r="AI109" s="6" t="s">
        <v>2631</v>
      </c>
      <c r="AJ109" s="13">
        <v>67</v>
      </c>
      <c r="AK109" s="13">
        <v>83</v>
      </c>
      <c r="AL109" s="13">
        <v>33</v>
      </c>
      <c r="AM109" s="13">
        <v>183</v>
      </c>
    </row>
    <row r="110" spans="16:39" x14ac:dyDescent="0.2">
      <c r="P110" s="6" t="s">
        <v>2612</v>
      </c>
      <c r="Q110" s="13"/>
      <c r="R110" s="13">
        <v>75</v>
      </c>
      <c r="S110" s="13">
        <v>45</v>
      </c>
      <c r="T110" s="13">
        <v>120</v>
      </c>
      <c r="W110" s="21"/>
      <c r="X110" s="23"/>
      <c r="Y110" s="20"/>
      <c r="Z110" s="20"/>
      <c r="AA110" s="20"/>
      <c r="AB110" s="21"/>
      <c r="AC110" s="21"/>
      <c r="AD110" s="6"/>
      <c r="AE110" s="13"/>
      <c r="AF110" s="13"/>
      <c r="AG110" s="13"/>
      <c r="AI110" s="6" t="s">
        <v>2633</v>
      </c>
      <c r="AJ110" s="13"/>
      <c r="AK110" s="13">
        <v>97</v>
      </c>
      <c r="AL110" s="13">
        <v>183</v>
      </c>
      <c r="AM110" s="13">
        <v>280</v>
      </c>
    </row>
    <row r="111" spans="16:39" x14ac:dyDescent="0.2">
      <c r="P111" s="6" t="s">
        <v>2613</v>
      </c>
      <c r="Q111" s="13">
        <v>45</v>
      </c>
      <c r="R111" s="13"/>
      <c r="S111" s="13"/>
      <c r="T111" s="13">
        <v>45</v>
      </c>
      <c r="W111" s="21"/>
      <c r="X111" s="23"/>
      <c r="Y111" s="20"/>
      <c r="Z111" s="20"/>
      <c r="AA111" s="20"/>
      <c r="AB111" s="21"/>
      <c r="AC111" s="21"/>
      <c r="AD111" s="6"/>
      <c r="AE111" s="13"/>
      <c r="AF111" s="13"/>
      <c r="AG111" s="13"/>
      <c r="AI111" s="6" t="s">
        <v>2634</v>
      </c>
      <c r="AJ111" s="13">
        <v>120</v>
      </c>
      <c r="AK111" s="13"/>
      <c r="AL111" s="13"/>
      <c r="AM111" s="13">
        <v>120</v>
      </c>
    </row>
    <row r="112" spans="16:39" x14ac:dyDescent="0.2">
      <c r="P112" s="6" t="s">
        <v>2614</v>
      </c>
      <c r="Q112" s="13">
        <v>262</v>
      </c>
      <c r="R112" s="13">
        <v>345</v>
      </c>
      <c r="S112" s="13">
        <v>659</v>
      </c>
      <c r="T112" s="13">
        <v>1266</v>
      </c>
      <c r="W112" s="21"/>
      <c r="X112" s="23"/>
      <c r="Y112" s="20"/>
      <c r="Z112" s="20"/>
      <c r="AA112" s="20"/>
      <c r="AB112" s="21"/>
      <c r="AC112" s="21"/>
      <c r="AD112" s="6"/>
      <c r="AE112" s="13"/>
      <c r="AF112" s="13"/>
      <c r="AG112" s="13"/>
      <c r="AI112" s="6" t="s">
        <v>2635</v>
      </c>
      <c r="AJ112" s="13"/>
      <c r="AK112" s="13">
        <v>53</v>
      </c>
      <c r="AL112" s="13">
        <v>53</v>
      </c>
      <c r="AM112" s="13">
        <v>106</v>
      </c>
    </row>
    <row r="113" spans="16:39" x14ac:dyDescent="0.2">
      <c r="P113" s="6" t="s">
        <v>2615</v>
      </c>
      <c r="Q113" s="13"/>
      <c r="R113" s="13"/>
      <c r="S113" s="13">
        <v>102</v>
      </c>
      <c r="T113" s="13">
        <v>102</v>
      </c>
      <c r="W113" s="21"/>
      <c r="X113" s="23"/>
      <c r="Y113" s="20"/>
      <c r="Z113" s="20"/>
      <c r="AA113" s="20"/>
      <c r="AB113" s="21"/>
      <c r="AC113" s="21"/>
      <c r="AD113" s="6"/>
      <c r="AE113" s="13"/>
      <c r="AF113" s="13"/>
      <c r="AG113" s="13"/>
      <c r="AI113" s="6" t="s">
        <v>2637</v>
      </c>
      <c r="AJ113" s="13">
        <v>41</v>
      </c>
      <c r="AK113" s="13"/>
      <c r="AL113" s="13"/>
      <c r="AM113" s="13">
        <v>41</v>
      </c>
    </row>
    <row r="114" spans="16:39" x14ac:dyDescent="0.2">
      <c r="P114" s="6" t="s">
        <v>2616</v>
      </c>
      <c r="Q114" s="13">
        <v>253</v>
      </c>
      <c r="R114" s="13"/>
      <c r="S114" s="13">
        <v>90</v>
      </c>
      <c r="T114" s="13">
        <v>343</v>
      </c>
      <c r="W114" s="21"/>
      <c r="X114" s="23"/>
      <c r="Y114" s="20"/>
      <c r="Z114" s="20"/>
      <c r="AA114" s="20"/>
      <c r="AB114" s="21"/>
      <c r="AC114" s="21"/>
      <c r="AD114" s="6"/>
      <c r="AE114" s="13"/>
      <c r="AF114" s="13"/>
      <c r="AG114" s="13"/>
      <c r="AI114" s="6" t="s">
        <v>2640</v>
      </c>
      <c r="AJ114" s="13"/>
      <c r="AK114" s="13">
        <v>116</v>
      </c>
      <c r="AL114" s="13"/>
      <c r="AM114" s="13">
        <v>116</v>
      </c>
    </row>
    <row r="115" spans="16:39" x14ac:dyDescent="0.2">
      <c r="P115" s="6" t="s">
        <v>2617</v>
      </c>
      <c r="Q115" s="13">
        <v>83</v>
      </c>
      <c r="R115" s="13">
        <v>135</v>
      </c>
      <c r="S115" s="13">
        <v>75</v>
      </c>
      <c r="T115" s="13">
        <v>293</v>
      </c>
      <c r="W115" s="21"/>
      <c r="X115" s="23"/>
      <c r="Y115" s="20"/>
      <c r="Z115" s="20"/>
      <c r="AA115" s="20"/>
      <c r="AB115" s="21"/>
      <c r="AC115" s="21"/>
      <c r="AD115" s="6"/>
      <c r="AE115" s="13"/>
      <c r="AF115" s="13"/>
      <c r="AG115" s="13"/>
      <c r="AI115" s="6" t="s">
        <v>2641</v>
      </c>
      <c r="AJ115" s="13">
        <v>37</v>
      </c>
      <c r="AK115" s="13">
        <v>195</v>
      </c>
      <c r="AL115" s="13"/>
      <c r="AM115" s="13">
        <v>232</v>
      </c>
    </row>
    <row r="116" spans="16:39" x14ac:dyDescent="0.2">
      <c r="P116" s="6" t="s">
        <v>2618</v>
      </c>
      <c r="Q116" s="13">
        <v>63</v>
      </c>
      <c r="R116" s="13">
        <v>126</v>
      </c>
      <c r="S116" s="13"/>
      <c r="T116" s="13">
        <v>189</v>
      </c>
      <c r="W116" s="21"/>
      <c r="X116" s="23"/>
      <c r="Y116" s="20"/>
      <c r="Z116" s="20"/>
      <c r="AA116" s="20"/>
      <c r="AB116" s="21"/>
      <c r="AC116" s="21"/>
      <c r="AD116" s="6"/>
      <c r="AE116" s="13"/>
      <c r="AF116" s="13"/>
      <c r="AG116" s="13"/>
      <c r="AI116" s="6" t="s">
        <v>2644</v>
      </c>
      <c r="AJ116" s="13"/>
      <c r="AK116" s="13">
        <v>98</v>
      </c>
      <c r="AL116" s="13"/>
      <c r="AM116" s="13">
        <v>98</v>
      </c>
    </row>
    <row r="117" spans="16:39" x14ac:dyDescent="0.2">
      <c r="P117" s="6" t="s">
        <v>2619</v>
      </c>
      <c r="Q117" s="13">
        <v>170</v>
      </c>
      <c r="R117" s="13">
        <v>125</v>
      </c>
      <c r="S117" s="13">
        <v>222</v>
      </c>
      <c r="T117" s="13">
        <v>517</v>
      </c>
      <c r="W117" s="21"/>
      <c r="X117" s="23"/>
      <c r="Y117" s="20"/>
      <c r="Z117" s="20"/>
      <c r="AA117" s="20"/>
      <c r="AB117" s="21"/>
      <c r="AC117" s="21"/>
      <c r="AD117" s="6"/>
      <c r="AE117" s="13"/>
      <c r="AF117" s="13"/>
      <c r="AG117" s="13"/>
      <c r="AI117" s="6" t="s">
        <v>2646</v>
      </c>
      <c r="AJ117" s="13"/>
      <c r="AK117" s="13"/>
      <c r="AL117" s="13">
        <v>53</v>
      </c>
      <c r="AM117" s="13">
        <v>53</v>
      </c>
    </row>
    <row r="118" spans="16:39" x14ac:dyDescent="0.2">
      <c r="P118" s="6" t="s">
        <v>2620</v>
      </c>
      <c r="Q118" s="13">
        <v>128</v>
      </c>
      <c r="R118" s="13"/>
      <c r="S118" s="13">
        <v>75</v>
      </c>
      <c r="T118" s="13">
        <v>203</v>
      </c>
      <c r="W118" s="21"/>
      <c r="X118" s="23"/>
      <c r="Y118" s="20"/>
      <c r="Z118" s="20"/>
      <c r="AA118" s="20"/>
      <c r="AB118" s="21"/>
      <c r="AC118" s="21"/>
      <c r="AD118" s="6"/>
      <c r="AE118" s="13"/>
      <c r="AF118" s="13"/>
      <c r="AG118" s="13"/>
      <c r="AI118" s="6" t="s">
        <v>2647</v>
      </c>
      <c r="AJ118" s="13">
        <v>125</v>
      </c>
      <c r="AK118" s="13">
        <v>53</v>
      </c>
      <c r="AL118" s="13"/>
      <c r="AM118" s="13">
        <v>178</v>
      </c>
    </row>
    <row r="119" spans="16:39" x14ac:dyDescent="0.2">
      <c r="P119" s="6" t="s">
        <v>2621</v>
      </c>
      <c r="Q119" s="13">
        <v>187</v>
      </c>
      <c r="R119" s="13">
        <v>113</v>
      </c>
      <c r="S119" s="13">
        <v>447</v>
      </c>
      <c r="T119" s="13">
        <v>747</v>
      </c>
      <c r="W119" s="21"/>
      <c r="X119" s="23"/>
      <c r="Y119" s="20"/>
      <c r="Z119" s="20"/>
      <c r="AA119" s="20"/>
      <c r="AB119" s="21"/>
      <c r="AC119" s="21"/>
      <c r="AD119" s="6"/>
      <c r="AE119" s="13"/>
      <c r="AF119" s="13"/>
      <c r="AG119" s="13"/>
      <c r="AI119" s="6" t="s">
        <v>2648</v>
      </c>
      <c r="AJ119" s="13"/>
      <c r="AK119" s="13"/>
      <c r="AL119" s="13">
        <v>45</v>
      </c>
      <c r="AM119" s="13">
        <v>45</v>
      </c>
    </row>
    <row r="120" spans="16:39" x14ac:dyDescent="0.2">
      <c r="P120" s="6" t="s">
        <v>2622</v>
      </c>
      <c r="Q120" s="13">
        <v>179</v>
      </c>
      <c r="R120" s="13">
        <v>67</v>
      </c>
      <c r="S120" s="13">
        <v>150</v>
      </c>
      <c r="T120" s="13">
        <v>396</v>
      </c>
      <c r="W120" s="21"/>
      <c r="X120" s="23"/>
      <c r="Y120" s="20"/>
      <c r="Z120" s="20"/>
      <c r="AA120" s="20"/>
      <c r="AB120" s="21"/>
      <c r="AC120" s="21"/>
      <c r="AD120" s="6"/>
      <c r="AE120" s="13"/>
      <c r="AF120" s="13"/>
      <c r="AG120" s="13"/>
      <c r="AI120" s="6" t="s">
        <v>2649</v>
      </c>
      <c r="AJ120" s="13"/>
      <c r="AK120" s="13"/>
      <c r="AL120" s="13">
        <v>27</v>
      </c>
      <c r="AM120" s="13">
        <v>27</v>
      </c>
    </row>
    <row r="121" spans="16:39" x14ac:dyDescent="0.2">
      <c r="P121" s="6" t="s">
        <v>2623</v>
      </c>
      <c r="Q121" s="13">
        <v>138</v>
      </c>
      <c r="R121" s="13">
        <v>60</v>
      </c>
      <c r="S121" s="13">
        <v>270</v>
      </c>
      <c r="T121" s="13">
        <v>468</v>
      </c>
      <c r="W121" s="21"/>
      <c r="X121" s="23"/>
      <c r="Y121" s="20"/>
      <c r="Z121" s="20"/>
      <c r="AA121" s="20"/>
      <c r="AB121" s="21"/>
      <c r="AC121" s="21"/>
      <c r="AD121" s="6"/>
      <c r="AE121" s="13"/>
      <c r="AF121" s="13"/>
      <c r="AG121" s="13"/>
      <c r="AI121" s="6" t="s">
        <v>2653</v>
      </c>
      <c r="AJ121" s="13">
        <v>57</v>
      </c>
      <c r="AK121" s="13">
        <v>53</v>
      </c>
      <c r="AL121" s="13"/>
      <c r="AM121" s="13">
        <v>110</v>
      </c>
    </row>
    <row r="122" spans="16:39" x14ac:dyDescent="0.2">
      <c r="P122" s="6" t="s">
        <v>2624</v>
      </c>
      <c r="Q122" s="13">
        <v>90</v>
      </c>
      <c r="R122" s="13">
        <v>315</v>
      </c>
      <c r="S122" s="13">
        <v>109</v>
      </c>
      <c r="T122" s="13">
        <v>514</v>
      </c>
      <c r="W122" s="21"/>
      <c r="X122" s="23"/>
      <c r="Y122" s="20"/>
      <c r="Z122" s="20"/>
      <c r="AA122" s="20"/>
      <c r="AB122" s="21"/>
      <c r="AC122" s="21"/>
      <c r="AD122" s="6"/>
      <c r="AE122" s="13"/>
      <c r="AF122" s="13"/>
      <c r="AG122" s="13"/>
      <c r="AI122" s="6" t="s">
        <v>2654</v>
      </c>
      <c r="AJ122" s="13">
        <v>67</v>
      </c>
      <c r="AK122" s="13"/>
      <c r="AL122" s="13"/>
      <c r="AM122" s="13">
        <v>67</v>
      </c>
    </row>
    <row r="123" spans="16:39" x14ac:dyDescent="0.2">
      <c r="P123" s="6" t="s">
        <v>2625</v>
      </c>
      <c r="Q123" s="13">
        <v>180</v>
      </c>
      <c r="R123" s="13"/>
      <c r="S123" s="13"/>
      <c r="T123" s="13">
        <v>180</v>
      </c>
      <c r="W123" s="21"/>
      <c r="X123" s="23"/>
      <c r="Y123" s="20"/>
      <c r="Z123" s="20"/>
      <c r="AA123" s="20"/>
      <c r="AB123" s="21"/>
      <c r="AC123" s="21"/>
      <c r="AD123" s="6"/>
      <c r="AE123" s="13"/>
      <c r="AF123" s="13"/>
      <c r="AG123" s="13"/>
      <c r="AI123" s="6" t="s">
        <v>2657</v>
      </c>
      <c r="AJ123" s="13">
        <v>45</v>
      </c>
      <c r="AK123" s="13"/>
      <c r="AL123" s="13">
        <v>83</v>
      </c>
      <c r="AM123" s="13">
        <v>128</v>
      </c>
    </row>
    <row r="124" spans="16:39" x14ac:dyDescent="0.2">
      <c r="P124" s="6" t="s">
        <v>2626</v>
      </c>
      <c r="Q124" s="13"/>
      <c r="R124" s="13">
        <v>271</v>
      </c>
      <c r="S124" s="13">
        <v>60</v>
      </c>
      <c r="T124" s="13">
        <v>331</v>
      </c>
      <c r="W124" s="21"/>
      <c r="X124" s="23"/>
      <c r="Y124" s="20"/>
      <c r="Z124" s="20"/>
      <c r="AA124" s="20"/>
      <c r="AB124" s="21"/>
      <c r="AC124" s="21"/>
      <c r="AD124" s="6"/>
      <c r="AE124" s="13"/>
      <c r="AF124" s="13"/>
      <c r="AG124" s="13"/>
      <c r="AI124" s="6" t="s">
        <v>2658</v>
      </c>
      <c r="AJ124" s="13"/>
      <c r="AK124" s="13"/>
      <c r="AL124" s="13">
        <v>45</v>
      </c>
      <c r="AM124" s="13">
        <v>45</v>
      </c>
    </row>
    <row r="125" spans="16:39" x14ac:dyDescent="0.2">
      <c r="P125" s="6" t="s">
        <v>2627</v>
      </c>
      <c r="Q125" s="13">
        <v>360</v>
      </c>
      <c r="R125" s="13">
        <v>74</v>
      </c>
      <c r="S125" s="13">
        <v>136</v>
      </c>
      <c r="T125" s="13">
        <v>570</v>
      </c>
      <c r="W125" s="21"/>
      <c r="X125" s="23"/>
      <c r="Y125" s="20"/>
      <c r="Z125" s="20"/>
      <c r="AA125" s="20"/>
      <c r="AB125" s="21"/>
      <c r="AC125" s="21"/>
      <c r="AD125" s="6"/>
      <c r="AE125" s="13"/>
      <c r="AF125" s="13"/>
      <c r="AG125" s="13"/>
      <c r="AI125" s="6" t="s">
        <v>2660</v>
      </c>
      <c r="AJ125" s="13">
        <v>208</v>
      </c>
      <c r="AK125" s="13">
        <v>121</v>
      </c>
      <c r="AL125" s="13">
        <v>159</v>
      </c>
      <c r="AM125" s="13">
        <v>488</v>
      </c>
    </row>
    <row r="126" spans="16:39" x14ac:dyDescent="0.2">
      <c r="P126" s="6" t="s">
        <v>2628</v>
      </c>
      <c r="Q126" s="13">
        <v>277</v>
      </c>
      <c r="R126" s="13">
        <v>463</v>
      </c>
      <c r="S126" s="13">
        <v>65</v>
      </c>
      <c r="T126" s="13">
        <v>805</v>
      </c>
      <c r="W126" s="21"/>
      <c r="X126" s="23"/>
      <c r="Y126" s="20"/>
      <c r="Z126" s="20"/>
      <c r="AA126" s="20"/>
      <c r="AB126" s="21"/>
      <c r="AC126" s="21"/>
      <c r="AD126" s="6"/>
      <c r="AE126" s="13"/>
      <c r="AF126" s="13"/>
      <c r="AG126" s="13"/>
      <c r="AI126" s="6" t="s">
        <v>2661</v>
      </c>
      <c r="AJ126" s="13">
        <v>67</v>
      </c>
      <c r="AK126" s="13"/>
      <c r="AL126" s="13"/>
      <c r="AM126" s="13">
        <v>67</v>
      </c>
    </row>
    <row r="127" spans="16:39" x14ac:dyDescent="0.2">
      <c r="P127" s="6" t="s">
        <v>2629</v>
      </c>
      <c r="Q127" s="13">
        <v>275</v>
      </c>
      <c r="R127" s="13">
        <v>408</v>
      </c>
      <c r="S127" s="13">
        <v>199</v>
      </c>
      <c r="T127" s="13">
        <v>882</v>
      </c>
      <c r="W127" s="21"/>
      <c r="X127" s="23"/>
      <c r="Y127" s="20"/>
      <c r="Z127" s="20"/>
      <c r="AA127" s="20"/>
      <c r="AB127" s="21"/>
      <c r="AC127" s="21"/>
      <c r="AD127" s="6"/>
      <c r="AE127" s="13"/>
      <c r="AF127" s="13"/>
      <c r="AG127" s="13"/>
      <c r="AI127" s="6" t="s">
        <v>2662</v>
      </c>
      <c r="AJ127" s="13"/>
      <c r="AK127" s="13">
        <v>83</v>
      </c>
      <c r="AL127" s="13"/>
      <c r="AM127" s="13">
        <v>83</v>
      </c>
    </row>
    <row r="128" spans="16:39" x14ac:dyDescent="0.2">
      <c r="P128" s="6" t="s">
        <v>2630</v>
      </c>
      <c r="Q128" s="13">
        <v>471</v>
      </c>
      <c r="R128" s="13">
        <v>888</v>
      </c>
      <c r="S128" s="13">
        <v>218</v>
      </c>
      <c r="T128" s="13">
        <v>1577</v>
      </c>
      <c r="W128" s="21"/>
      <c r="X128" s="23"/>
      <c r="Y128" s="20"/>
      <c r="Z128" s="20"/>
      <c r="AA128" s="20"/>
      <c r="AB128" s="21"/>
      <c r="AC128" s="21"/>
      <c r="AD128" s="6"/>
      <c r="AE128" s="13"/>
      <c r="AF128" s="13"/>
      <c r="AG128" s="13"/>
      <c r="AI128" s="6" t="s">
        <v>2664</v>
      </c>
      <c r="AJ128" s="13">
        <v>67</v>
      </c>
      <c r="AK128" s="13">
        <v>90</v>
      </c>
      <c r="AL128" s="13">
        <v>106</v>
      </c>
      <c r="AM128" s="13">
        <v>263</v>
      </c>
    </row>
    <row r="129" spans="16:39" x14ac:dyDescent="0.2">
      <c r="P129" s="6" t="s">
        <v>2631</v>
      </c>
      <c r="Q129" s="13">
        <v>179</v>
      </c>
      <c r="R129" s="13">
        <v>316</v>
      </c>
      <c r="S129" s="13">
        <v>367</v>
      </c>
      <c r="T129" s="13">
        <v>862</v>
      </c>
      <c r="W129" s="21"/>
      <c r="X129" s="23"/>
      <c r="Y129" s="20"/>
      <c r="Z129" s="20"/>
      <c r="AA129" s="20"/>
      <c r="AB129" s="21"/>
      <c r="AC129" s="21"/>
      <c r="AD129" s="6"/>
      <c r="AE129" s="13"/>
      <c r="AF129" s="13"/>
      <c r="AG129" s="13"/>
      <c r="AI129" s="6" t="s">
        <v>2666</v>
      </c>
      <c r="AJ129" s="13">
        <v>210</v>
      </c>
      <c r="AK129" s="13">
        <v>67</v>
      </c>
      <c r="AL129" s="13">
        <v>83</v>
      </c>
      <c r="AM129" s="13">
        <v>360</v>
      </c>
    </row>
    <row r="130" spans="16:39" x14ac:dyDescent="0.2">
      <c r="P130" s="6" t="s">
        <v>2632</v>
      </c>
      <c r="Q130" s="13"/>
      <c r="R130" s="13">
        <v>36</v>
      </c>
      <c r="S130" s="13"/>
      <c r="T130" s="13">
        <v>36</v>
      </c>
      <c r="W130" s="21"/>
      <c r="X130" s="23"/>
      <c r="Y130" s="20"/>
      <c r="Z130" s="20"/>
      <c r="AA130" s="20"/>
      <c r="AB130" s="21"/>
      <c r="AC130" s="21"/>
      <c r="AD130" s="6"/>
      <c r="AE130" s="13"/>
      <c r="AF130" s="13"/>
      <c r="AG130" s="13"/>
      <c r="AI130" s="6" t="s">
        <v>2667</v>
      </c>
      <c r="AJ130" s="13">
        <v>218</v>
      </c>
      <c r="AK130" s="13">
        <v>268</v>
      </c>
      <c r="AL130" s="13">
        <v>135</v>
      </c>
      <c r="AM130" s="13">
        <v>621</v>
      </c>
    </row>
    <row r="131" spans="16:39" x14ac:dyDescent="0.2">
      <c r="P131" s="6" t="s">
        <v>2633</v>
      </c>
      <c r="Q131" s="13">
        <v>473</v>
      </c>
      <c r="R131" s="13">
        <v>537</v>
      </c>
      <c r="S131" s="13">
        <v>452</v>
      </c>
      <c r="T131" s="13">
        <v>1462</v>
      </c>
      <c r="W131" s="21"/>
      <c r="X131" s="23"/>
      <c r="Y131" s="20"/>
      <c r="Z131" s="20"/>
      <c r="AA131" s="20"/>
      <c r="AB131" s="21"/>
      <c r="AC131" s="21"/>
      <c r="AD131" s="6"/>
      <c r="AE131" s="13"/>
      <c r="AF131" s="13"/>
      <c r="AG131" s="13"/>
      <c r="AI131" s="6" t="s">
        <v>2669</v>
      </c>
      <c r="AJ131" s="13"/>
      <c r="AK131" s="13">
        <v>210</v>
      </c>
      <c r="AL131" s="13"/>
      <c r="AM131" s="13">
        <v>210</v>
      </c>
    </row>
    <row r="132" spans="16:39" x14ac:dyDescent="0.2">
      <c r="P132" s="6" t="s">
        <v>2634</v>
      </c>
      <c r="Q132" s="13">
        <v>120</v>
      </c>
      <c r="R132" s="13">
        <v>128</v>
      </c>
      <c r="S132" s="13"/>
      <c r="T132" s="13">
        <v>248</v>
      </c>
      <c r="W132" s="21"/>
      <c r="X132" s="23"/>
      <c r="Y132" s="20"/>
      <c r="Z132" s="20"/>
      <c r="AA132" s="20"/>
      <c r="AB132" s="21"/>
      <c r="AC132" s="21"/>
      <c r="AD132" s="6"/>
      <c r="AE132" s="13"/>
      <c r="AF132" s="13"/>
      <c r="AG132" s="13"/>
      <c r="AI132" s="6" t="s">
        <v>2671</v>
      </c>
      <c r="AJ132" s="13"/>
      <c r="AK132" s="13"/>
      <c r="AL132" s="13">
        <v>202</v>
      </c>
      <c r="AM132" s="13">
        <v>202</v>
      </c>
    </row>
    <row r="133" spans="16:39" x14ac:dyDescent="0.2">
      <c r="P133" s="6" t="s">
        <v>2635</v>
      </c>
      <c r="Q133" s="13">
        <v>233</v>
      </c>
      <c r="R133" s="13">
        <v>278</v>
      </c>
      <c r="S133" s="13">
        <v>53</v>
      </c>
      <c r="T133" s="13">
        <v>564</v>
      </c>
      <c r="W133" s="21"/>
      <c r="X133" s="23"/>
      <c r="Y133" s="20"/>
      <c r="Z133" s="20"/>
      <c r="AA133" s="20"/>
      <c r="AB133" s="21"/>
      <c r="AC133" s="21"/>
      <c r="AD133" s="6"/>
      <c r="AE133" s="13"/>
      <c r="AF133" s="13"/>
      <c r="AG133" s="13"/>
      <c r="AI133" s="6" t="s">
        <v>2673</v>
      </c>
      <c r="AJ133" s="13">
        <v>166</v>
      </c>
      <c r="AK133" s="13"/>
      <c r="AL133" s="13"/>
      <c r="AM133" s="13">
        <v>166</v>
      </c>
    </row>
    <row r="134" spans="16:39" x14ac:dyDescent="0.2">
      <c r="P134" s="6" t="s">
        <v>2636</v>
      </c>
      <c r="Q134" s="13">
        <v>53</v>
      </c>
      <c r="R134" s="13"/>
      <c r="S134" s="13"/>
      <c r="T134" s="13">
        <v>53</v>
      </c>
      <c r="W134" s="21"/>
      <c r="X134" s="23"/>
      <c r="Y134" s="20"/>
      <c r="Z134" s="20"/>
      <c r="AA134" s="20"/>
      <c r="AB134" s="21"/>
      <c r="AC134" s="21"/>
      <c r="AD134" s="6"/>
      <c r="AE134" s="13"/>
      <c r="AF134" s="13"/>
      <c r="AG134" s="13"/>
      <c r="AI134" s="6" t="s">
        <v>2674</v>
      </c>
      <c r="AJ134" s="13">
        <v>204</v>
      </c>
      <c r="AK134" s="13">
        <v>354</v>
      </c>
      <c r="AL134" s="13"/>
      <c r="AM134" s="13">
        <v>558</v>
      </c>
    </row>
    <row r="135" spans="16:39" x14ac:dyDescent="0.2">
      <c r="P135" s="6" t="s">
        <v>2637</v>
      </c>
      <c r="Q135" s="13">
        <v>143</v>
      </c>
      <c r="R135" s="13">
        <v>367</v>
      </c>
      <c r="S135" s="13">
        <v>105</v>
      </c>
      <c r="T135" s="13">
        <v>615</v>
      </c>
      <c r="W135" s="21"/>
      <c r="X135" s="23"/>
      <c r="Y135" s="20"/>
      <c r="Z135" s="20"/>
      <c r="AA135" s="20"/>
      <c r="AB135" s="21"/>
      <c r="AC135" s="21"/>
      <c r="AD135" s="6"/>
      <c r="AE135" s="13"/>
      <c r="AF135" s="13"/>
      <c r="AG135" s="13"/>
      <c r="AI135" s="6" t="s">
        <v>2675</v>
      </c>
      <c r="AJ135" s="13">
        <v>39</v>
      </c>
      <c r="AK135" s="13"/>
      <c r="AL135" s="13"/>
      <c r="AM135" s="13">
        <v>39</v>
      </c>
    </row>
    <row r="136" spans="16:39" x14ac:dyDescent="0.2">
      <c r="P136" s="6" t="s">
        <v>2638</v>
      </c>
      <c r="Q136" s="13">
        <v>66</v>
      </c>
      <c r="R136" s="13"/>
      <c r="S136" s="13"/>
      <c r="T136" s="13">
        <v>66</v>
      </c>
      <c r="W136" s="21"/>
      <c r="X136" s="23"/>
      <c r="Y136" s="20"/>
      <c r="Z136" s="20"/>
      <c r="AA136" s="20"/>
      <c r="AB136" s="21"/>
      <c r="AC136" s="21"/>
      <c r="AD136" s="6"/>
      <c r="AE136" s="13"/>
      <c r="AF136" s="13"/>
      <c r="AG136" s="13"/>
      <c r="AI136" s="6" t="s">
        <v>2676</v>
      </c>
      <c r="AJ136" s="13"/>
      <c r="AK136" s="13"/>
      <c r="AL136" s="13">
        <v>67</v>
      </c>
      <c r="AM136" s="13">
        <v>67</v>
      </c>
    </row>
    <row r="137" spans="16:39" x14ac:dyDescent="0.2">
      <c r="P137" s="6" t="s">
        <v>2639</v>
      </c>
      <c r="Q137" s="13">
        <v>172</v>
      </c>
      <c r="R137" s="13">
        <v>390</v>
      </c>
      <c r="S137" s="13">
        <v>225</v>
      </c>
      <c r="T137" s="13">
        <v>787</v>
      </c>
      <c r="W137" s="21"/>
      <c r="X137" s="23"/>
      <c r="Y137" s="20"/>
      <c r="Z137" s="20"/>
      <c r="AA137" s="20"/>
      <c r="AB137" s="21"/>
      <c r="AC137" s="21"/>
      <c r="AI137" s="6" t="s">
        <v>2677</v>
      </c>
      <c r="AJ137" s="13">
        <v>30</v>
      </c>
      <c r="AK137" s="13"/>
      <c r="AL137" s="13"/>
      <c r="AM137" s="13">
        <v>30</v>
      </c>
    </row>
    <row r="138" spans="16:39" x14ac:dyDescent="0.2">
      <c r="P138" s="6" t="s">
        <v>2640</v>
      </c>
      <c r="Q138" s="13">
        <v>171</v>
      </c>
      <c r="R138" s="13">
        <v>454</v>
      </c>
      <c r="S138" s="13">
        <v>145</v>
      </c>
      <c r="T138" s="13">
        <v>770</v>
      </c>
      <c r="W138" s="21"/>
      <c r="X138" s="23"/>
      <c r="Y138" s="20"/>
      <c r="Z138" s="20"/>
      <c r="AA138" s="20"/>
      <c r="AB138" s="21"/>
      <c r="AC138" s="21"/>
      <c r="AI138" s="6" t="s">
        <v>2680</v>
      </c>
      <c r="AJ138" s="13"/>
      <c r="AK138" s="13">
        <v>45</v>
      </c>
      <c r="AL138" s="13"/>
      <c r="AM138" s="13">
        <v>45</v>
      </c>
    </row>
    <row r="139" spans="16:39" x14ac:dyDescent="0.2">
      <c r="P139" s="6" t="s">
        <v>2641</v>
      </c>
      <c r="Q139" s="13">
        <v>127</v>
      </c>
      <c r="R139" s="13">
        <v>699</v>
      </c>
      <c r="S139" s="13">
        <v>467</v>
      </c>
      <c r="T139" s="13">
        <v>1293</v>
      </c>
      <c r="W139" s="21"/>
      <c r="X139" s="23"/>
      <c r="Y139" s="20"/>
      <c r="Z139" s="20"/>
      <c r="AA139" s="20"/>
      <c r="AB139" s="21"/>
      <c r="AC139" s="21"/>
      <c r="AI139" s="6" t="s">
        <v>2681</v>
      </c>
      <c r="AJ139" s="13">
        <v>62</v>
      </c>
      <c r="AK139" s="13"/>
      <c r="AL139" s="13">
        <v>67</v>
      </c>
      <c r="AM139" s="13">
        <v>129</v>
      </c>
    </row>
    <row r="140" spans="16:39" x14ac:dyDescent="0.2">
      <c r="P140" s="6" t="s">
        <v>2642</v>
      </c>
      <c r="Q140" s="13">
        <v>67</v>
      </c>
      <c r="R140" s="13"/>
      <c r="S140" s="13"/>
      <c r="T140" s="13">
        <v>67</v>
      </c>
      <c r="W140" s="21"/>
      <c r="X140" s="21"/>
      <c r="Y140" s="21"/>
      <c r="Z140" s="21"/>
      <c r="AA140" s="21"/>
      <c r="AB140" s="21"/>
      <c r="AC140" s="21"/>
      <c r="AI140" s="6" t="s">
        <v>2683</v>
      </c>
      <c r="AJ140" s="13">
        <v>53</v>
      </c>
      <c r="AK140" s="13">
        <v>172</v>
      </c>
      <c r="AL140" s="13">
        <v>106</v>
      </c>
      <c r="AM140" s="13">
        <v>331</v>
      </c>
    </row>
    <row r="141" spans="16:39" x14ac:dyDescent="0.2">
      <c r="P141" s="6" t="s">
        <v>2643</v>
      </c>
      <c r="Q141" s="13">
        <v>105</v>
      </c>
      <c r="R141" s="13"/>
      <c r="S141" s="13">
        <v>187</v>
      </c>
      <c r="T141" s="13">
        <v>292</v>
      </c>
      <c r="W141" s="21"/>
      <c r="X141" s="21"/>
      <c r="Y141" s="21"/>
      <c r="Z141" s="21"/>
      <c r="AA141" s="21"/>
      <c r="AB141" s="21"/>
      <c r="AC141" s="21"/>
      <c r="AI141" s="6" t="s">
        <v>2686</v>
      </c>
      <c r="AJ141" s="13"/>
      <c r="AK141" s="13"/>
      <c r="AL141" s="13">
        <v>39</v>
      </c>
      <c r="AM141" s="13">
        <v>39</v>
      </c>
    </row>
    <row r="142" spans="16:39" x14ac:dyDescent="0.2">
      <c r="P142" s="6" t="s">
        <v>2644</v>
      </c>
      <c r="Q142" s="13">
        <v>249</v>
      </c>
      <c r="R142" s="13">
        <v>227</v>
      </c>
      <c r="S142" s="13">
        <v>99</v>
      </c>
      <c r="T142" s="13">
        <v>575</v>
      </c>
      <c r="AI142" s="6" t="s">
        <v>2687</v>
      </c>
      <c r="AJ142" s="13"/>
      <c r="AK142" s="13"/>
      <c r="AL142" s="13">
        <v>226</v>
      </c>
      <c r="AM142" s="13">
        <v>226</v>
      </c>
    </row>
    <row r="143" spans="16:39" x14ac:dyDescent="0.2">
      <c r="P143" s="6" t="s">
        <v>2645</v>
      </c>
      <c r="Q143" s="13">
        <v>270</v>
      </c>
      <c r="R143" s="13">
        <v>465</v>
      </c>
      <c r="S143" s="13">
        <v>83</v>
      </c>
      <c r="T143" s="13">
        <v>818</v>
      </c>
      <c r="AI143" s="6" t="s">
        <v>2508</v>
      </c>
      <c r="AJ143" s="13">
        <v>2421</v>
      </c>
      <c r="AK143" s="13">
        <v>3471</v>
      </c>
      <c r="AL143" s="13">
        <v>2866</v>
      </c>
      <c r="AM143" s="13">
        <v>8758</v>
      </c>
    </row>
    <row r="144" spans="16:39" x14ac:dyDescent="0.2">
      <c r="P144" s="6" t="s">
        <v>2646</v>
      </c>
      <c r="Q144" s="13"/>
      <c r="R144" s="13"/>
      <c r="S144" s="13">
        <v>53</v>
      </c>
      <c r="T144" s="13">
        <v>53</v>
      </c>
    </row>
    <row r="145" spans="16:20" x14ac:dyDescent="0.2">
      <c r="P145" s="6" t="s">
        <v>2647</v>
      </c>
      <c r="Q145" s="13">
        <v>238</v>
      </c>
      <c r="R145" s="13">
        <v>409</v>
      </c>
      <c r="S145" s="13">
        <v>271</v>
      </c>
      <c r="T145" s="13">
        <v>918</v>
      </c>
    </row>
    <row r="146" spans="16:20" x14ac:dyDescent="0.2">
      <c r="P146" s="6" t="s">
        <v>2648</v>
      </c>
      <c r="Q146" s="13"/>
      <c r="R146" s="13"/>
      <c r="S146" s="13">
        <v>45</v>
      </c>
      <c r="T146" s="13">
        <v>45</v>
      </c>
    </row>
    <row r="147" spans="16:20" x14ac:dyDescent="0.2">
      <c r="P147" s="6" t="s">
        <v>2649</v>
      </c>
      <c r="Q147" s="13">
        <v>27</v>
      </c>
      <c r="R147" s="13">
        <v>337</v>
      </c>
      <c r="S147" s="13">
        <v>255</v>
      </c>
      <c r="T147" s="13">
        <v>619</v>
      </c>
    </row>
    <row r="148" spans="16:20" x14ac:dyDescent="0.2">
      <c r="P148" s="6" t="s">
        <v>2650</v>
      </c>
      <c r="Q148" s="13"/>
      <c r="R148" s="13">
        <v>105</v>
      </c>
      <c r="S148" s="13">
        <v>106</v>
      </c>
      <c r="T148" s="13">
        <v>211</v>
      </c>
    </row>
    <row r="149" spans="16:20" x14ac:dyDescent="0.2">
      <c r="P149" s="6" t="s">
        <v>2651</v>
      </c>
      <c r="Q149" s="13"/>
      <c r="R149" s="13">
        <v>67</v>
      </c>
      <c r="S149" s="13"/>
      <c r="T149" s="13">
        <v>67</v>
      </c>
    </row>
    <row r="150" spans="16:20" x14ac:dyDescent="0.2">
      <c r="P150" s="6" t="s">
        <v>2652</v>
      </c>
      <c r="Q150" s="13">
        <v>216</v>
      </c>
      <c r="R150" s="13"/>
      <c r="S150" s="13"/>
      <c r="T150" s="13">
        <v>216</v>
      </c>
    </row>
    <row r="151" spans="16:20" x14ac:dyDescent="0.2">
      <c r="P151" s="6" t="s">
        <v>2653</v>
      </c>
      <c r="Q151" s="13">
        <v>396</v>
      </c>
      <c r="R151" s="13">
        <v>304</v>
      </c>
      <c r="S151" s="13">
        <v>707</v>
      </c>
      <c r="T151" s="13">
        <v>1407</v>
      </c>
    </row>
    <row r="152" spans="16:20" x14ac:dyDescent="0.2">
      <c r="P152" s="6" t="s">
        <v>2654</v>
      </c>
      <c r="Q152" s="13">
        <v>67</v>
      </c>
      <c r="R152" s="13"/>
      <c r="S152" s="13"/>
      <c r="T152" s="13">
        <v>67</v>
      </c>
    </row>
    <row r="153" spans="16:20" x14ac:dyDescent="0.2">
      <c r="P153" s="6" t="s">
        <v>2655</v>
      </c>
      <c r="Q153" s="13">
        <v>90</v>
      </c>
      <c r="R153" s="13">
        <v>165</v>
      </c>
      <c r="S153" s="13">
        <v>150</v>
      </c>
      <c r="T153" s="13">
        <v>405</v>
      </c>
    </row>
    <row r="154" spans="16:20" x14ac:dyDescent="0.2">
      <c r="P154" s="6" t="s">
        <v>2656</v>
      </c>
      <c r="Q154" s="13"/>
      <c r="R154" s="13">
        <v>66</v>
      </c>
      <c r="S154" s="13"/>
      <c r="T154" s="13">
        <v>66</v>
      </c>
    </row>
    <row r="155" spans="16:20" x14ac:dyDescent="0.2">
      <c r="P155" s="6" t="s">
        <v>2657</v>
      </c>
      <c r="Q155" s="13">
        <v>111</v>
      </c>
      <c r="R155" s="13">
        <v>346</v>
      </c>
      <c r="S155" s="13">
        <v>271</v>
      </c>
      <c r="T155" s="13">
        <v>728</v>
      </c>
    </row>
    <row r="156" spans="16:20" x14ac:dyDescent="0.2">
      <c r="P156" s="6" t="s">
        <v>2658</v>
      </c>
      <c r="Q156" s="13"/>
      <c r="R156" s="13">
        <v>45</v>
      </c>
      <c r="S156" s="13">
        <v>98</v>
      </c>
      <c r="T156" s="13">
        <v>143</v>
      </c>
    </row>
    <row r="157" spans="16:20" x14ac:dyDescent="0.2">
      <c r="P157" s="6" t="s">
        <v>2659</v>
      </c>
      <c r="Q157" s="13">
        <v>67</v>
      </c>
      <c r="R157" s="13">
        <v>67</v>
      </c>
      <c r="S157" s="13"/>
      <c r="T157" s="13">
        <v>134</v>
      </c>
    </row>
    <row r="158" spans="16:20" x14ac:dyDescent="0.2">
      <c r="P158" s="6" t="s">
        <v>2660</v>
      </c>
      <c r="Q158" s="13">
        <v>448</v>
      </c>
      <c r="R158" s="13">
        <v>350</v>
      </c>
      <c r="S158" s="13">
        <v>516</v>
      </c>
      <c r="T158" s="13">
        <v>1314</v>
      </c>
    </row>
    <row r="159" spans="16:20" x14ac:dyDescent="0.2">
      <c r="P159" s="6" t="s">
        <v>2661</v>
      </c>
      <c r="Q159" s="13">
        <v>290</v>
      </c>
      <c r="R159" s="13">
        <v>563</v>
      </c>
      <c r="S159" s="13">
        <v>293</v>
      </c>
      <c r="T159" s="13">
        <v>1146</v>
      </c>
    </row>
    <row r="160" spans="16:20" x14ac:dyDescent="0.2">
      <c r="P160" s="6" t="s">
        <v>2662</v>
      </c>
      <c r="Q160" s="13">
        <v>374</v>
      </c>
      <c r="R160" s="13">
        <v>173</v>
      </c>
      <c r="S160" s="13">
        <v>321</v>
      </c>
      <c r="T160" s="13">
        <v>868</v>
      </c>
    </row>
    <row r="161" spans="16:20" x14ac:dyDescent="0.2">
      <c r="P161" s="6" t="s">
        <v>2663</v>
      </c>
      <c r="Q161" s="13"/>
      <c r="R161" s="13">
        <v>54</v>
      </c>
      <c r="S161" s="13"/>
      <c r="T161" s="13">
        <v>54</v>
      </c>
    </row>
    <row r="162" spans="16:20" x14ac:dyDescent="0.2">
      <c r="P162" s="6" t="s">
        <v>2664</v>
      </c>
      <c r="Q162" s="13">
        <v>351</v>
      </c>
      <c r="R162" s="13">
        <v>292</v>
      </c>
      <c r="S162" s="13">
        <v>143</v>
      </c>
      <c r="T162" s="13">
        <v>786</v>
      </c>
    </row>
    <row r="163" spans="16:20" x14ac:dyDescent="0.2">
      <c r="P163" s="6" t="s">
        <v>2665</v>
      </c>
      <c r="Q163" s="13">
        <v>268</v>
      </c>
      <c r="R163" s="13"/>
      <c r="S163" s="13">
        <v>60</v>
      </c>
      <c r="T163" s="13">
        <v>328</v>
      </c>
    </row>
    <row r="164" spans="16:20" x14ac:dyDescent="0.2">
      <c r="P164" s="6" t="s">
        <v>2666</v>
      </c>
      <c r="Q164" s="13">
        <v>795</v>
      </c>
      <c r="R164" s="13">
        <v>757</v>
      </c>
      <c r="S164" s="13">
        <v>601</v>
      </c>
      <c r="T164" s="13">
        <v>2153</v>
      </c>
    </row>
    <row r="165" spans="16:20" x14ac:dyDescent="0.2">
      <c r="P165" s="6" t="s">
        <v>2667</v>
      </c>
      <c r="Q165" s="13">
        <v>548</v>
      </c>
      <c r="R165" s="13">
        <v>366</v>
      </c>
      <c r="S165" s="13">
        <v>757</v>
      </c>
      <c r="T165" s="13">
        <v>1671</v>
      </c>
    </row>
    <row r="166" spans="16:20" x14ac:dyDescent="0.2">
      <c r="P166" s="6" t="s">
        <v>2668</v>
      </c>
      <c r="Q166" s="13"/>
      <c r="R166" s="13">
        <v>37</v>
      </c>
      <c r="S166" s="13">
        <v>57</v>
      </c>
      <c r="T166" s="13">
        <v>94</v>
      </c>
    </row>
    <row r="167" spans="16:20" x14ac:dyDescent="0.2">
      <c r="P167" s="6" t="s">
        <v>2669</v>
      </c>
      <c r="Q167" s="13">
        <v>158</v>
      </c>
      <c r="R167" s="13">
        <v>692</v>
      </c>
      <c r="S167" s="13">
        <v>120</v>
      </c>
      <c r="T167" s="13">
        <v>970</v>
      </c>
    </row>
    <row r="168" spans="16:20" x14ac:dyDescent="0.2">
      <c r="P168" s="6" t="s">
        <v>2670</v>
      </c>
      <c r="Q168" s="13">
        <v>54</v>
      </c>
      <c r="R168" s="13"/>
      <c r="S168" s="13"/>
      <c r="T168" s="13">
        <v>54</v>
      </c>
    </row>
    <row r="169" spans="16:20" x14ac:dyDescent="0.2">
      <c r="P169" s="6" t="s">
        <v>2671</v>
      </c>
      <c r="Q169" s="13"/>
      <c r="R169" s="13">
        <v>83</v>
      </c>
      <c r="S169" s="13">
        <v>322</v>
      </c>
      <c r="T169" s="13">
        <v>405</v>
      </c>
    </row>
    <row r="170" spans="16:20" x14ac:dyDescent="0.2">
      <c r="P170" s="6" t="s">
        <v>2672</v>
      </c>
      <c r="Q170" s="13">
        <v>30</v>
      </c>
      <c r="R170" s="13">
        <v>30</v>
      </c>
      <c r="S170" s="13">
        <v>353</v>
      </c>
      <c r="T170" s="13">
        <v>413</v>
      </c>
    </row>
    <row r="171" spans="16:20" x14ac:dyDescent="0.2">
      <c r="P171" s="6" t="s">
        <v>2673</v>
      </c>
      <c r="Q171" s="13">
        <v>646</v>
      </c>
      <c r="R171" s="13">
        <v>90</v>
      </c>
      <c r="S171" s="13">
        <v>210</v>
      </c>
      <c r="T171" s="13">
        <v>946</v>
      </c>
    </row>
    <row r="172" spans="16:20" x14ac:dyDescent="0.2">
      <c r="P172" s="6" t="s">
        <v>2674</v>
      </c>
      <c r="Q172" s="13">
        <v>204</v>
      </c>
      <c r="R172" s="13">
        <v>458</v>
      </c>
      <c r="S172" s="13">
        <v>289</v>
      </c>
      <c r="T172" s="13">
        <v>951</v>
      </c>
    </row>
    <row r="173" spans="16:20" x14ac:dyDescent="0.2">
      <c r="P173" s="6" t="s">
        <v>2675</v>
      </c>
      <c r="Q173" s="13">
        <v>116</v>
      </c>
      <c r="R173" s="13">
        <v>256</v>
      </c>
      <c r="S173" s="13">
        <v>173</v>
      </c>
      <c r="T173" s="13">
        <v>545</v>
      </c>
    </row>
    <row r="174" spans="16:20" x14ac:dyDescent="0.2">
      <c r="P174" s="6" t="s">
        <v>2676</v>
      </c>
      <c r="Q174" s="13">
        <v>376</v>
      </c>
      <c r="R174" s="13">
        <v>532</v>
      </c>
      <c r="S174" s="13">
        <v>67</v>
      </c>
      <c r="T174" s="13">
        <v>975</v>
      </c>
    </row>
    <row r="175" spans="16:20" x14ac:dyDescent="0.2">
      <c r="P175" s="6" t="s">
        <v>2677</v>
      </c>
      <c r="Q175" s="13">
        <v>30</v>
      </c>
      <c r="R175" s="13"/>
      <c r="S175" s="13">
        <v>53</v>
      </c>
      <c r="T175" s="13">
        <v>83</v>
      </c>
    </row>
    <row r="176" spans="16:20" x14ac:dyDescent="0.2">
      <c r="P176" s="6" t="s">
        <v>2678</v>
      </c>
      <c r="Q176" s="13">
        <v>105</v>
      </c>
      <c r="R176" s="13">
        <v>120</v>
      </c>
      <c r="S176" s="13">
        <v>316</v>
      </c>
      <c r="T176" s="13">
        <v>541</v>
      </c>
    </row>
    <row r="177" spans="16:20" x14ac:dyDescent="0.2">
      <c r="P177" s="6" t="s">
        <v>2679</v>
      </c>
      <c r="Q177" s="13">
        <v>96</v>
      </c>
      <c r="R177" s="13"/>
      <c r="S177" s="13"/>
      <c r="T177" s="13">
        <v>96</v>
      </c>
    </row>
    <row r="178" spans="16:20" x14ac:dyDescent="0.2">
      <c r="P178" s="6" t="s">
        <v>2680</v>
      </c>
      <c r="Q178" s="13">
        <v>181</v>
      </c>
      <c r="R178" s="13">
        <v>217</v>
      </c>
      <c r="S178" s="13">
        <v>67</v>
      </c>
      <c r="T178" s="13">
        <v>465</v>
      </c>
    </row>
    <row r="179" spans="16:20" x14ac:dyDescent="0.2">
      <c r="P179" s="6" t="s">
        <v>2681</v>
      </c>
      <c r="Q179" s="13">
        <v>333</v>
      </c>
      <c r="R179" s="13">
        <v>384</v>
      </c>
      <c r="S179" s="13">
        <v>353</v>
      </c>
      <c r="T179" s="13">
        <v>1070</v>
      </c>
    </row>
    <row r="180" spans="16:20" x14ac:dyDescent="0.2">
      <c r="P180" s="6" t="s">
        <v>2682</v>
      </c>
      <c r="Q180" s="13"/>
      <c r="R180" s="13"/>
      <c r="S180" s="13">
        <v>60</v>
      </c>
      <c r="T180" s="13">
        <v>60</v>
      </c>
    </row>
    <row r="181" spans="16:20" x14ac:dyDescent="0.2">
      <c r="P181" s="6" t="s">
        <v>2683</v>
      </c>
      <c r="Q181" s="13">
        <v>143</v>
      </c>
      <c r="R181" s="13">
        <v>262</v>
      </c>
      <c r="S181" s="13">
        <v>106</v>
      </c>
      <c r="T181" s="13">
        <v>511</v>
      </c>
    </row>
    <row r="182" spans="16:20" x14ac:dyDescent="0.2">
      <c r="P182" s="6" t="s">
        <v>2684</v>
      </c>
      <c r="Q182" s="13">
        <v>413</v>
      </c>
      <c r="R182" s="13">
        <v>240</v>
      </c>
      <c r="S182" s="13">
        <v>67</v>
      </c>
      <c r="T182" s="13">
        <v>720</v>
      </c>
    </row>
    <row r="183" spans="16:20" x14ac:dyDescent="0.2">
      <c r="P183" s="6" t="s">
        <v>2685</v>
      </c>
      <c r="Q183" s="13">
        <v>143</v>
      </c>
      <c r="R183" s="13"/>
      <c r="S183" s="13"/>
      <c r="T183" s="13">
        <v>143</v>
      </c>
    </row>
    <row r="184" spans="16:20" x14ac:dyDescent="0.2">
      <c r="P184" s="6" t="s">
        <v>2686</v>
      </c>
      <c r="Q184" s="13"/>
      <c r="R184" s="13">
        <v>240</v>
      </c>
      <c r="S184" s="13">
        <v>39</v>
      </c>
      <c r="T184" s="13">
        <v>279</v>
      </c>
    </row>
    <row r="185" spans="16:20" x14ac:dyDescent="0.2">
      <c r="P185" s="6" t="s">
        <v>2687</v>
      </c>
      <c r="Q185" s="13">
        <v>90</v>
      </c>
      <c r="R185" s="13"/>
      <c r="S185" s="13">
        <v>226</v>
      </c>
      <c r="T185" s="13">
        <v>316</v>
      </c>
    </row>
    <row r="186" spans="16:20" x14ac:dyDescent="0.2">
      <c r="P186" s="6" t="s">
        <v>2508</v>
      </c>
      <c r="Q186" s="13">
        <v>14516</v>
      </c>
      <c r="R186" s="13">
        <v>17464</v>
      </c>
      <c r="S186" s="13">
        <v>15168</v>
      </c>
      <c r="T186" s="13">
        <v>47148</v>
      </c>
    </row>
  </sheetData>
  <conditionalFormatting sqref="X77:AA98 X100:AA139 X99:Y99 AA99">
    <cfRule type="colorScale" priority="1">
      <colorScale>
        <cfvo type="min"/>
        <cfvo type="percentile" val="50"/>
        <cfvo type="max"/>
        <color rgb="FF63BE7B"/>
        <color rgb="FFFFEB84"/>
        <color rgb="FFF8696B"/>
      </colorScale>
    </cfRule>
  </conditionalFormatting>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F9248-B1DC-F547-9DB6-6D6DFF6F079E}">
  <sheetPr codeName="Sheet3"/>
  <dimension ref="F8:AB12"/>
  <sheetViews>
    <sheetView showGridLines="0" tabSelected="1" zoomScale="30" zoomScaleNormal="30" workbookViewId="0">
      <selection activeCell="AJ59" sqref="AJ59"/>
    </sheetView>
  </sheetViews>
  <sheetFormatPr baseColWidth="10" defaultRowHeight="16" x14ac:dyDescent="0.2"/>
  <cols>
    <col min="6" max="6" width="10.83203125" customWidth="1"/>
  </cols>
  <sheetData>
    <row r="8" spans="6:28" x14ac:dyDescent="0.2">
      <c r="F8" s="21"/>
      <c r="G8" s="21"/>
    </row>
    <row r="9" spans="6:28" x14ac:dyDescent="0.2">
      <c r="F9" s="21"/>
      <c r="G9" s="21"/>
    </row>
    <row r="10" spans="6:28" x14ac:dyDescent="0.2">
      <c r="F10" s="21"/>
      <c r="G10" s="21"/>
    </row>
    <row r="11" spans="6:28" ht="47" x14ac:dyDescent="0.55000000000000004">
      <c r="F11" s="21"/>
      <c r="G11" s="21"/>
      <c r="AB11" s="24"/>
    </row>
    <row r="12" spans="6:28" x14ac:dyDescent="0.2">
      <c r="F12" s="21"/>
      <c r="G12"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Transformations</vt:lpstr>
      <vt:lpstr>PivotTables</vt:lpstr>
      <vt:lpstr>Dashboard</vt:lpstr>
      <vt:lpstr>Transformations!sentimentdataset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NADIA UMMYUSUF</dc:creator>
  <cp:lastModifiedBy>NADIA UMMYUSUF</cp:lastModifiedBy>
  <dcterms:created xsi:type="dcterms:W3CDTF">2025-12-20T12:47:37Z</dcterms:created>
  <dcterms:modified xsi:type="dcterms:W3CDTF">2026-02-17T19:39:52Z</dcterms:modified>
</cp:coreProperties>
</file>